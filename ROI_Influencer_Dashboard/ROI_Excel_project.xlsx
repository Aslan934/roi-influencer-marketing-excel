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heme/themeOverride1.xml" ContentType="application/vnd.openxmlformats-officedocument.themeOverrid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Ex4.xml" ContentType="application/vnd.ms-office.chartex+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Aslan\Downloads\"/>
    </mc:Choice>
  </mc:AlternateContent>
  <xr:revisionPtr revIDLastSave="0" documentId="13_ncr:1_{590D8048-3D43-4734-9B0F-EF5E86FBE24B}" xr6:coauthVersionLast="47" xr6:coauthVersionMax="47" xr10:uidLastSave="{00000000-0000-0000-0000-000000000000}"/>
  <bookViews>
    <workbookView xWindow="-108" yWindow="-108" windowWidth="23256" windowHeight="12456" activeTab="2" xr2:uid="{00000000-000D-0000-FFFF-FFFF00000000}"/>
  </bookViews>
  <sheets>
    <sheet name="influencer_mrktng_roi_cleaning" sheetId="1" r:id="rId1"/>
    <sheet name="pivot" sheetId="5" r:id="rId2"/>
    <sheet name="Dashboard" sheetId="6" r:id="rId3"/>
    <sheet name="process" sheetId="2" state="hidden" r:id="rId4"/>
    <sheet name="comments-pivot table" sheetId="4" state="hidden" r:id="rId5"/>
  </sheets>
  <definedNames>
    <definedName name="_xlnm._FilterDatabase" localSheetId="0" hidden="1">influencer_mrktng_roi_cleaning!$A$1:$J$1337</definedName>
    <definedName name="_xlchart.v2.0" hidden="1">pivot!$M$37:$M$47</definedName>
    <definedName name="_xlchart.v2.1" hidden="1">pivot!$N$37:$N$47</definedName>
    <definedName name="_xlchart.v2.2" hidden="1">pivot!$M$21:$M$31</definedName>
    <definedName name="_xlchart.v2.3" hidden="1">pivot!$N$20</definedName>
    <definedName name="_xlchart.v2.4" hidden="1">pivot!$N$21:$N$31</definedName>
    <definedName name="_xlchart.v2.5" hidden="1">pivot!$M$21:$M$31</definedName>
    <definedName name="_xlchart.v2.6" hidden="1">pivot!$N$20</definedName>
    <definedName name="_xlchart.v2.7" hidden="1">pivot!$N$21:$N$31</definedName>
    <definedName name="_xlchart.v2.8" hidden="1">pivot!$M$37:$M$47</definedName>
    <definedName name="_xlchart.v2.9" hidden="1">pivot!$N$37:$N$47</definedName>
    <definedName name="_xlcn.WorksheetConnection_Copyofinfluencer_marketing_roi_dataset3.xlsxTable11" hidden="1">Table1[]</definedName>
    <definedName name="_xlcn.WorksheetConnection_Copyofinfluencer_marketing_roi_dataset3.xlsxTable31" hidden="1">Table3[]</definedName>
    <definedName name="_xlcn.WorksheetConnection_Copyofinfluencer_marketing_roi_dataset3.xlsxTable41" hidden="1">Table4</definedName>
    <definedName name="NativeTimeline_start_date">#N/A</definedName>
    <definedName name="Slicer_campaign_id">#N/A</definedName>
    <definedName name="Slicer_campaign_type_new">#N/A</definedName>
    <definedName name="Slicer_influencer_category">#N/A</definedName>
    <definedName name="Slicer_platform">#N/A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FCE2AD5D-F65C-4FA6-A056-5C36A1767C68}">
      <x15:dataModel>
        <x15:modelTables>
          <x15:modelTable id="Table4" name="Table4" connection="WorksheetConnection_Copy of influencer_marketing_roi_dataset 3.xlsx!Table4"/>
          <x15:modelTable id="Table3" name="Table3" connection="WorksheetConnection_Copy of influencer_marketing_roi_dataset 3.xlsx!Table3"/>
          <x15:modelTable id="Table1" name="Table1" connection="WorksheetConnection_Copy of influencer_marketing_roi_dataset 3.xlsx!Table1"/>
        </x15:modelTables>
        <x15:modelRelationships>
          <x15:modelRelationship fromTable="Table3" fromColumn="campaign_id" toTable="Table4" toColumn="campaign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28" i="1" l="1"/>
  <c r="I1327" i="1"/>
  <c r="I1326" i="1"/>
  <c r="I970" i="1"/>
  <c r="I969" i="1"/>
  <c r="I968" i="1"/>
  <c r="I967" i="1"/>
  <c r="I966" i="1"/>
  <c r="I965" i="1"/>
  <c r="I945" i="1"/>
  <c r="I944" i="1"/>
  <c r="I943" i="1"/>
  <c r="I942" i="1"/>
  <c r="I896" i="1"/>
  <c r="I895" i="1"/>
  <c r="I894" i="1"/>
  <c r="I893" i="1"/>
  <c r="I858" i="1"/>
  <c r="I857" i="1"/>
  <c r="I856" i="1"/>
  <c r="I855" i="1"/>
  <c r="I829" i="1"/>
  <c r="I828" i="1"/>
  <c r="I827" i="1"/>
  <c r="I826" i="1"/>
  <c r="I825" i="1"/>
  <c r="I824" i="1"/>
  <c r="I823" i="1"/>
  <c r="I822" i="1"/>
  <c r="I821" i="1"/>
  <c r="I820" i="1"/>
  <c r="I819" i="1"/>
  <c r="I818" i="1"/>
  <c r="I817" i="1"/>
  <c r="I816" i="1"/>
  <c r="I815" i="1"/>
  <c r="I814" i="1"/>
  <c r="I813" i="1"/>
  <c r="I708" i="1"/>
  <c r="I707" i="1"/>
  <c r="I706" i="1"/>
  <c r="I705" i="1"/>
  <c r="I704" i="1"/>
  <c r="I703" i="1"/>
  <c r="I702" i="1"/>
  <c r="I701" i="1"/>
  <c r="I700" i="1"/>
  <c r="I544" i="1"/>
  <c r="I543" i="1"/>
  <c r="I542" i="1"/>
  <c r="I541" i="1"/>
  <c r="I540" i="1"/>
  <c r="I539" i="1"/>
  <c r="I538" i="1"/>
  <c r="I537" i="1"/>
  <c r="I536" i="1"/>
  <c r="I535" i="1"/>
  <c r="I534" i="1"/>
  <c r="I533" i="1"/>
  <c r="I532" i="1"/>
  <c r="I531" i="1"/>
  <c r="I530" i="1"/>
  <c r="I446" i="1"/>
  <c r="I445" i="1"/>
  <c r="I444" i="1"/>
  <c r="I443" i="1"/>
  <c r="I442" i="1"/>
  <c r="I441" i="1"/>
  <c r="I440" i="1"/>
  <c r="I439" i="1"/>
  <c r="I348" i="1"/>
  <c r="I347" i="1"/>
  <c r="I346" i="1"/>
  <c r="I345" i="1"/>
  <c r="I344" i="1"/>
  <c r="I343" i="1"/>
  <c r="I342" i="1"/>
  <c r="I341" i="1"/>
  <c r="I340" i="1"/>
  <c r="I339" i="1"/>
  <c r="I338" i="1"/>
  <c r="I337" i="1"/>
  <c r="I336" i="1"/>
  <c r="I335" i="1"/>
  <c r="I334" i="1"/>
  <c r="I300" i="1"/>
  <c r="I299" i="1"/>
  <c r="I298" i="1"/>
  <c r="I297" i="1"/>
  <c r="I296" i="1"/>
  <c r="I295" i="1"/>
  <c r="I294" i="1"/>
  <c r="I293" i="1"/>
  <c r="I292" i="1"/>
  <c r="I291" i="1"/>
  <c r="I290" i="1"/>
  <c r="I289" i="1"/>
  <c r="I288" i="1"/>
  <c r="I287" i="1"/>
  <c r="I272" i="1"/>
  <c r="I271" i="1"/>
  <c r="I270" i="1"/>
  <c r="I269" i="1"/>
  <c r="I268" i="1"/>
  <c r="I267" i="1"/>
  <c r="I266" i="1"/>
  <c r="I265" i="1"/>
  <c r="I264" i="1"/>
  <c r="I263" i="1"/>
  <c r="I262" i="1"/>
  <c r="I237" i="1"/>
  <c r="I196" i="1"/>
  <c r="I195" i="1"/>
  <c r="I194" i="1"/>
  <c r="I193" i="1"/>
  <c r="I185" i="1"/>
  <c r="I149" i="1"/>
  <c r="I117" i="1"/>
  <c r="I108" i="1"/>
  <c r="I72" i="1"/>
  <c r="I64" i="1"/>
  <c r="I32" i="1"/>
  <c r="I10" i="1"/>
  <c r="J761" i="1"/>
  <c r="J762" i="1"/>
  <c r="J763" i="1"/>
  <c r="J764" i="1"/>
  <c r="J765" i="1"/>
  <c r="J766" i="1"/>
  <c r="J767" i="1"/>
  <c r="J768" i="1"/>
  <c r="J769" i="1"/>
  <c r="J770" i="1"/>
  <c r="J771" i="1"/>
  <c r="J772" i="1"/>
  <c r="J773" i="1"/>
  <c r="J774" i="1"/>
  <c r="J775" i="1"/>
  <c r="J776" i="1"/>
  <c r="J760" i="1"/>
  <c r="I7" i="5" l="1"/>
  <c r="J7" i="5"/>
  <c r="I8" i="5"/>
  <c r="J8" i="5"/>
  <c r="I9" i="5"/>
  <c r="J9" i="5"/>
  <c r="I10" i="5"/>
  <c r="J10" i="5"/>
  <c r="I11" i="5"/>
  <c r="J11" i="5"/>
  <c r="P34" i="5"/>
  <c r="H13" i="5"/>
  <c r="I46" i="5" a="1"/>
  <c r="I46" i="5" s="1"/>
  <c r="J2" i="5"/>
  <c r="I2" i="5"/>
  <c r="E9" i="5"/>
  <c r="E6" i="5"/>
  <c r="E3" i="5"/>
  <c r="L2" i="1" l="1"/>
  <c r="L10" i="1"/>
  <c r="L3" i="1"/>
  <c r="L4" i="1"/>
  <c r="L5" i="1"/>
  <c r="L6" i="1"/>
  <c r="L7" i="1"/>
  <c r="L8" i="1"/>
  <c r="L9"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K3" i="1"/>
  <c r="K1334" i="1"/>
  <c r="K1337" i="1"/>
  <c r="K4" i="1"/>
  <c r="K5" i="1"/>
  <c r="K6" i="1"/>
  <c r="K7" i="1"/>
  <c r="K8" i="1"/>
  <c r="K9" i="1"/>
  <c r="K10" i="1"/>
  <c r="K11" i="1"/>
  <c r="K12"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5" i="1"/>
  <c r="K1336" i="1"/>
  <c r="K2" i="1"/>
  <c r="J3" i="5"/>
  <c r="I3" i="5"/>
  <c r="C6" i="5"/>
  <c r="F39" i="5"/>
  <c r="D9" i="5"/>
  <c r="C3" i="5"/>
  <c r="B12"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D835B3C-8297-4784-969E-F6DA402973F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A440AC2-F248-4298-9FBD-8CF9B49AB5B2}" name="WorksheetConnection_Copy of influencer_marketing_roi_dataset 3.xlsx!Table1" type="102" refreshedVersion="8" minRefreshableVersion="5">
    <extLst>
      <ext xmlns:x15="http://schemas.microsoft.com/office/spreadsheetml/2010/11/main" uri="{DE250136-89BD-433C-8126-D09CA5730AF9}">
        <x15:connection id="Table1">
          <x15:rangePr sourceName="_xlcn.WorksheetConnection_Copyofinfluencer_marketing_roi_dataset3.xlsxTable11"/>
        </x15:connection>
      </ext>
    </extLst>
  </connection>
  <connection id="3" xr16:uid="{5316C462-7694-4B89-9966-A7BE8895B788}" name="WorksheetConnection_Copy of influencer_marketing_roi_dataset 3.xlsx!Table3" type="102" refreshedVersion="8" minRefreshableVersion="5">
    <extLst>
      <ext xmlns:x15="http://schemas.microsoft.com/office/spreadsheetml/2010/11/main" uri="{DE250136-89BD-433C-8126-D09CA5730AF9}">
        <x15:connection id="Table3">
          <x15:rangePr sourceName="_xlcn.WorksheetConnection_Copyofinfluencer_marketing_roi_dataset3.xlsxTable31"/>
        </x15:connection>
      </ext>
    </extLst>
  </connection>
  <connection id="4" xr16:uid="{BCFD2336-A400-4FDA-A2A5-BF084123149A}" name="WorksheetConnection_Copy of influencer_marketing_roi_dataset 3.xlsx!Table4" type="102" refreshedVersion="8" minRefreshableVersion="5">
    <extLst>
      <ext xmlns:x15="http://schemas.microsoft.com/office/spreadsheetml/2010/11/main" uri="{DE250136-89BD-433C-8126-D09CA5730AF9}">
        <x15:connection id="Table4">
          <x15:rangePr sourceName="_xlcn.WorksheetConnection_Copyofinfluencer_marketing_roi_dataset3.xlsxTable4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<sst xmlns="http://schemas.openxmlformats.org/spreadsheetml/2006/main" count="5522" uniqueCount="1423">
  <si>
    <t>campaign_id</t>
  </si>
  <si>
    <t>platform</t>
  </si>
  <si>
    <t>influencer_category</t>
  </si>
  <si>
    <t>start_date</t>
  </si>
  <si>
    <t>engagements</t>
  </si>
  <si>
    <t>estimated_reach</t>
  </si>
  <si>
    <t>product_sales</t>
  </si>
  <si>
    <t>campaign_duration_days</t>
  </si>
  <si>
    <t>end_date</t>
  </si>
  <si>
    <t>CAMP100000</t>
  </si>
  <si>
    <t>TikTok</t>
  </si>
  <si>
    <t>Fitness</t>
  </si>
  <si>
    <t>Giveaway</t>
  </si>
  <si>
    <t>CAMP100001</t>
  </si>
  <si>
    <t>YouTube</t>
  </si>
  <si>
    <t>Food</t>
  </si>
  <si>
    <t>Product Launch</t>
  </si>
  <si>
    <t>CAMP100002</t>
  </si>
  <si>
    <t>Travel</t>
  </si>
  <si>
    <t>Brand Awareness</t>
  </si>
  <si>
    <t>CAMP100003</t>
  </si>
  <si>
    <t>CAMP100004</t>
  </si>
  <si>
    <t>Instagram</t>
  </si>
  <si>
    <t>CAMP100005</t>
  </si>
  <si>
    <t>Twitter</t>
  </si>
  <si>
    <t>Beauty</t>
  </si>
  <si>
    <t>CAMP100006</t>
  </si>
  <si>
    <t>Tech</t>
  </si>
  <si>
    <t>Seasonal Sale</t>
  </si>
  <si>
    <t>CAMP100007</t>
  </si>
  <si>
    <t>Gaming</t>
  </si>
  <si>
    <t>CAMP100008</t>
  </si>
  <si>
    <t>Event Promotion</t>
  </si>
  <si>
    <t>CAMP100009</t>
  </si>
  <si>
    <t>CAMP100011</t>
  </si>
  <si>
    <t>CAMP100012</t>
  </si>
  <si>
    <t>CAMP100013</t>
  </si>
  <si>
    <t>Fashion</t>
  </si>
  <si>
    <t>CAMP100014</t>
  </si>
  <si>
    <t>CAMP100015</t>
  </si>
  <si>
    <t>CAMP100016</t>
  </si>
  <si>
    <t>CAMP100017</t>
  </si>
  <si>
    <t>CAMP100018</t>
  </si>
  <si>
    <t>CAMP100019</t>
  </si>
  <si>
    <t>CAMP100020</t>
  </si>
  <si>
    <t>CAMP100021</t>
  </si>
  <si>
    <t>CAMP100022</t>
  </si>
  <si>
    <t>CAMP100023</t>
  </si>
  <si>
    <t>CAMP100024</t>
  </si>
  <si>
    <t>CAMP100025</t>
  </si>
  <si>
    <t>CAMP100026</t>
  </si>
  <si>
    <t>CAMP100027</t>
  </si>
  <si>
    <t>CAMP100028</t>
  </si>
  <si>
    <t>CAMP100030</t>
  </si>
  <si>
    <t>CAMP100031</t>
  </si>
  <si>
    <t>CAMP100032</t>
  </si>
  <si>
    <t>CAMP100033</t>
  </si>
  <si>
    <t>CAMP100034</t>
  </si>
  <si>
    <t>CAMP100035</t>
  </si>
  <si>
    <t>CAMP100036</t>
  </si>
  <si>
    <t>CAMP100037</t>
  </si>
  <si>
    <t>CAMP100038</t>
  </si>
  <si>
    <t>CAMP100039</t>
  </si>
  <si>
    <t>CAMP100040</t>
  </si>
  <si>
    <t>CAMP100041</t>
  </si>
  <si>
    <t>CAMP100042</t>
  </si>
  <si>
    <t>CAMP100043</t>
  </si>
  <si>
    <t>CAMP100045</t>
  </si>
  <si>
    <t>CAMP100046</t>
  </si>
  <si>
    <t>CAMP100047</t>
  </si>
  <si>
    <t>CAMP100048</t>
  </si>
  <si>
    <t>CAMP100049</t>
  </si>
  <si>
    <t>CAMP100050</t>
  </si>
  <si>
    <t>CAMP100051</t>
  </si>
  <si>
    <t>CAMP100052</t>
  </si>
  <si>
    <t>CAMP100053</t>
  </si>
  <si>
    <t>CAMP100054</t>
  </si>
  <si>
    <t>CAMP100055</t>
  </si>
  <si>
    <t>CAMP100056</t>
  </si>
  <si>
    <t>CAMP100057</t>
  </si>
  <si>
    <t>CAMP100058</t>
  </si>
  <si>
    <t>CAMP100059</t>
  </si>
  <si>
    <t>CAMP100060</t>
  </si>
  <si>
    <t>CAMP100061</t>
  </si>
  <si>
    <t>CAMP100062</t>
  </si>
  <si>
    <t>CAMP100063</t>
  </si>
  <si>
    <t>CAMP100064</t>
  </si>
  <si>
    <t>CAMP100065</t>
  </si>
  <si>
    <t>CAMP100066</t>
  </si>
  <si>
    <t>CAMP100067</t>
  </si>
  <si>
    <t>CAMP100068</t>
  </si>
  <si>
    <t>CAMP100069</t>
  </si>
  <si>
    <t>CAMP100070</t>
  </si>
  <si>
    <t>CAMP100071</t>
  </si>
  <si>
    <t>CAMP100072</t>
  </si>
  <si>
    <t>CAMP100073</t>
  </si>
  <si>
    <t>CAMP100074</t>
  </si>
  <si>
    <t>CAMP100075</t>
  </si>
  <si>
    <t>CAMP100076</t>
  </si>
  <si>
    <t>CAMP100077</t>
  </si>
  <si>
    <t>CAMP100078</t>
  </si>
  <si>
    <t>CAMP100079</t>
  </si>
  <si>
    <t>CAMP100080</t>
  </si>
  <si>
    <t>CAMP100081</t>
  </si>
  <si>
    <t>CAMP100082</t>
  </si>
  <si>
    <t>CAMP100083</t>
  </si>
  <si>
    <t>CAMP100084</t>
  </si>
  <si>
    <t>CAMP100085</t>
  </si>
  <si>
    <t>CAMP100086</t>
  </si>
  <si>
    <t>CAMP100087</t>
  </si>
  <si>
    <t>CAMP100088</t>
  </si>
  <si>
    <t>CAMP100089</t>
  </si>
  <si>
    <t>CAMP100090</t>
  </si>
  <si>
    <t>CAMP100091</t>
  </si>
  <si>
    <t>CAMP100092</t>
  </si>
  <si>
    <t>CAMP100093</t>
  </si>
  <si>
    <t>CAMP100094</t>
  </si>
  <si>
    <t>CAMP100095</t>
  </si>
  <si>
    <t>CAMP100096</t>
  </si>
  <si>
    <t>CAMP100097</t>
  </si>
  <si>
    <t>CAMP100098</t>
  </si>
  <si>
    <t>CAMP100099</t>
  </si>
  <si>
    <t>CAMP100100</t>
  </si>
  <si>
    <t>CAMP100101</t>
  </si>
  <si>
    <t>CAMP100102</t>
  </si>
  <si>
    <t>CAMP100103</t>
  </si>
  <si>
    <t>CAMP100104</t>
  </si>
  <si>
    <t>CAMP100106</t>
  </si>
  <si>
    <t>CAMP100107</t>
  </si>
  <si>
    <t>CAMP100108</t>
  </si>
  <si>
    <t>CAMP100109</t>
  </si>
  <si>
    <t>CAMP100110</t>
  </si>
  <si>
    <t>CAMP100111</t>
  </si>
  <si>
    <t>CAMP100112</t>
  </si>
  <si>
    <t>CAMP100113</t>
  </si>
  <si>
    <t>CAMP100114</t>
  </si>
  <si>
    <t>CAMP100115</t>
  </si>
  <si>
    <t>CAMP100116</t>
  </si>
  <si>
    <t>CAMP100117</t>
  </si>
  <si>
    <t>CAMP100118</t>
  </si>
  <si>
    <t>CAMP100119</t>
  </si>
  <si>
    <t>CAMP100120</t>
  </si>
  <si>
    <t>CAMP100121</t>
  </si>
  <si>
    <t>CAMP100122</t>
  </si>
  <si>
    <t>CAMP100123</t>
  </si>
  <si>
    <t>CAMP100124</t>
  </si>
  <si>
    <t>CAMP100125</t>
  </si>
  <si>
    <t>CAMP100126</t>
  </si>
  <si>
    <t>CAMP100127</t>
  </si>
  <si>
    <t>CAMP100128</t>
  </si>
  <si>
    <t>CAMP100129</t>
  </si>
  <si>
    <t>CAMP100130</t>
  </si>
  <si>
    <t>CAMP100131</t>
  </si>
  <si>
    <t>CAMP100132</t>
  </si>
  <si>
    <t>CAMP100133</t>
  </si>
  <si>
    <t>CAMP100134</t>
  </si>
  <si>
    <t>CAMP100135</t>
  </si>
  <si>
    <t>CAMP100136</t>
  </si>
  <si>
    <t>CAMP100137</t>
  </si>
  <si>
    <t>CAMP100138</t>
  </si>
  <si>
    <t>CAMP100139</t>
  </si>
  <si>
    <t>CAMP100140</t>
  </si>
  <si>
    <t>CAMP100141</t>
  </si>
  <si>
    <t>CAMP100143</t>
  </si>
  <si>
    <t>CAMP100144</t>
  </si>
  <si>
    <t>CAMP100145</t>
  </si>
  <si>
    <t>CAMP100146</t>
  </si>
  <si>
    <t>CAMP100147</t>
  </si>
  <si>
    <t>CAMP100148</t>
  </si>
  <si>
    <t>CAMP100149</t>
  </si>
  <si>
    <t>CAMP100150</t>
  </si>
  <si>
    <t>CAMP100152</t>
  </si>
  <si>
    <t>CAMP100153</t>
  </si>
  <si>
    <t>CAMP100154</t>
  </si>
  <si>
    <t>CAMP100155</t>
  </si>
  <si>
    <t>CAMP100156</t>
  </si>
  <si>
    <t>CAMP100157</t>
  </si>
  <si>
    <t>CAMP100158</t>
  </si>
  <si>
    <t>CAMP100159</t>
  </si>
  <si>
    <t>CAMP100160</t>
  </si>
  <si>
    <t>CAMP100161</t>
  </si>
  <si>
    <t>CAMP100162</t>
  </si>
  <si>
    <t>CAMP100163</t>
  </si>
  <si>
    <t>CAMP100164</t>
  </si>
  <si>
    <t>CAMP100165</t>
  </si>
  <si>
    <t>CAMP100166</t>
  </si>
  <si>
    <t>CAMP100167</t>
  </si>
  <si>
    <t>CAMP100168</t>
  </si>
  <si>
    <t>CAMP100169</t>
  </si>
  <si>
    <t>CAMP100170</t>
  </si>
  <si>
    <t>CAMP100171</t>
  </si>
  <si>
    <t>CAMP100172</t>
  </si>
  <si>
    <t>CAMP100173</t>
  </si>
  <si>
    <t>CAMP100174</t>
  </si>
  <si>
    <t>CAMP100175</t>
  </si>
  <si>
    <t>CAMP100176</t>
  </si>
  <si>
    <t>CAMP100177</t>
  </si>
  <si>
    <t>CAMP100178</t>
  </si>
  <si>
    <t>CAMP100179</t>
  </si>
  <si>
    <t>CAMP100180</t>
  </si>
  <si>
    <t>CAMP100181</t>
  </si>
  <si>
    <t>CAMP100182</t>
  </si>
  <si>
    <t>CAMP100183</t>
  </si>
  <si>
    <t>CAMP100184</t>
  </si>
  <si>
    <t>CAMP100185</t>
  </si>
  <si>
    <t>CAMP100186</t>
  </si>
  <si>
    <t>CAMP100187</t>
  </si>
  <si>
    <t>CAMP100188</t>
  </si>
  <si>
    <t>CAMP100189</t>
  </si>
  <si>
    <t>CAMP100190</t>
  </si>
  <si>
    <t>CAMP100191</t>
  </si>
  <si>
    <t>CAMP100192</t>
  </si>
  <si>
    <t>CAMP100193</t>
  </si>
  <si>
    <t>CAMP100194</t>
  </si>
  <si>
    <t>CAMP100195</t>
  </si>
  <si>
    <t>CAMP100196</t>
  </si>
  <si>
    <t>CAMP100197</t>
  </si>
  <si>
    <t>CAMP100198</t>
  </si>
  <si>
    <t>CAMP100199</t>
  </si>
  <si>
    <t>CAMP100200</t>
  </si>
  <si>
    <t>CAMP100201</t>
  </si>
  <si>
    <t>CAMP100202</t>
  </si>
  <si>
    <t>CAMP100203</t>
  </si>
  <si>
    <t>CAMP100204</t>
  </si>
  <si>
    <t>CAMP100205</t>
  </si>
  <si>
    <t>CAMP100206</t>
  </si>
  <si>
    <t>CAMP100207</t>
  </si>
  <si>
    <t>CAMP100208</t>
  </si>
  <si>
    <t>CAMP100209</t>
  </si>
  <si>
    <t>CAMP100210</t>
  </si>
  <si>
    <t>CAMP100211</t>
  </si>
  <si>
    <t>CAMP100212</t>
  </si>
  <si>
    <t>CAMP100213</t>
  </si>
  <si>
    <t>CAMP100214</t>
  </si>
  <si>
    <t>CAMP100216</t>
  </si>
  <si>
    <t>CAMP100217</t>
  </si>
  <si>
    <t>CAMP100218</t>
  </si>
  <si>
    <t>CAMP100219</t>
  </si>
  <si>
    <t>CAMP100220</t>
  </si>
  <si>
    <t>CAMP100221</t>
  </si>
  <si>
    <t>CAMP100222</t>
  </si>
  <si>
    <t>CAMP100223</t>
  </si>
  <si>
    <t>CAMP100224</t>
  </si>
  <si>
    <t>CAMP100225</t>
  </si>
  <si>
    <t>CAMP100226</t>
  </si>
  <si>
    <t>CAMP100228</t>
  </si>
  <si>
    <t>CAMP100229</t>
  </si>
  <si>
    <t>CAMP100230</t>
  </si>
  <si>
    <t>CAMP100231</t>
  </si>
  <si>
    <t>CAMP100232</t>
  </si>
  <si>
    <t>CAMP100233</t>
  </si>
  <si>
    <t>CAMP100234</t>
  </si>
  <si>
    <t>CAMP100235</t>
  </si>
  <si>
    <t>CAMP100236</t>
  </si>
  <si>
    <t>CAMP100237</t>
  </si>
  <si>
    <t>CAMP100238</t>
  </si>
  <si>
    <t>CAMP100239</t>
  </si>
  <si>
    <t>CAMP100240</t>
  </si>
  <si>
    <t>CAMP100241</t>
  </si>
  <si>
    <t>CAMP100242</t>
  </si>
  <si>
    <t>CAMP100243</t>
  </si>
  <si>
    <t>CAMP100244</t>
  </si>
  <si>
    <t>CAMP100245</t>
  </si>
  <si>
    <t>CAMP100246</t>
  </si>
  <si>
    <t>CAMP100247</t>
  </si>
  <si>
    <t>CAMP100248</t>
  </si>
  <si>
    <t>CAMP100249</t>
  </si>
  <si>
    <t>CAMP100250</t>
  </si>
  <si>
    <t>CAMP100251</t>
  </si>
  <si>
    <t>CAMP100252</t>
  </si>
  <si>
    <t>CAMP100253</t>
  </si>
  <si>
    <t>CAMP100254</t>
  </si>
  <si>
    <t>CAMP100255</t>
  </si>
  <si>
    <t>CAMP100256</t>
  </si>
  <si>
    <t>CAMP100257</t>
  </si>
  <si>
    <t>CAMP100258</t>
  </si>
  <si>
    <t>CAMP100259</t>
  </si>
  <si>
    <t>CAMP100260</t>
  </si>
  <si>
    <t>CAMP100261</t>
  </si>
  <si>
    <t>CAMP100262</t>
  </si>
  <si>
    <t>CAMP100263</t>
  </si>
  <si>
    <t>CAMP100264</t>
  </si>
  <si>
    <t>CAMP100265</t>
  </si>
  <si>
    <t>CAMP100266</t>
  </si>
  <si>
    <t>CAMP100267</t>
  </si>
  <si>
    <t>CAMP100268</t>
  </si>
  <si>
    <t>CAMP100269</t>
  </si>
  <si>
    <t>CAMP100270</t>
  </si>
  <si>
    <t>CAMP100271</t>
  </si>
  <si>
    <t>CAMP100272</t>
  </si>
  <si>
    <t>CAMP100273</t>
  </si>
  <si>
    <t>CAMP100274</t>
  </si>
  <si>
    <t>CAMP100275</t>
  </si>
  <si>
    <t>CAMP100276</t>
  </si>
  <si>
    <t>CAMP100277</t>
  </si>
  <si>
    <t>CAMP100278</t>
  </si>
  <si>
    <t>CAMP100279</t>
  </si>
  <si>
    <t>CAMP100280</t>
  </si>
  <si>
    <t>CAMP100281</t>
  </si>
  <si>
    <t>CAMP100282</t>
  </si>
  <si>
    <t>CAMP100283</t>
  </si>
  <si>
    <t>CAMP100284</t>
  </si>
  <si>
    <t>CAMP100285</t>
  </si>
  <si>
    <t>CAMP100286</t>
  </si>
  <si>
    <t>CAMP100287</t>
  </si>
  <si>
    <t>CAMP100288</t>
  </si>
  <si>
    <t>CAMP100289</t>
  </si>
  <si>
    <t>CAMP100290</t>
  </si>
  <si>
    <t>CAMP100291</t>
  </si>
  <si>
    <t>CAMP100292</t>
  </si>
  <si>
    <t>CAMP100293</t>
  </si>
  <si>
    <t>CAMP100294</t>
  </si>
  <si>
    <t>CAMP100295</t>
  </si>
  <si>
    <t>CAMP100296</t>
  </si>
  <si>
    <t>CAMP100297</t>
  </si>
  <si>
    <t>CAMP100298</t>
  </si>
  <si>
    <t>CAMP100299</t>
  </si>
  <si>
    <t>CAMP100300</t>
  </si>
  <si>
    <t>CAMP100301</t>
  </si>
  <si>
    <t>CAMP100302</t>
  </si>
  <si>
    <t>CAMP100303</t>
  </si>
  <si>
    <t>CAMP100305</t>
  </si>
  <si>
    <t>CAMP100306</t>
  </si>
  <si>
    <t>CAMP100307</t>
  </si>
  <si>
    <t>CAMP100308</t>
  </si>
  <si>
    <t>CAMP100309</t>
  </si>
  <si>
    <t>CAMP100312</t>
  </si>
  <si>
    <t>CAMP100313</t>
  </si>
  <si>
    <t>CAMP100314</t>
  </si>
  <si>
    <t>CAMP100315</t>
  </si>
  <si>
    <t>CAMP100316</t>
  </si>
  <si>
    <t>CAMP100317</t>
  </si>
  <si>
    <t>CAMP100318</t>
  </si>
  <si>
    <t>CAMP100319</t>
  </si>
  <si>
    <t>CAMP100320</t>
  </si>
  <si>
    <t>CAMP100321</t>
  </si>
  <si>
    <t>CAMP100322</t>
  </si>
  <si>
    <t>CAMP100323</t>
  </si>
  <si>
    <t>CAMP100324</t>
  </si>
  <si>
    <t>CAMP100325</t>
  </si>
  <si>
    <t>CAMP100326</t>
  </si>
  <si>
    <t>CAMP100327</t>
  </si>
  <si>
    <t>CAMP100328</t>
  </si>
  <si>
    <t>CAMP100329</t>
  </si>
  <si>
    <t>CAMP100330</t>
  </si>
  <si>
    <t>CAMP100331</t>
  </si>
  <si>
    <t>CAMP100332</t>
  </si>
  <si>
    <t>CAMP100333</t>
  </si>
  <si>
    <t>CAMP100334</t>
  </si>
  <si>
    <t>CAMP100335</t>
  </si>
  <si>
    <t>CAMP100336</t>
  </si>
  <si>
    <t>CAMP100337</t>
  </si>
  <si>
    <t>CAMP100338</t>
  </si>
  <si>
    <t>CAMP100339</t>
  </si>
  <si>
    <t>CAMP100340</t>
  </si>
  <si>
    <t>CAMP100341</t>
  </si>
  <si>
    <t>CAMP100342</t>
  </si>
  <si>
    <t>CAMP100343</t>
  </si>
  <si>
    <t>CAMP100344</t>
  </si>
  <si>
    <t>CAMP100345</t>
  </si>
  <si>
    <t>CAMP100346</t>
  </si>
  <si>
    <t>CAMP100347</t>
  </si>
  <si>
    <t>CAMP100348</t>
  </si>
  <si>
    <t>CAMP100349</t>
  </si>
  <si>
    <t>CAMP100350</t>
  </si>
  <si>
    <t>CAMP100351</t>
  </si>
  <si>
    <t>CAMP100352</t>
  </si>
  <si>
    <t>CAMP100353</t>
  </si>
  <si>
    <t>CAMP100354</t>
  </si>
  <si>
    <t>CAMP100356</t>
  </si>
  <si>
    <t>CAMP100357</t>
  </si>
  <si>
    <t>CAMP100358</t>
  </si>
  <si>
    <t>CAMP100359</t>
  </si>
  <si>
    <t>CAMP100360</t>
  </si>
  <si>
    <t>CAMP100361</t>
  </si>
  <si>
    <t>CAMP100362</t>
  </si>
  <si>
    <t>CAMP100363</t>
  </si>
  <si>
    <t>CAMP100364</t>
  </si>
  <si>
    <t>CAMP100365</t>
  </si>
  <si>
    <t>CAMP100366</t>
  </si>
  <si>
    <t>CAMP100367</t>
  </si>
  <si>
    <t>CAMP100368</t>
  </si>
  <si>
    <t>CAMP100369</t>
  </si>
  <si>
    <t>CAMP100370</t>
  </si>
  <si>
    <t>CAMP100371</t>
  </si>
  <si>
    <t>CAMP100372</t>
  </si>
  <si>
    <t>CAMP100373</t>
  </si>
  <si>
    <t>CAMP100374</t>
  </si>
  <si>
    <t>CAMP100375</t>
  </si>
  <si>
    <t>CAMP100376</t>
  </si>
  <si>
    <t>CAMP100377</t>
  </si>
  <si>
    <t>CAMP100378</t>
  </si>
  <si>
    <t>CAMP100379</t>
  </si>
  <si>
    <t>CAMP100380</t>
  </si>
  <si>
    <t>CAMP100381</t>
  </si>
  <si>
    <t>CAMP100382</t>
  </si>
  <si>
    <t>CAMP100383</t>
  </si>
  <si>
    <t>CAMP100384</t>
  </si>
  <si>
    <t>CAMP100385</t>
  </si>
  <si>
    <t>CAMP100386</t>
  </si>
  <si>
    <t>CAMP100387</t>
  </si>
  <si>
    <t>CAMP100388</t>
  </si>
  <si>
    <t>CAMP100389</t>
  </si>
  <si>
    <t>CAMP100390</t>
  </si>
  <si>
    <t>CAMP100391</t>
  </si>
  <si>
    <t>CAMP100392</t>
  </si>
  <si>
    <t>CAMP100393</t>
  </si>
  <si>
    <t>CAMP100394</t>
  </si>
  <si>
    <t>CAMP100395</t>
  </si>
  <si>
    <t>CAMP100396</t>
  </si>
  <si>
    <t>CAMP100397</t>
  </si>
  <si>
    <t>CAMP100398</t>
  </si>
  <si>
    <t>CAMP100399</t>
  </si>
  <si>
    <t>CAMP100400</t>
  </si>
  <si>
    <t>CAMP100401</t>
  </si>
  <si>
    <t>CAMP100402</t>
  </si>
  <si>
    <t>CAMP100403</t>
  </si>
  <si>
    <t>CAMP100404</t>
  </si>
  <si>
    <t>CAMP100405</t>
  </si>
  <si>
    <t>CAMP100406</t>
  </si>
  <si>
    <t>CAMP100407</t>
  </si>
  <si>
    <t>CAMP100409</t>
  </si>
  <si>
    <t>CAMP100410</t>
  </si>
  <si>
    <t>CAMP100411</t>
  </si>
  <si>
    <t>CAMP100412</t>
  </si>
  <si>
    <t>CAMP100413</t>
  </si>
  <si>
    <t>CAMP100415</t>
  </si>
  <si>
    <t>CAMP100416</t>
  </si>
  <si>
    <t>CAMP100417</t>
  </si>
  <si>
    <t>CAMP100418</t>
  </si>
  <si>
    <t>CAMP100419</t>
  </si>
  <si>
    <t>CAMP100420</t>
  </si>
  <si>
    <t>CAMP100421</t>
  </si>
  <si>
    <t>CAMP100422</t>
  </si>
  <si>
    <t>CAMP100423</t>
  </si>
  <si>
    <t>CAMP100424</t>
  </si>
  <si>
    <t>CAMP100425</t>
  </si>
  <si>
    <t>CAMP100426</t>
  </si>
  <si>
    <t>CAMP100427</t>
  </si>
  <si>
    <t>CAMP100428</t>
  </si>
  <si>
    <t>CAMP100429</t>
  </si>
  <si>
    <t>CAMP100430</t>
  </si>
  <si>
    <t>CAMP100431</t>
  </si>
  <si>
    <t>CAMP100432</t>
  </si>
  <si>
    <t>CAMP100433</t>
  </si>
  <si>
    <t>CAMP100434</t>
  </si>
  <si>
    <t>CAMP100435</t>
  </si>
  <si>
    <t>CAMP100436</t>
  </si>
  <si>
    <t>CAMP100437</t>
  </si>
  <si>
    <t>CAMP100438</t>
  </si>
  <si>
    <t>CAMP100439</t>
  </si>
  <si>
    <t>CAMP100440</t>
  </si>
  <si>
    <t>CAMP100441</t>
  </si>
  <si>
    <t>CAMP100442</t>
  </si>
  <si>
    <t>CAMP100443</t>
  </si>
  <si>
    <t>CAMP100444</t>
  </si>
  <si>
    <t>CAMP100445</t>
  </si>
  <si>
    <t>CAMP100446</t>
  </si>
  <si>
    <t>CAMP100447</t>
  </si>
  <si>
    <t>CAMP100448</t>
  </si>
  <si>
    <t>CAMP100449</t>
  </si>
  <si>
    <t>CAMP100450</t>
  </si>
  <si>
    <t>CAMP100451</t>
  </si>
  <si>
    <t>CAMP100452</t>
  </si>
  <si>
    <t>CAMP100453</t>
  </si>
  <si>
    <t>CAMP100454</t>
  </si>
  <si>
    <t>CAMP100455</t>
  </si>
  <si>
    <t>CAMP100456</t>
  </si>
  <si>
    <t>CAMP100457</t>
  </si>
  <si>
    <t>CAMP100458</t>
  </si>
  <si>
    <t>CAMP100459</t>
  </si>
  <si>
    <t>CAMP100460</t>
  </si>
  <si>
    <t>CAMP100461</t>
  </si>
  <si>
    <t>CAMP100462</t>
  </si>
  <si>
    <t>CAMP100463</t>
  </si>
  <si>
    <t>CAMP100464</t>
  </si>
  <si>
    <t>CAMP100465</t>
  </si>
  <si>
    <t>CAMP100466</t>
  </si>
  <si>
    <t>CAMP100467</t>
  </si>
  <si>
    <t>CAMP100468</t>
  </si>
  <si>
    <t>CAMP100469</t>
  </si>
  <si>
    <t>CAMP100470</t>
  </si>
  <si>
    <t>CAMP100471</t>
  </si>
  <si>
    <t>CAMP100472</t>
  </si>
  <si>
    <t>CAMP100473</t>
  </si>
  <si>
    <t>CAMP100474</t>
  </si>
  <si>
    <t>CAMP100476</t>
  </si>
  <si>
    <t>CAMP100477</t>
  </si>
  <si>
    <t>CAMP100478</t>
  </si>
  <si>
    <t>CAMP100479</t>
  </si>
  <si>
    <t>CAMP100480</t>
  </si>
  <si>
    <t>CAMP100481</t>
  </si>
  <si>
    <t>CAMP100482</t>
  </si>
  <si>
    <t>CAMP100483</t>
  </si>
  <si>
    <t>CAMP100484</t>
  </si>
  <si>
    <t>CAMP100485</t>
  </si>
  <si>
    <t>CAMP100486</t>
  </si>
  <si>
    <t>CAMP100487</t>
  </si>
  <si>
    <t>CAMP100488</t>
  </si>
  <si>
    <t>CAMP100489</t>
  </si>
  <si>
    <t>CAMP100490</t>
  </si>
  <si>
    <t>CAMP100491</t>
  </si>
  <si>
    <t>CAMP100492</t>
  </si>
  <si>
    <t>CAMP100493</t>
  </si>
  <si>
    <t>CAMP100494</t>
  </si>
  <si>
    <t>CAMP100495</t>
  </si>
  <si>
    <t>CAMP100496</t>
  </si>
  <si>
    <t>CAMP100497</t>
  </si>
  <si>
    <t>CAMP100498</t>
  </si>
  <si>
    <t>CAMP100499</t>
  </si>
  <si>
    <t>CAMP100500</t>
  </si>
  <si>
    <t>CAMP100501</t>
  </si>
  <si>
    <t>CAMP100502</t>
  </si>
  <si>
    <t>CAMP100503</t>
  </si>
  <si>
    <t>CAMP100504</t>
  </si>
  <si>
    <t>CAMP100505</t>
  </si>
  <si>
    <t>CAMP100506</t>
  </si>
  <si>
    <t>CAMP100507</t>
  </si>
  <si>
    <t>CAMP100508</t>
  </si>
  <si>
    <t>CAMP100509</t>
  </si>
  <si>
    <t>CAMP100510</t>
  </si>
  <si>
    <t>CAMP100511</t>
  </si>
  <si>
    <t>CAMP100512</t>
  </si>
  <si>
    <t>CAMP100513</t>
  </si>
  <si>
    <t>CAMP100514</t>
  </si>
  <si>
    <t>CAMP100515</t>
  </si>
  <si>
    <t>CAMP100516</t>
  </si>
  <si>
    <t>CAMP100517</t>
  </si>
  <si>
    <t>CAMP100518</t>
  </si>
  <si>
    <t>CAMP100519</t>
  </si>
  <si>
    <t>CAMP100520</t>
  </si>
  <si>
    <t>CAMP100521</t>
  </si>
  <si>
    <t>CAMP100522</t>
  </si>
  <si>
    <t>CAMP100523</t>
  </si>
  <si>
    <t>CAMP100524</t>
  </si>
  <si>
    <t>CAMP100525</t>
  </si>
  <si>
    <t>CAMP100526</t>
  </si>
  <si>
    <t>CAMP100527</t>
  </si>
  <si>
    <t>CAMP100528</t>
  </si>
  <si>
    <t>CAMP100529</t>
  </si>
  <si>
    <t>CAMP100530</t>
  </si>
  <si>
    <t>CAMP100531</t>
  </si>
  <si>
    <t>CAMP100532</t>
  </si>
  <si>
    <t>CAMP100533</t>
  </si>
  <si>
    <t>CAMP100534</t>
  </si>
  <si>
    <t>CAMP100535</t>
  </si>
  <si>
    <t>CAMP100536</t>
  </si>
  <si>
    <t>CAMP100537</t>
  </si>
  <si>
    <t>CAMP100538</t>
  </si>
  <si>
    <t>CAMP100539</t>
  </si>
  <si>
    <t>CAMP100540</t>
  </si>
  <si>
    <t>CAMP100541</t>
  </si>
  <si>
    <t>CAMP100542</t>
  </si>
  <si>
    <t>CAMP100543</t>
  </si>
  <si>
    <t>CAMP100544</t>
  </si>
  <si>
    <t>CAMP100545</t>
  </si>
  <si>
    <t>CAMP100546</t>
  </si>
  <si>
    <t>CAMP100547</t>
  </si>
  <si>
    <t>CAMP100548</t>
  </si>
  <si>
    <t>CAMP100549</t>
  </si>
  <si>
    <t>CAMP100550</t>
  </si>
  <si>
    <t>CAMP100551</t>
  </si>
  <si>
    <t>CAMP100552</t>
  </si>
  <si>
    <t>CAMP100553</t>
  </si>
  <si>
    <t>CAMP100554</t>
  </si>
  <si>
    <t>CAMP100555</t>
  </si>
  <si>
    <t>CAMP100556</t>
  </si>
  <si>
    <t>CAMP100557</t>
  </si>
  <si>
    <t>CAMP100559</t>
  </si>
  <si>
    <t>CAMP100560</t>
  </si>
  <si>
    <t>CAMP100561</t>
  </si>
  <si>
    <t>CAMP100562</t>
  </si>
  <si>
    <t>CAMP100563</t>
  </si>
  <si>
    <t>CAMP100564</t>
  </si>
  <si>
    <t>CAMP100565</t>
  </si>
  <si>
    <t>CAMP100566</t>
  </si>
  <si>
    <t>CAMP100567</t>
  </si>
  <si>
    <t>CAMP100568</t>
  </si>
  <si>
    <t>CAMP100569</t>
  </si>
  <si>
    <t>CAMP100570</t>
  </si>
  <si>
    <t>CAMP100571</t>
  </si>
  <si>
    <t>CAMP100572</t>
  </si>
  <si>
    <t>CAMP100573</t>
  </si>
  <si>
    <t>CAMP100574</t>
  </si>
  <si>
    <t>CAMP100575</t>
  </si>
  <si>
    <t>CAMP100576</t>
  </si>
  <si>
    <t>CAMP100577</t>
  </si>
  <si>
    <t>CAMP100578</t>
  </si>
  <si>
    <t>CAMP100579</t>
  </si>
  <si>
    <t>CAMP100580</t>
  </si>
  <si>
    <t>CAMP100581</t>
  </si>
  <si>
    <t>CAMP100582</t>
  </si>
  <si>
    <t>CAMP100583</t>
  </si>
  <si>
    <t>CAMP100584</t>
  </si>
  <si>
    <t>CAMP100585</t>
  </si>
  <si>
    <t>CAMP100586</t>
  </si>
  <si>
    <t>CAMP100587</t>
  </si>
  <si>
    <t>CAMP100588</t>
  </si>
  <si>
    <t>CAMP100589</t>
  </si>
  <si>
    <t>CAMP100590</t>
  </si>
  <si>
    <t>CAMP100591</t>
  </si>
  <si>
    <t>CAMP100592</t>
  </si>
  <si>
    <t>CAMP100593</t>
  </si>
  <si>
    <t>CAMP100594</t>
  </si>
  <si>
    <t>CAMP100595</t>
  </si>
  <si>
    <t>CAMP100596</t>
  </si>
  <si>
    <t>CAMP100597</t>
  </si>
  <si>
    <t>CAMP100598</t>
  </si>
  <si>
    <t>CAMP100599</t>
  </si>
  <si>
    <t>CAMP100600</t>
  </si>
  <si>
    <t>CAMP100601</t>
  </si>
  <si>
    <t>CAMP100602</t>
  </si>
  <si>
    <t>CAMP100603</t>
  </si>
  <si>
    <t>CAMP100604</t>
  </si>
  <si>
    <t>CAMP100605</t>
  </si>
  <si>
    <t>CAMP100606</t>
  </si>
  <si>
    <t>CAMP100607</t>
  </si>
  <si>
    <t>CAMP100608</t>
  </si>
  <si>
    <t>CAMP100609</t>
  </si>
  <si>
    <t>CAMP100610</t>
  </si>
  <si>
    <t>CAMP100611</t>
  </si>
  <si>
    <t>CAMP100612</t>
  </si>
  <si>
    <t>CAMP100613</t>
  </si>
  <si>
    <t>CAMP100614</t>
  </si>
  <si>
    <t>CAMP100615</t>
  </si>
  <si>
    <t>CAMP100616</t>
  </si>
  <si>
    <t>CAMP100617</t>
  </si>
  <si>
    <t>CAMP100618</t>
  </si>
  <si>
    <t>CAMP100619</t>
  </si>
  <si>
    <t>CAMP100620</t>
  </si>
  <si>
    <t>CAMP100621</t>
  </si>
  <si>
    <t>CAMP100622</t>
  </si>
  <si>
    <t>CAMP100623</t>
  </si>
  <si>
    <t>CAMP100624</t>
  </si>
  <si>
    <t>CAMP100625</t>
  </si>
  <si>
    <t>CAMP100626</t>
  </si>
  <si>
    <t>CAMP100627</t>
  </si>
  <si>
    <t>CAMP100628</t>
  </si>
  <si>
    <t>CAMP100629</t>
  </si>
  <si>
    <t>CAMP100630</t>
  </si>
  <si>
    <t>CAMP100631</t>
  </si>
  <si>
    <t>CAMP100632</t>
  </si>
  <si>
    <t>CAMP100633</t>
  </si>
  <si>
    <t>CAMP100634</t>
  </si>
  <si>
    <t>CAMP100635</t>
  </si>
  <si>
    <t>CAMP100636</t>
  </si>
  <si>
    <t>CAMP100637</t>
  </si>
  <si>
    <t>CAMP100638</t>
  </si>
  <si>
    <t>CAMP100639</t>
  </si>
  <si>
    <t>CAMP100640</t>
  </si>
  <si>
    <t>CAMP100641</t>
  </si>
  <si>
    <t>CAMP100642</t>
  </si>
  <si>
    <t>CAMP100643</t>
  </si>
  <si>
    <t>CAMP100644</t>
  </si>
  <si>
    <t>CAMP100645</t>
  </si>
  <si>
    <t>CAMP100646</t>
  </si>
  <si>
    <t>CAMP100647</t>
  </si>
  <si>
    <t>CAMP100648</t>
  </si>
  <si>
    <t>CAMP100649</t>
  </si>
  <si>
    <t>CAMP100650</t>
  </si>
  <si>
    <t>CAMP100651</t>
  </si>
  <si>
    <t>CAMP100652</t>
  </si>
  <si>
    <t>CAMP100653</t>
  </si>
  <si>
    <t>CAMP100654</t>
  </si>
  <si>
    <t>CAMP100655</t>
  </si>
  <si>
    <t>CAMP100656</t>
  </si>
  <si>
    <t>CAMP100657</t>
  </si>
  <si>
    <t>CAMP100658</t>
  </si>
  <si>
    <t>CAMP100659</t>
  </si>
  <si>
    <t>CAMP100660</t>
  </si>
  <si>
    <t>CAMP100661</t>
  </si>
  <si>
    <t>CAMP100662</t>
  </si>
  <si>
    <t>CAMP100663</t>
  </si>
  <si>
    <t>CAMP100664</t>
  </si>
  <si>
    <t>CAMP100665</t>
  </si>
  <si>
    <t>CAMP100666</t>
  </si>
  <si>
    <t>CAMP100667</t>
  </si>
  <si>
    <t>CAMP100668</t>
  </si>
  <si>
    <t>CAMP100669</t>
  </si>
  <si>
    <t>CAMP100670</t>
  </si>
  <si>
    <t>CAMP100671</t>
  </si>
  <si>
    <t>CAMP100672</t>
  </si>
  <si>
    <t>CAMP100673</t>
  </si>
  <si>
    <t>CAMP100674</t>
  </si>
  <si>
    <t>CAMP100675</t>
  </si>
  <si>
    <t>CAMP100676</t>
  </si>
  <si>
    <t>CAMP100677</t>
  </si>
  <si>
    <t>CAMP100678</t>
  </si>
  <si>
    <t>CAMP100679</t>
  </si>
  <si>
    <t>CAMP100680</t>
  </si>
  <si>
    <t>CAMP100681</t>
  </si>
  <si>
    <t>CAMP100682</t>
  </si>
  <si>
    <t>CAMP100683</t>
  </si>
  <si>
    <t>CAMP100684</t>
  </si>
  <si>
    <t>CAMP100685</t>
  </si>
  <si>
    <t>CAMP100686</t>
  </si>
  <si>
    <t>CAMP100687</t>
  </si>
  <si>
    <t>CAMP100688</t>
  </si>
  <si>
    <t>CAMP100689</t>
  </si>
  <si>
    <t>CAMP100690</t>
  </si>
  <si>
    <t>CAMP100691</t>
  </si>
  <si>
    <t>CAMP100692</t>
  </si>
  <si>
    <t>CAMP100693</t>
  </si>
  <si>
    <t>CAMP100694</t>
  </si>
  <si>
    <t>CAMP100695</t>
  </si>
  <si>
    <t>CAMP100696</t>
  </si>
  <si>
    <t>CAMP100697</t>
  </si>
  <si>
    <t>CAMP100698</t>
  </si>
  <si>
    <t>CAMP100699</t>
  </si>
  <si>
    <t>CAMP100700</t>
  </si>
  <si>
    <t>CAMP100701</t>
  </si>
  <si>
    <t>CAMP100702</t>
  </si>
  <si>
    <t>CAMP100703</t>
  </si>
  <si>
    <t>CAMP100704</t>
  </si>
  <si>
    <t>CAMP100705</t>
  </si>
  <si>
    <t>CAMP100706</t>
  </si>
  <si>
    <t>CAMP100707</t>
  </si>
  <si>
    <t>CAMP100708</t>
  </si>
  <si>
    <t>CAMP100709</t>
  </si>
  <si>
    <t>CAMP100710</t>
  </si>
  <si>
    <t>CAMP100711</t>
  </si>
  <si>
    <t>CAMP100712</t>
  </si>
  <si>
    <t>CAMP100713</t>
  </si>
  <si>
    <t>CAMP100714</t>
  </si>
  <si>
    <t>CAMP100715</t>
  </si>
  <si>
    <t>CAMP100716</t>
  </si>
  <si>
    <t>CAMP100717</t>
  </si>
  <si>
    <t>CAMP100718</t>
  </si>
  <si>
    <t>CAMP100719</t>
  </si>
  <si>
    <t>CAMP100720</t>
  </si>
  <si>
    <t>CAMP100721</t>
  </si>
  <si>
    <t>CAMP100722</t>
  </si>
  <si>
    <t>CAMP100723</t>
  </si>
  <si>
    <t>CAMP100724</t>
  </si>
  <si>
    <t>CAMP100725</t>
  </si>
  <si>
    <t>CAMP100726</t>
  </si>
  <si>
    <t>CAMP100727</t>
  </si>
  <si>
    <t>CAMP100728</t>
  </si>
  <si>
    <t>CAMP100729</t>
  </si>
  <si>
    <t>CAMP100730</t>
  </si>
  <si>
    <t>CAMP100731</t>
  </si>
  <si>
    <t>CAMP100732</t>
  </si>
  <si>
    <t>CAMP100733</t>
  </si>
  <si>
    <t>CAMP100734</t>
  </si>
  <si>
    <t>CAMP100735</t>
  </si>
  <si>
    <t>CAMP100736</t>
  </si>
  <si>
    <t>CAMP100737</t>
  </si>
  <si>
    <t>CAMP100738</t>
  </si>
  <si>
    <t>CAMP100739</t>
  </si>
  <si>
    <t>CAMP100740</t>
  </si>
  <si>
    <t>CAMP100741</t>
  </si>
  <si>
    <t>CAMP100742</t>
  </si>
  <si>
    <t>CAMP100743</t>
  </si>
  <si>
    <t>CAMP100744</t>
  </si>
  <si>
    <t>CAMP100745</t>
  </si>
  <si>
    <t>CAMP100746</t>
  </si>
  <si>
    <t>CAMP100747</t>
  </si>
  <si>
    <t>CAMP100748</t>
  </si>
  <si>
    <t>CAMP100749</t>
  </si>
  <si>
    <t>CAMP100750</t>
  </si>
  <si>
    <t>CAMP100751</t>
  </si>
  <si>
    <t>CAMP100752</t>
  </si>
  <si>
    <t>CAMP100753</t>
  </si>
  <si>
    <t>CAMP100754</t>
  </si>
  <si>
    <t>CAMP100755</t>
  </si>
  <si>
    <t>CAMP100756</t>
  </si>
  <si>
    <t>CAMP100757</t>
  </si>
  <si>
    <t>CAMP100758</t>
  </si>
  <si>
    <t>CAMP100759</t>
  </si>
  <si>
    <t>CAMP100760</t>
  </si>
  <si>
    <t>CAMP100761</t>
  </si>
  <si>
    <t>CAMP100762</t>
  </si>
  <si>
    <t>CAMP100763</t>
  </si>
  <si>
    <t>CAMP100764</t>
  </si>
  <si>
    <t>CAMP100765</t>
  </si>
  <si>
    <t>CAMP100766</t>
  </si>
  <si>
    <t>CAMP100767</t>
  </si>
  <si>
    <t>CAMP100768</t>
  </si>
  <si>
    <t>CAMP100769</t>
  </si>
  <si>
    <t>CAMP100770</t>
  </si>
  <si>
    <t>CAMP100771</t>
  </si>
  <si>
    <t>CAMP100772</t>
  </si>
  <si>
    <t>CAMP100773</t>
  </si>
  <si>
    <t>CAMP100774</t>
  </si>
  <si>
    <t>CAMP100775</t>
  </si>
  <si>
    <t>CAMP100776</t>
  </si>
  <si>
    <t>CAMP100777</t>
  </si>
  <si>
    <t>CAMP100778</t>
  </si>
  <si>
    <t>CAMP100779</t>
  </si>
  <si>
    <t>CAMP100780</t>
  </si>
  <si>
    <t>CAMP100781</t>
  </si>
  <si>
    <t>CAMP100782</t>
  </si>
  <si>
    <t>CAMP100783</t>
  </si>
  <si>
    <t>CAMP100784</t>
  </si>
  <si>
    <t>CAMP100785</t>
  </si>
  <si>
    <t>CAMP100786</t>
  </si>
  <si>
    <t>CAMP100787</t>
  </si>
  <si>
    <t>CAMP100788</t>
  </si>
  <si>
    <t>CAMP100789</t>
  </si>
  <si>
    <t>CAMP100790</t>
  </si>
  <si>
    <t>CAMP100791</t>
  </si>
  <si>
    <t>CAMP100792</t>
  </si>
  <si>
    <t>CAMP100793</t>
  </si>
  <si>
    <t>CAMP100794</t>
  </si>
  <si>
    <t>CAMP100795</t>
  </si>
  <si>
    <t>CAMP100796</t>
  </si>
  <si>
    <t>CAMP100797</t>
  </si>
  <si>
    <t>CAMP100798</t>
  </si>
  <si>
    <t>CAMP100799</t>
  </si>
  <si>
    <t>CAMP100800</t>
  </si>
  <si>
    <t>CAMP100801</t>
  </si>
  <si>
    <t>CAMP100802</t>
  </si>
  <si>
    <t>CAMP100803</t>
  </si>
  <si>
    <t>CAMP100804</t>
  </si>
  <si>
    <t>CAMP100805</t>
  </si>
  <si>
    <t>CAMP100806</t>
  </si>
  <si>
    <t>CAMP100807</t>
  </si>
  <si>
    <t>CAMP100808</t>
  </si>
  <si>
    <t>CAMP100809</t>
  </si>
  <si>
    <t>CAMP100810</t>
  </si>
  <si>
    <t>CAMP100811</t>
  </si>
  <si>
    <t>CAMP100812</t>
  </si>
  <si>
    <t>CAMP100813</t>
  </si>
  <si>
    <t>CAMP100814</t>
  </si>
  <si>
    <t>CAMP100815</t>
  </si>
  <si>
    <t>CAMP100816</t>
  </si>
  <si>
    <t>CAMP100817</t>
  </si>
  <si>
    <t>CAMP100818</t>
  </si>
  <si>
    <t>CAMP100819</t>
  </si>
  <si>
    <t>CAMP100820</t>
  </si>
  <si>
    <t>CAMP100821</t>
  </si>
  <si>
    <t>CAMP100822</t>
  </si>
  <si>
    <t>CAMP100823</t>
  </si>
  <si>
    <t>CAMP100824</t>
  </si>
  <si>
    <t>CAMP100825</t>
  </si>
  <si>
    <t>CAMP100826</t>
  </si>
  <si>
    <t>CAMP100827</t>
  </si>
  <si>
    <t>CAMP100828</t>
  </si>
  <si>
    <t>CAMP100829</t>
  </si>
  <si>
    <t>CAMP100830</t>
  </si>
  <si>
    <t>CAMP100831</t>
  </si>
  <si>
    <t>CAMP100832</t>
  </si>
  <si>
    <t>CAMP100833</t>
  </si>
  <si>
    <t>CAMP100834</t>
  </si>
  <si>
    <t>CAMP100835</t>
  </si>
  <si>
    <t>CAMP100836</t>
  </si>
  <si>
    <t>CAMP100837</t>
  </si>
  <si>
    <t>CAMP100838</t>
  </si>
  <si>
    <t>CAMP100839</t>
  </si>
  <si>
    <t>CAMP100840</t>
  </si>
  <si>
    <t>CAMP100841</t>
  </si>
  <si>
    <t>CAMP100842</t>
  </si>
  <si>
    <t>CAMP100843</t>
  </si>
  <si>
    <t>CAMP100844</t>
  </si>
  <si>
    <t>CAMP100845</t>
  </si>
  <si>
    <t>CAMP100846</t>
  </si>
  <si>
    <t>CAMP100847</t>
  </si>
  <si>
    <t>CAMP100848</t>
  </si>
  <si>
    <t>CAMP100849</t>
  </si>
  <si>
    <t>CAMP100850</t>
  </si>
  <si>
    <t>CAMP100851</t>
  </si>
  <si>
    <t>CAMP100852</t>
  </si>
  <si>
    <t>CAMP100853</t>
  </si>
  <si>
    <t>CAMP100854</t>
  </si>
  <si>
    <t>CAMP100855</t>
  </si>
  <si>
    <t>CAMP100856</t>
  </si>
  <si>
    <t>CAMP100857</t>
  </si>
  <si>
    <t>CAMP100858</t>
  </si>
  <si>
    <t>CAMP100859</t>
  </si>
  <si>
    <t>CAMP100860</t>
  </si>
  <si>
    <t>CAMP100861</t>
  </si>
  <si>
    <t>CAMP100862</t>
  </si>
  <si>
    <t>CAMP100863</t>
  </si>
  <si>
    <t>CAMP100864</t>
  </si>
  <si>
    <t>CAMP100865</t>
  </si>
  <si>
    <t>CAMP100866</t>
  </si>
  <si>
    <t>CAMP100867</t>
  </si>
  <si>
    <t>CAMP100868</t>
  </si>
  <si>
    <t>CAMP100869</t>
  </si>
  <si>
    <t>CAMP100870</t>
  </si>
  <si>
    <t>CAMP100871</t>
  </si>
  <si>
    <t>CAMP100872</t>
  </si>
  <si>
    <t>CAMP100873</t>
  </si>
  <si>
    <t>CAMP100874</t>
  </si>
  <si>
    <t>CAMP100875</t>
  </si>
  <si>
    <t>CAMP100876</t>
  </si>
  <si>
    <t>CAMP100877</t>
  </si>
  <si>
    <t>CAMP100878</t>
  </si>
  <si>
    <t>CAMP100879</t>
  </si>
  <si>
    <t>CAMP100880</t>
  </si>
  <si>
    <t>CAMP100881</t>
  </si>
  <si>
    <t>CAMP100882</t>
  </si>
  <si>
    <t>CAMP100883</t>
  </si>
  <si>
    <t>CAMP100884</t>
  </si>
  <si>
    <t>CAMP100885</t>
  </si>
  <si>
    <t>CAMP100886</t>
  </si>
  <si>
    <t>CAMP100887</t>
  </si>
  <si>
    <t>CAMP100888</t>
  </si>
  <si>
    <t>CAMP100889</t>
  </si>
  <si>
    <t>CAMP100890</t>
  </si>
  <si>
    <t>CAMP100891</t>
  </si>
  <si>
    <t>CAMP100892</t>
  </si>
  <si>
    <t>CAMP100893</t>
  </si>
  <si>
    <t>CAMP100894</t>
  </si>
  <si>
    <t>CAMP100895</t>
  </si>
  <si>
    <t>CAMP100896</t>
  </si>
  <si>
    <t>CAMP100897</t>
  </si>
  <si>
    <t>CAMP100898</t>
  </si>
  <si>
    <t>CAMP100899</t>
  </si>
  <si>
    <t>CAMP100900</t>
  </si>
  <si>
    <t>CAMP100901</t>
  </si>
  <si>
    <t>CAMP100902</t>
  </si>
  <si>
    <t>CAMP100903</t>
  </si>
  <si>
    <t>CAMP100904</t>
  </si>
  <si>
    <t>CAMP100905</t>
  </si>
  <si>
    <t>CAMP100906</t>
  </si>
  <si>
    <t>CAMP100907</t>
  </si>
  <si>
    <t>CAMP100908</t>
  </si>
  <si>
    <t>CAMP100909</t>
  </si>
  <si>
    <t>CAMP100910</t>
  </si>
  <si>
    <t>CAMP100911</t>
  </si>
  <si>
    <t>CAMP100912</t>
  </si>
  <si>
    <t>CAMP100913</t>
  </si>
  <si>
    <t>CAMP100914</t>
  </si>
  <si>
    <t>CAMP100915</t>
  </si>
  <si>
    <t>CAMP100916</t>
  </si>
  <si>
    <t>CAMP100917</t>
  </si>
  <si>
    <t>CAMP100918</t>
  </si>
  <si>
    <t>CAMP100919</t>
  </si>
  <si>
    <t>CAMP100920</t>
  </si>
  <si>
    <t>CAMP100921</t>
  </si>
  <si>
    <t>CAMP100922</t>
  </si>
  <si>
    <t>CAMP100923</t>
  </si>
  <si>
    <t>CAMP100924</t>
  </si>
  <si>
    <t>CAMP100925</t>
  </si>
  <si>
    <t>CAMP100926</t>
  </si>
  <si>
    <t>CAMP100927</t>
  </si>
  <si>
    <t>CAMP100928</t>
  </si>
  <si>
    <t>CAMP100929</t>
  </si>
  <si>
    <t>CAMP100930</t>
  </si>
  <si>
    <t>CAMP100931</t>
  </si>
  <si>
    <t>CAMP100932</t>
  </si>
  <si>
    <t>CAMP100933</t>
  </si>
  <si>
    <t>CAMP100934</t>
  </si>
  <si>
    <t>CAMP100935</t>
  </si>
  <si>
    <t>CAMP100936</t>
  </si>
  <si>
    <t>CAMP100937</t>
  </si>
  <si>
    <t>CAMP100938</t>
  </si>
  <si>
    <t>CAMP100939</t>
  </si>
  <si>
    <t>CAMP100940</t>
  </si>
  <si>
    <t>CAMP100941</t>
  </si>
  <si>
    <t>CAMP100942</t>
  </si>
  <si>
    <t>CAMP100943</t>
  </si>
  <si>
    <t>CAMP100944</t>
  </si>
  <si>
    <t>CAMP100945</t>
  </si>
  <si>
    <t>CAMP100946</t>
  </si>
  <si>
    <t>CAMP100947</t>
  </si>
  <si>
    <t>CAMP100948</t>
  </si>
  <si>
    <t>CAMP100949</t>
  </si>
  <si>
    <t>CAMP100950</t>
  </si>
  <si>
    <t>CAMP100951</t>
  </si>
  <si>
    <t>CAMP100952</t>
  </si>
  <si>
    <t>CAMP100953</t>
  </si>
  <si>
    <t>CAMP100954</t>
  </si>
  <si>
    <t>CAMP100955</t>
  </si>
  <si>
    <t>CAMP100956</t>
  </si>
  <si>
    <t>CAMP100957</t>
  </si>
  <si>
    <t>CAMP100958</t>
  </si>
  <si>
    <t>CAMP100959</t>
  </si>
  <si>
    <t>CAMP100960</t>
  </si>
  <si>
    <t>CAMP100961</t>
  </si>
  <si>
    <t>CAMP100962</t>
  </si>
  <si>
    <t>CAMP100963</t>
  </si>
  <si>
    <t>CAMP100964</t>
  </si>
  <si>
    <t>CAMP100965</t>
  </si>
  <si>
    <t>CAMP100966</t>
  </si>
  <si>
    <t>CAMP100967</t>
  </si>
  <si>
    <t>CAMP100968</t>
  </si>
  <si>
    <t>CAMP100969</t>
  </si>
  <si>
    <t>CAMP100970</t>
  </si>
  <si>
    <t>CAMP100971</t>
  </si>
  <si>
    <t>CAMP100972</t>
  </si>
  <si>
    <t>CAMP100973</t>
  </si>
  <si>
    <t>CAMP100974</t>
  </si>
  <si>
    <t>CAMP100975</t>
  </si>
  <si>
    <t>CAMP100976</t>
  </si>
  <si>
    <t>CAMP100977</t>
  </si>
  <si>
    <t>CAMP100978</t>
  </si>
  <si>
    <t>CAMP100979</t>
  </si>
  <si>
    <t>CAMP100980</t>
  </si>
  <si>
    <t>CAMP100981</t>
  </si>
  <si>
    <t>CAMP100982</t>
  </si>
  <si>
    <t>CAMP100983</t>
  </si>
  <si>
    <t>CAMP100984</t>
  </si>
  <si>
    <t>CAMP100985</t>
  </si>
  <si>
    <t>CAMP100986</t>
  </si>
  <si>
    <t>CAMP100987</t>
  </si>
  <si>
    <t>CAMP100988</t>
  </si>
  <si>
    <t>CAMP100989</t>
  </si>
  <si>
    <t>CAMP100990</t>
  </si>
  <si>
    <t>CAMP100991</t>
  </si>
  <si>
    <t>CAMP100992</t>
  </si>
  <si>
    <t>CAMP100993</t>
  </si>
  <si>
    <t>CAMP100994</t>
  </si>
  <si>
    <t>CAMP100995</t>
  </si>
  <si>
    <t>CAMP100996</t>
  </si>
  <si>
    <t>CAMP100997</t>
  </si>
  <si>
    <t>CAMP100998</t>
  </si>
  <si>
    <t>CAMP100999</t>
  </si>
  <si>
    <t>CAMP101000</t>
  </si>
  <si>
    <t>CAMP101001</t>
  </si>
  <si>
    <t>CAMP101002</t>
  </si>
  <si>
    <t>CAMP101003</t>
  </si>
  <si>
    <t>CAMP101004</t>
  </si>
  <si>
    <t>CAMP101005</t>
  </si>
  <si>
    <t>CAMP101006</t>
  </si>
  <si>
    <t>CAMP101007</t>
  </si>
  <si>
    <t>CAMP101008</t>
  </si>
  <si>
    <t>CAMP101009</t>
  </si>
  <si>
    <t>CAMP101010</t>
  </si>
  <si>
    <t>CAMP101011</t>
  </si>
  <si>
    <t>CAMP101012</t>
  </si>
  <si>
    <t>CAMP101013</t>
  </si>
  <si>
    <t>CAMP101014</t>
  </si>
  <si>
    <t>CAMP101015</t>
  </si>
  <si>
    <t>CAMP101016</t>
  </si>
  <si>
    <t>CAMP101017</t>
  </si>
  <si>
    <t>CAMP101018</t>
  </si>
  <si>
    <t>CAMP101019</t>
  </si>
  <si>
    <t>CAMP101020</t>
  </si>
  <si>
    <t>CAMP101021</t>
  </si>
  <si>
    <t>CAMP101022</t>
  </si>
  <si>
    <t>CAMP101023</t>
  </si>
  <si>
    <t>CAMP101024</t>
  </si>
  <si>
    <t>CAMP101025</t>
  </si>
  <si>
    <t>CAMP101026</t>
  </si>
  <si>
    <t>CAMP101027</t>
  </si>
  <si>
    <t>CAMP101028</t>
  </si>
  <si>
    <t>CAMP101029</t>
  </si>
  <si>
    <t>CAMP101030</t>
  </si>
  <si>
    <t>CAMP101031</t>
  </si>
  <si>
    <t>CAMP101032</t>
  </si>
  <si>
    <t>CAMP101033</t>
  </si>
  <si>
    <t>CAMP101034</t>
  </si>
  <si>
    <t>CAMP101035</t>
  </si>
  <si>
    <t>CAMP101036</t>
  </si>
  <si>
    <t>CAMP101037</t>
  </si>
  <si>
    <t>CAMP101038</t>
  </si>
  <si>
    <t>CAMP101039</t>
  </si>
  <si>
    <t>CAMP101040</t>
  </si>
  <si>
    <t>CAMP101041</t>
  </si>
  <si>
    <t>CAMP101042</t>
  </si>
  <si>
    <t>CAMP101043</t>
  </si>
  <si>
    <t>CAMP101044</t>
  </si>
  <si>
    <t>CAMP101045</t>
  </si>
  <si>
    <t>CAMP101046</t>
  </si>
  <si>
    <t>CAMP101047</t>
  </si>
  <si>
    <t>CAMP101048</t>
  </si>
  <si>
    <t>CAMP101049</t>
  </si>
  <si>
    <t>CAMP101050</t>
  </si>
  <si>
    <t>CAMP101051</t>
  </si>
  <si>
    <t>CAMP101052</t>
  </si>
  <si>
    <t>CAMP101053</t>
  </si>
  <si>
    <t>CAMP101054</t>
  </si>
  <si>
    <t>CAMP101055</t>
  </si>
  <si>
    <t>CAMP101056</t>
  </si>
  <si>
    <t>CAMP101057</t>
  </si>
  <si>
    <t>CAMP101058</t>
  </si>
  <si>
    <t>CAMP101059</t>
  </si>
  <si>
    <t>CAMP101060</t>
  </si>
  <si>
    <t>CAMP101061</t>
  </si>
  <si>
    <t>CAMP101062</t>
  </si>
  <si>
    <t>CAMP101063</t>
  </si>
  <si>
    <t>CAMP101064</t>
  </si>
  <si>
    <t>CAMP101065</t>
  </si>
  <si>
    <t>CAMP101066</t>
  </si>
  <si>
    <t>CAMP101067</t>
  </si>
  <si>
    <t>CAMP101068</t>
  </si>
  <si>
    <t>CAMP101069</t>
  </si>
  <si>
    <t>CAMP101070</t>
  </si>
  <si>
    <t>CAMP101071</t>
  </si>
  <si>
    <t>CAMP101072</t>
  </si>
  <si>
    <t>CAMP101073</t>
  </si>
  <si>
    <t>CAMP101074</t>
  </si>
  <si>
    <t>CAMP101075</t>
  </si>
  <si>
    <t>CAMP101076</t>
  </si>
  <si>
    <t>CAMP101077</t>
  </si>
  <si>
    <t>CAMP101078</t>
  </si>
  <si>
    <t>CAMP101079</t>
  </si>
  <si>
    <t>CAMP101080</t>
  </si>
  <si>
    <t>CAMP101081</t>
  </si>
  <si>
    <t>CAMP101082</t>
  </si>
  <si>
    <t>CAMP101083</t>
  </si>
  <si>
    <t>CAMP101084</t>
  </si>
  <si>
    <t>CAMP101085</t>
  </si>
  <si>
    <t>CAMP101086</t>
  </si>
  <si>
    <t>CAMP101087</t>
  </si>
  <si>
    <t>CAMP101088</t>
  </si>
  <si>
    <t>CAMP101089</t>
  </si>
  <si>
    <t>CAMP101090</t>
  </si>
  <si>
    <t>CAMP101091</t>
  </si>
  <si>
    <t>CAMP101092</t>
  </si>
  <si>
    <t>CAMP101093</t>
  </si>
  <si>
    <t>CAMP101094</t>
  </si>
  <si>
    <t>CAMP101095</t>
  </si>
  <si>
    <t>CAMP101096</t>
  </si>
  <si>
    <t>CAMP101097</t>
  </si>
  <si>
    <t>CAMP101098</t>
  </si>
  <si>
    <t>CAMP101099</t>
  </si>
  <si>
    <t>CAMP101100</t>
  </si>
  <si>
    <t>CAMP101101</t>
  </si>
  <si>
    <t>CAMP101102</t>
  </si>
  <si>
    <t>CAMP101103</t>
  </si>
  <si>
    <t>CAMP101104</t>
  </si>
  <si>
    <t>CAMP101105</t>
  </si>
  <si>
    <t>CAMP101106</t>
  </si>
  <si>
    <t>CAMP101107</t>
  </si>
  <si>
    <t>CAMP101108</t>
  </si>
  <si>
    <t>CAMP101109</t>
  </si>
  <si>
    <t>CAMP101110</t>
  </si>
  <si>
    <t>CAMP101111</t>
  </si>
  <si>
    <t>CAMP101112</t>
  </si>
  <si>
    <t>CAMP101113</t>
  </si>
  <si>
    <t>CAMP101114</t>
  </si>
  <si>
    <t>CAMP101115</t>
  </si>
  <si>
    <t>CAMP101116</t>
  </si>
  <si>
    <t>CAMP101117</t>
  </si>
  <si>
    <t>CAMP101118</t>
  </si>
  <si>
    <t>CAMP101119</t>
  </si>
  <si>
    <t>CAMP101120</t>
  </si>
  <si>
    <t>CAMP101121</t>
  </si>
  <si>
    <t>CAMP101122</t>
  </si>
  <si>
    <t>CAMP101123</t>
  </si>
  <si>
    <t>CAMP101124</t>
  </si>
  <si>
    <t>CAMP101125</t>
  </si>
  <si>
    <t>CAMP101126</t>
  </si>
  <si>
    <t>CAMP101127</t>
  </si>
  <si>
    <t>CAMP101128</t>
  </si>
  <si>
    <t>CAMP101129</t>
  </si>
  <si>
    <t>CAMP101130</t>
  </si>
  <si>
    <t>CAMP101131</t>
  </si>
  <si>
    <t>CAMP101132</t>
  </si>
  <si>
    <t>CAMP101133</t>
  </si>
  <si>
    <t>CAMP101134</t>
  </si>
  <si>
    <t>CAMP101135</t>
  </si>
  <si>
    <t>CAMP101136</t>
  </si>
  <si>
    <t>CAMP101137</t>
  </si>
  <si>
    <t>CAMP101138</t>
  </si>
  <si>
    <t>CAMP101139</t>
  </si>
  <si>
    <t>CAMP101140</t>
  </si>
  <si>
    <t>CAMP101141</t>
  </si>
  <si>
    <t>CAMP101142</t>
  </si>
  <si>
    <t>CAMP101143</t>
  </si>
  <si>
    <t>CAMP101144</t>
  </si>
  <si>
    <t>CAMP101145</t>
  </si>
  <si>
    <t>CAMP101146</t>
  </si>
  <si>
    <t>CAMP101147</t>
  </si>
  <si>
    <t>CAMP101148</t>
  </si>
  <si>
    <t>CAMP101149</t>
  </si>
  <si>
    <t>CAMP101150</t>
  </si>
  <si>
    <t>CAMP101151</t>
  </si>
  <si>
    <t>CAMP101152</t>
  </si>
  <si>
    <t>CAMP101153</t>
  </si>
  <si>
    <t>CAMP101154</t>
  </si>
  <si>
    <t>CAMP101155</t>
  </si>
  <si>
    <t>CAMP101156</t>
  </si>
  <si>
    <t>CAMP101157</t>
  </si>
  <si>
    <t>CAMP101158</t>
  </si>
  <si>
    <t>CAMP101159</t>
  </si>
  <si>
    <t>CAMP101160</t>
  </si>
  <si>
    <t>CAMP101161</t>
  </si>
  <si>
    <t>CAMP101162</t>
  </si>
  <si>
    <t>CAMP101163</t>
  </si>
  <si>
    <t>CAMP101164</t>
  </si>
  <si>
    <t>CAMP101165</t>
  </si>
  <si>
    <t>CAMP101166</t>
  </si>
  <si>
    <t>CAMP101167</t>
  </si>
  <si>
    <t>CAMP101168</t>
  </si>
  <si>
    <t>CAMP101169</t>
  </si>
  <si>
    <t>CAMP101170</t>
  </si>
  <si>
    <t>CAMP101171</t>
  </si>
  <si>
    <t>CAMP101172</t>
  </si>
  <si>
    <t>CAMP101173</t>
  </si>
  <si>
    <t>CAMP101174</t>
  </si>
  <si>
    <t>CAMP101175</t>
  </si>
  <si>
    <t>CAMP101176</t>
  </si>
  <si>
    <t>CAMP101177</t>
  </si>
  <si>
    <t>CAMP101178</t>
  </si>
  <si>
    <t>CAMP101179</t>
  </si>
  <si>
    <t>CAMP101180</t>
  </si>
  <si>
    <t>CAMP101181</t>
  </si>
  <si>
    <t>CAMP101182</t>
  </si>
  <si>
    <t>CAMP101183</t>
  </si>
  <si>
    <t>CAMP101184</t>
  </si>
  <si>
    <t>CAMP101185</t>
  </si>
  <si>
    <t>CAMP101186</t>
  </si>
  <si>
    <t>CAMP101187</t>
  </si>
  <si>
    <t>CAMP101188</t>
  </si>
  <si>
    <t>CAMP101189</t>
  </si>
  <si>
    <t>CAMP101190</t>
  </si>
  <si>
    <t>CAMP101191</t>
  </si>
  <si>
    <t>CAMP101192</t>
  </si>
  <si>
    <t>CAMP101193</t>
  </si>
  <si>
    <t>CAMP101194</t>
  </si>
  <si>
    <t>CAMP101195</t>
  </si>
  <si>
    <t>CAMP101196</t>
  </si>
  <si>
    <t>CAMP101197</t>
  </si>
  <si>
    <t>CAMP101198</t>
  </si>
  <si>
    <t>CAMP101199</t>
  </si>
  <si>
    <t>CAMP101200</t>
  </si>
  <si>
    <t>CAMP101201</t>
  </si>
  <si>
    <t>CAMP101202</t>
  </si>
  <si>
    <t>CAMP101203</t>
  </si>
  <si>
    <t>CAMP101204</t>
  </si>
  <si>
    <t>CAMP101205</t>
  </si>
  <si>
    <t>CAMP101206</t>
  </si>
  <si>
    <t>CAMP101207</t>
  </si>
  <si>
    <t>CAMP101208</t>
  </si>
  <si>
    <t>CAMP101209</t>
  </si>
  <si>
    <t>CAMP101210</t>
  </si>
  <si>
    <t>CAMP101211</t>
  </si>
  <si>
    <t>CAMP101212</t>
  </si>
  <si>
    <t>CAMP101213</t>
  </si>
  <si>
    <t>CAMP101214</t>
  </si>
  <si>
    <t>CAMP101215</t>
  </si>
  <si>
    <t>CAMP101216</t>
  </si>
  <si>
    <t>CAMP101217</t>
  </si>
  <si>
    <t>CAMP101218</t>
  </si>
  <si>
    <t>CAMP101219</t>
  </si>
  <si>
    <t>CAMP101220</t>
  </si>
  <si>
    <t>CAMP101221</t>
  </si>
  <si>
    <t>CAMP101222</t>
  </si>
  <si>
    <t>CAMP101223</t>
  </si>
  <si>
    <t>CAMP101224</t>
  </si>
  <si>
    <t>CAMP101225</t>
  </si>
  <si>
    <t>CAMP101226</t>
  </si>
  <si>
    <t>CAMP101227</t>
  </si>
  <si>
    <t>CAMP101228</t>
  </si>
  <si>
    <t>CAMP101229</t>
  </si>
  <si>
    <t>CAMP101230</t>
  </si>
  <si>
    <t>CAMP101231</t>
  </si>
  <si>
    <t>CAMP101232</t>
  </si>
  <si>
    <t>CAMP101233</t>
  </si>
  <si>
    <t>CAMP101234</t>
  </si>
  <si>
    <t>CAMP101235</t>
  </si>
  <si>
    <t>CAMP101236</t>
  </si>
  <si>
    <t>CAMP101237</t>
  </si>
  <si>
    <t>CAMP101238</t>
  </si>
  <si>
    <t>CAMP101239</t>
  </si>
  <si>
    <t>CAMP101240</t>
  </si>
  <si>
    <t>CAMP101241</t>
  </si>
  <si>
    <t>CAMP101242</t>
  </si>
  <si>
    <t>CAMP101243</t>
  </si>
  <si>
    <t>CAMP101244</t>
  </si>
  <si>
    <t>CAMP101245</t>
  </si>
  <si>
    <t>CAMP101246</t>
  </si>
  <si>
    <t>CAMP101247</t>
  </si>
  <si>
    <t>CAMP101248</t>
  </si>
  <si>
    <t>CAMP101249</t>
  </si>
  <si>
    <t>CAMP101250</t>
  </si>
  <si>
    <t>CAMP101251</t>
  </si>
  <si>
    <t>CAMP101252</t>
  </si>
  <si>
    <t>CAMP101253</t>
  </si>
  <si>
    <t>CAMP101254</t>
  </si>
  <si>
    <t>CAMP101255</t>
  </si>
  <si>
    <t>CAMP101256</t>
  </si>
  <si>
    <t>CAMP101257</t>
  </si>
  <si>
    <t>CAMP101258</t>
  </si>
  <si>
    <t>CAMP101259</t>
  </si>
  <si>
    <t>CAMP101260</t>
  </si>
  <si>
    <t>CAMP101261</t>
  </si>
  <si>
    <t>CAMP101262</t>
  </si>
  <si>
    <t>CAMP101263</t>
  </si>
  <si>
    <t>CAMP101264</t>
  </si>
  <si>
    <t>CAMP101265</t>
  </si>
  <si>
    <t>CAMP101266</t>
  </si>
  <si>
    <t>CAMP101267</t>
  </si>
  <si>
    <t>CAMP101268</t>
  </si>
  <si>
    <t>CAMP101269</t>
  </si>
  <si>
    <t>CAMP101270</t>
  </si>
  <si>
    <t>CAMP101271</t>
  </si>
  <si>
    <t>CAMP101272</t>
  </si>
  <si>
    <t>CAMP101273</t>
  </si>
  <si>
    <t>CAMP101274</t>
  </si>
  <si>
    <t>CAMP101275</t>
  </si>
  <si>
    <t>CAMP101276</t>
  </si>
  <si>
    <t>CAMP101277</t>
  </si>
  <si>
    <t>CAMP101278</t>
  </si>
  <si>
    <t>CAMP101279</t>
  </si>
  <si>
    <t>CAMP101280</t>
  </si>
  <si>
    <t>CAMP101281</t>
  </si>
  <si>
    <t>CAMP101282</t>
  </si>
  <si>
    <t>CAMP101283</t>
  </si>
  <si>
    <t>CAMP101284</t>
  </si>
  <si>
    <t>CAMP101285</t>
  </si>
  <si>
    <t>CAMP101286</t>
  </si>
  <si>
    <t>CAMP101287</t>
  </si>
  <si>
    <t>CAMP101288</t>
  </si>
  <si>
    <t>CAMP101289</t>
  </si>
  <si>
    <t>CAMP101290</t>
  </si>
  <si>
    <t>CAMP101291</t>
  </si>
  <si>
    <t>CAMP101292</t>
  </si>
  <si>
    <t>CAMP101293</t>
  </si>
  <si>
    <t>CAMP101294</t>
  </si>
  <si>
    <t>CAMP101295</t>
  </si>
  <si>
    <t>CAMP101296</t>
  </si>
  <si>
    <t>CAMP101297</t>
  </si>
  <si>
    <t>CAMP101298</t>
  </si>
  <si>
    <t>CAMP101299</t>
  </si>
  <si>
    <t>CAMP101300</t>
  </si>
  <si>
    <t>CAMP101301</t>
  </si>
  <si>
    <t>CAMP101302</t>
  </si>
  <si>
    <t>CAMP101303</t>
  </si>
  <si>
    <t>CAMP101304</t>
  </si>
  <si>
    <t>CAMP101305</t>
  </si>
  <si>
    <t>CAMP101306</t>
  </si>
  <si>
    <t>CAMP101307</t>
  </si>
  <si>
    <t>CAMP101308</t>
  </si>
  <si>
    <t>CAMP101309</t>
  </si>
  <si>
    <t>CAMP101310</t>
  </si>
  <si>
    <t>CAMP101311</t>
  </si>
  <si>
    <t>CAMP101312</t>
  </si>
  <si>
    <t>CAMP101313</t>
  </si>
  <si>
    <t>CAMP101314</t>
  </si>
  <si>
    <t>CAMP101315</t>
  </si>
  <si>
    <t>CAMP101316</t>
  </si>
  <si>
    <t>CAMP101317</t>
  </si>
  <si>
    <t>CAMP101318</t>
  </si>
  <si>
    <t>CAMP101319</t>
  </si>
  <si>
    <t>CAMP101320</t>
  </si>
  <si>
    <t>CAMP101321</t>
  </si>
  <si>
    <t>CAMP101322</t>
  </si>
  <si>
    <t>CAMP101323</t>
  </si>
  <si>
    <t>CAMP101324</t>
  </si>
  <si>
    <t>CAMP101325</t>
  </si>
  <si>
    <t>CAMP101326</t>
  </si>
  <si>
    <t>CAMP101327</t>
  </si>
  <si>
    <t>CAMP101328</t>
  </si>
  <si>
    <t>CAMP101329</t>
  </si>
  <si>
    <t>CAMP101330</t>
  </si>
  <si>
    <t>CAMP101331</t>
  </si>
  <si>
    <t>CAMP101332</t>
  </si>
  <si>
    <t>CAMP101333</t>
  </si>
  <si>
    <t>CAMP101334</t>
  </si>
  <si>
    <t>CAMP101335</t>
  </si>
  <si>
    <t>text to column deliminited , separeted</t>
  </si>
  <si>
    <t>campaign_type-new</t>
  </si>
  <si>
    <t xml:space="preserve">find and replace(CTRL+H)- spaces are removed except E colomn </t>
  </si>
  <si>
    <t>E column space was deleted by Trim(clean)</t>
  </si>
  <si>
    <t>CAMP100010</t>
  </si>
  <si>
    <t>CAMP100044</t>
  </si>
  <si>
    <t>CAMP100105</t>
  </si>
  <si>
    <t>CAMP100142</t>
  </si>
  <si>
    <t>CAMP100151</t>
  </si>
  <si>
    <t>CAMP100215</t>
  </si>
  <si>
    <t>CAMP100304</t>
  </si>
  <si>
    <t>CAMP100310</t>
  </si>
  <si>
    <t>CAMP100311</t>
  </si>
  <si>
    <t>CAMP100355</t>
  </si>
  <si>
    <t>CAMP100408</t>
  </si>
  <si>
    <t>CAMP100414</t>
  </si>
  <si>
    <t>CAMP100475</t>
  </si>
  <si>
    <t>CAMP100558</t>
  </si>
  <si>
    <t>CAMP100227</t>
  </si>
  <si>
    <t>CAMP101336</t>
  </si>
  <si>
    <t>Campaign ID-də yarımçıq olan İD-lərə CAMP sözünü əlavə elədik, (&amp;). Bosh Idleride doldurduq</t>
  </si>
  <si>
    <t>Sales over time (by start_date)</t>
  </si>
  <si>
    <t>Total Campaigns</t>
  </si>
  <si>
    <t>Total Product Sales</t>
  </si>
  <si>
    <t>Avg Engagement Rate</t>
  </si>
  <si>
    <t>Avg Conversion Rate</t>
  </si>
  <si>
    <t>Avg Daily Sales</t>
  </si>
  <si>
    <t>Sales by Platform (bar chart)</t>
  </si>
  <si>
    <t>Engagement Rate by Platform</t>
  </si>
  <si>
    <t>Conversion Rate by Platform</t>
  </si>
  <si>
    <t>We applied same format for campaign start and end date</t>
  </si>
  <si>
    <t>Sales field - removed $ text, then changed format to Currency</t>
  </si>
  <si>
    <t>Estimated Reach - removed $</t>
  </si>
  <si>
    <t>Row Labels</t>
  </si>
  <si>
    <t>Grand Total</t>
  </si>
  <si>
    <t>Sum of product_sales</t>
  </si>
  <si>
    <t>done</t>
  </si>
  <si>
    <t>Sum of engagements</t>
  </si>
  <si>
    <t>sales by category</t>
  </si>
  <si>
    <t>Engagement vs Sales trend by category</t>
  </si>
  <si>
    <t>Average of engagements</t>
  </si>
  <si>
    <t>Average of product_sales</t>
  </si>
  <si>
    <t>Average of estimated_reach</t>
  </si>
  <si>
    <t>AVG Conversion rate %</t>
  </si>
  <si>
    <t>Average engagement %</t>
  </si>
  <si>
    <t>Average of engagement %</t>
  </si>
  <si>
    <t>ehtiyac gormedim</t>
  </si>
  <si>
    <t>elave etdim</t>
  </si>
  <si>
    <t xml:space="preserve">? Neye esasen </t>
  </si>
  <si>
    <t xml:space="preserve">Pivot tables </t>
  </si>
  <si>
    <t>Count of campaign_duration_days</t>
  </si>
  <si>
    <t>Average sales Per day</t>
  </si>
  <si>
    <t>Sales per 1K engagements</t>
  </si>
  <si>
    <t>2022</t>
  </si>
  <si>
    <t>2023</t>
  </si>
  <si>
    <t>2024</t>
  </si>
  <si>
    <t>2025</t>
  </si>
  <si>
    <t>Qtr1</t>
  </si>
  <si>
    <t>Qtr2</t>
  </si>
  <si>
    <t>Qtr3</t>
  </si>
  <si>
    <t>Qtr4</t>
  </si>
  <si>
    <t>TOP 10 Sales</t>
  </si>
  <si>
    <t xml:space="preserve"> 10 Bottom sales</t>
  </si>
  <si>
    <t>Sum of estimated_reach</t>
  </si>
  <si>
    <t>Platform</t>
  </si>
  <si>
    <t>Count of campaign_id</t>
  </si>
  <si>
    <t>Avg Revenue per Campaign</t>
  </si>
  <si>
    <t>z</t>
  </si>
  <si>
    <t>Engagamenet Rate</t>
  </si>
  <si>
    <t>Revenue conversion rate</t>
  </si>
  <si>
    <t>Sales</t>
  </si>
  <si>
    <t>1-5</t>
  </si>
  <si>
    <t>6-10</t>
  </si>
  <si>
    <t>11-15</t>
  </si>
  <si>
    <t>16-20</t>
  </si>
  <si>
    <t>21-25</t>
  </si>
  <si>
    <t>26-30</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</si>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</sst>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00\ _₽_-;\-* #,##0.00\ _₽_-;_-* &quot;-&quot;??\ _₽_-;_-@_-"/>
    <numFmt numFmtId="165" formatCode="_(&quot;$&quot;* #,##0.00_);_(&quot;$&quot;* \(#,##0.00\);_(&quot;$&quot;* &quot;-&quot;??_);_(@_)"/>
    <numFmt numFmtId="166" formatCode="dd\.mm\.yyyy;@"/>
    <numFmt numFmtId="167" formatCode="0.0"/>
    <numFmt numFmtId="168" formatCode="_-* #,##0.00\ [$₼-82C]_-;\-* #,##0.00\ [$₼-82C]_-;_-* &quot;-&quot;??\ [$₼-82C]_-;_-@_-"/>
    <numFmt numFmtId="169" formatCode="_-* #,##0.000\ _₽_-;\-* #,##0.000\ _₽_-;_-* &quot;-&quot;??\ _₽_-;_-@_-"/>
    <numFmt numFmtId="170" formatCode="_-* #,##0.00\ [$₼-42C]_-;\-* #,##0.00\ [$₼-42C]_-;_-* &quot;-&quot;??\ [$₼-42C]_-;_-@_-"/>
    <numFmt numFmtId="171" formatCode="_-[$$-409]* #,##0.00_ ;_-[$$-409]* \-#,##0.00\ ;_-[$$-409]* &quot;-&quot;??_ ;_-@_ "/>
    <numFmt numFmtId="172" formatCode="_-* #,##0\ _₽_-;\-* #,##0\ _₽_-;_-* &quot;-&quot;??\ _₽_-;_-@_-"/>
    <numFmt numFmtId="173" formatCode="dd/mm/yyyy;@"/>
  </numFmts>
  <fonts count="23" x14ac:knownFonts="1">
    <font>
      <sz val="11"/>
      <color theme="1"/>
      <name val="Calibri"/>
      <family val="2"/>
      <charset val="204"/>
      <scheme val="minor"/>
    </font>
    <font>
      <sz val="11"/>
      <color theme="1"/>
      <name val="Calibri"/>
      <family val="2"/>
      <scheme val="minor"/>
    </font>
    <font>
      <sz val="11"/>
      <color theme="1"/>
      <name val="Calibri"/>
      <family val="2"/>
      <charset val="204"/>
      <scheme val="minor"/>
    </font>
    <font>
      <sz val="18"/>
      <color theme="3"/>
      <name val="Calibri Light"/>
      <family val="2"/>
      <charset val="204"/>
      <scheme val="maj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006100"/>
      <name val="Calibri"/>
      <family val="2"/>
      <charset val="204"/>
      <scheme val="minor"/>
    </font>
    <font>
      <sz val="11"/>
      <color rgb="FF9C0006"/>
      <name val="Calibri"/>
      <family val="2"/>
      <charset val="204"/>
      <scheme val="minor"/>
    </font>
    <font>
      <sz val="11"/>
      <color rgb="FF9C5700"/>
      <name val="Calibri"/>
      <family val="2"/>
      <charset val="204"/>
      <scheme val="minor"/>
    </font>
    <font>
      <sz val="11"/>
      <color rgb="FF3F3F76"/>
      <name val="Calibri"/>
      <family val="2"/>
      <charset val="204"/>
      <scheme val="minor"/>
    </font>
    <font>
      <b/>
      <sz val="11"/>
      <color rgb="FF3F3F3F"/>
      <name val="Calibri"/>
      <family val="2"/>
      <charset val="204"/>
      <scheme val="minor"/>
    </font>
    <font>
      <b/>
      <sz val="11"/>
      <color rgb="FFFA7D00"/>
      <name val="Calibri"/>
      <family val="2"/>
      <charset val="204"/>
      <scheme val="minor"/>
    </font>
    <font>
      <sz val="11"/>
      <color rgb="FFFA7D00"/>
      <name val="Calibri"/>
      <family val="2"/>
      <charset val="204"/>
      <scheme val="minor"/>
    </font>
    <font>
      <b/>
      <sz val="11"/>
      <color theme="0"/>
      <name val="Calibri"/>
      <family val="2"/>
      <charset val="204"/>
      <scheme val="minor"/>
    </font>
    <font>
      <sz val="11"/>
      <color rgb="FFFF0000"/>
      <name val="Calibri"/>
      <family val="2"/>
      <charset val="204"/>
      <scheme val="minor"/>
    </font>
    <font>
      <i/>
      <sz val="11"/>
      <color rgb="FF7F7F7F"/>
      <name val="Calibri"/>
      <family val="2"/>
      <charset val="204"/>
      <scheme val="minor"/>
    </font>
    <font>
      <b/>
      <sz val="11"/>
      <color theme="1"/>
      <name val="Calibri"/>
      <family val="2"/>
      <charset val="204"/>
      <scheme val="minor"/>
    </font>
    <font>
      <sz val="11"/>
      <color theme="0"/>
      <name val="Calibri"/>
      <family val="2"/>
      <charset val="204"/>
      <scheme val="minor"/>
    </font>
    <font>
      <b/>
      <sz val="11"/>
      <color theme="1"/>
      <name val="Calibri"/>
      <family val="2"/>
      <scheme val="minor"/>
    </font>
    <font>
      <b/>
      <sz val="11"/>
      <color rgb="FFFF0000"/>
      <name val="Calibri"/>
      <family val="2"/>
      <scheme val="minor"/>
    </font>
    <font>
      <sz val="11"/>
      <color rgb="FFFF0000"/>
      <name val="Calibri"/>
      <family val="2"/>
      <scheme val="minor"/>
    </font>
    <font>
      <b/>
      <sz val="11"/>
      <color theme="0"/>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4"/>
        <bgColor theme="4"/>
      </patternFill>
    </fill>
    <fill>
      <patternFill patternType="solid">
        <fgColor theme="4" tint="0.79998168889431442"/>
        <bgColor theme="4" tint="0.79998168889431442"/>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s>
  <cellStyleXfs count="45">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cellStyleXfs>
  <cellXfs count="40">
    <xf numFmtId="0" fontId="0" fillId="0" borderId="0" xfId="0"/>
    <xf numFmtId="0" fontId="0" fillId="0" borderId="0" xfId="0" applyAlignment="1">
      <alignment horizontal="center" vertical="center"/>
    </xf>
    <xf numFmtId="166" fontId="0" fillId="0" borderId="0" xfId="0" applyNumberFormat="1" applyAlignment="1">
      <alignment horizontal="center" vertical="center"/>
    </xf>
    <xf numFmtId="165" fontId="0" fillId="0" borderId="0" xfId="42" applyFont="1" applyAlignment="1">
      <alignment horizontal="center" vertical="center"/>
    </xf>
    <xf numFmtId="3" fontId="0" fillId="0" borderId="0" xfId="0" applyNumberFormat="1" applyAlignment="1">
      <alignment horizontal="center" vertical="center"/>
    </xf>
    <xf numFmtId="0" fontId="1" fillId="0" borderId="0" xfId="0" applyFont="1" applyAlignment="1">
      <alignment horizontal="center" vertical="center"/>
    </xf>
    <xf numFmtId="0" fontId="0" fillId="0" borderId="0" xfId="0" pivotButton="1" applyAlignment="1">
      <alignment horizontal="center" vertical="center"/>
    </xf>
    <xf numFmtId="0" fontId="0" fillId="33" borderId="0" xfId="0" applyFill="1"/>
    <xf numFmtId="2" fontId="0" fillId="0" borderId="0" xfId="44" applyNumberFormat="1" applyFont="1" applyAlignment="1">
      <alignment horizontal="center" vertical="center"/>
    </xf>
    <xf numFmtId="2" fontId="0" fillId="33" borderId="0" xfId="44" applyNumberFormat="1" applyFont="1" applyFill="1" applyAlignment="1">
      <alignment horizontal="center" vertical="center" wrapText="1"/>
    </xf>
    <xf numFmtId="167" fontId="0" fillId="0" borderId="0" xfId="44" applyNumberFormat="1" applyFont="1" applyAlignment="1">
      <alignment horizontal="center" vertical="center"/>
    </xf>
    <xf numFmtId="0" fontId="19" fillId="0" borderId="0" xfId="0" applyFont="1" applyAlignment="1">
      <alignment horizontal="center" vertical="center"/>
    </xf>
    <xf numFmtId="0" fontId="20" fillId="0" borderId="0" xfId="0" applyFont="1" applyAlignment="1">
      <alignment horizontal="left" vertical="center" wrapText="1"/>
    </xf>
    <xf numFmtId="0" fontId="21" fillId="0" borderId="0" xfId="0" applyFont="1"/>
    <xf numFmtId="0" fontId="0" fillId="34" borderId="0" xfId="0" applyFill="1"/>
    <xf numFmtId="0" fontId="0" fillId="35" borderId="0" xfId="0" applyFill="1"/>
    <xf numFmtId="2" fontId="17" fillId="0" borderId="0" xfId="0" applyNumberFormat="1" applyFont="1" applyAlignment="1">
      <alignment horizontal="center" vertical="center"/>
    </xf>
    <xf numFmtId="1" fontId="17" fillId="0" borderId="0" xfId="0" applyNumberFormat="1" applyFont="1" applyAlignment="1">
      <alignment horizontal="center" vertical="center"/>
    </xf>
    <xf numFmtId="168" fontId="17" fillId="0" borderId="0" xfId="0" applyNumberFormat="1" applyFont="1" applyAlignment="1">
      <alignment horizontal="center" vertical="center"/>
    </xf>
    <xf numFmtId="170" fontId="0" fillId="0" borderId="0" xfId="42" applyNumberFormat="1" applyFont="1" applyAlignment="1">
      <alignment horizontal="center" vertical="center"/>
    </xf>
    <xf numFmtId="0" fontId="17" fillId="0" borderId="0" xfId="0" applyFont="1" applyAlignment="1">
      <alignment horizontal="center" vertical="center"/>
    </xf>
    <xf numFmtId="169" fontId="0" fillId="0" borderId="0" xfId="0" applyNumberFormat="1" applyAlignment="1">
      <alignment horizontal="center" vertical="center"/>
    </xf>
    <xf numFmtId="0" fontId="19" fillId="36" borderId="0" xfId="0" applyFont="1" applyFill="1" applyAlignment="1">
      <alignment horizontal="center" vertical="center"/>
    </xf>
    <xf numFmtId="171" fontId="17" fillId="0" borderId="0" xfId="0" applyNumberFormat="1" applyFont="1" applyAlignment="1">
      <alignment horizontal="center" vertical="center"/>
    </xf>
    <xf numFmtId="171" fontId="0" fillId="0" borderId="0" xfId="0" applyNumberFormat="1" applyAlignment="1">
      <alignment horizontal="center" vertical="center"/>
    </xf>
    <xf numFmtId="172" fontId="0" fillId="0" borderId="0" xfId="43" applyNumberFormat="1" applyFont="1" applyAlignment="1">
      <alignment horizontal="center" vertical="center"/>
    </xf>
    <xf numFmtId="0" fontId="0" fillId="0" borderId="0" xfId="0" pivotButton="1"/>
    <xf numFmtId="0" fontId="0" fillId="0" borderId="0" xfId="0" applyAlignment="1">
      <alignment horizontal="left"/>
    </xf>
    <xf numFmtId="172" fontId="0" fillId="0" borderId="0" xfId="0" applyNumberFormat="1"/>
    <xf numFmtId="170" fontId="0" fillId="0" borderId="0" xfId="0" applyNumberFormat="1" applyAlignment="1">
      <alignment horizontal="center" vertical="center"/>
    </xf>
    <xf numFmtId="0" fontId="22" fillId="37" borderId="10" xfId="0" applyFont="1" applyFill="1" applyBorder="1" applyAlignment="1">
      <alignment horizontal="center"/>
    </xf>
    <xf numFmtId="0" fontId="22" fillId="37" borderId="10" xfId="0" applyFont="1" applyFill="1" applyBorder="1" applyAlignment="1">
      <alignment horizontal="center" vertical="center"/>
    </xf>
    <xf numFmtId="2" fontId="0" fillId="38" borderId="11" xfId="0" applyNumberFormat="1" applyFill="1" applyBorder="1" applyAlignment="1">
      <alignment horizontal="center"/>
    </xf>
    <xf numFmtId="0" fontId="0" fillId="38" borderId="11" xfId="0" applyFill="1" applyBorder="1" applyAlignment="1">
      <alignment horizontal="center" vertical="center"/>
    </xf>
    <xf numFmtId="9" fontId="0" fillId="0" borderId="0" xfId="44" applyFont="1" applyAlignment="1">
      <alignment horizontal="center" vertical="center"/>
    </xf>
    <xf numFmtId="173" fontId="0" fillId="0" borderId="0" xfId="0" applyNumberFormat="1" applyAlignment="1">
      <alignment horizontal="center" vertical="center"/>
    </xf>
    <xf numFmtId="0" fontId="0" fillId="0" borderId="0" xfId="0" applyNumberFormat="1"/>
    <xf numFmtId="0" fontId="0" fillId="0" borderId="0" xfId="0" applyNumberFormat="1" applyAlignment="1">
      <alignment horizontal="center" vertical="center"/>
    </xf>
    <xf numFmtId="0" fontId="17" fillId="0" borderId="0" xfId="0" applyNumberFormat="1" applyFont="1" applyAlignment="1">
      <alignment horizontal="center" vertical="center"/>
    </xf>
    <xf numFmtId="170" fontId="19" fillId="0" borderId="0" xfId="0" applyNumberFormat="1" applyFont="1" applyAlignment="1">
      <alignment horizontal="center" vertical="center"/>
    </xf>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3" builtinId="3"/>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4" builtinId="5"/>
    <cellStyle name="Title" xfId="1" builtinId="15" customBuiltin="1"/>
    <cellStyle name="Total" xfId="17" builtinId="25" customBuiltin="1"/>
    <cellStyle name="Warning Text" xfId="14" builtinId="11" customBuiltin="1"/>
  </cellStyles>
  <dxfs count="5694">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2" formatCode="_-* #,##0\ _₽_-;\-* #,##0\ _₽_-;_-* &quot;-&quot;??\ _₽_-;_-@_-"/>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72" formatCode="_-* #,##0\ _₽_-;\-* #,##0\ _₽_-;_-* &quot;-&quot;??\ _₽_-;_-@_-"/>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0" formatCode="General"/>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2" formatCode="0.00"/>
    </dxf>
    <dxf>
      <alignment horizontal="center"/>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vertical="center"/>
    </dxf>
    <dxf>
      <font>
        <b/>
      </font>
    </dxf>
    <dxf>
      <alignment vertical="center"/>
    </dxf>
    <dxf>
      <alignment vertical="center"/>
    </dxf>
    <dxf>
      <alignment vertical="center"/>
    </dxf>
    <dxf>
      <alignment horizontal="center" indent="0"/>
    </dxf>
    <dxf>
      <alignment horizontal="center" indent="0"/>
    </dxf>
    <dxf>
      <alignment horizontal="center" indent="0"/>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0" formatCode="_-* #,##0.00\ [$₼-42C]_-;\-* #,##0.00\ [$₼-42C]_-;_-* &quot;-&quot;??\ [$₼-42C]_-;_-@_-"/>
    </dxf>
    <dxf>
      <numFmt numFmtId="169" formatCode="_-* #,##0.000\ _₽_-;\-* #,##0.000\ _₽_-;_-* &quot;-&quot;??\ _₽_-;_-@_-"/>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2" formatCode="_-* #,##0\ _₽_-;\-* #,##0\ _₽_-;_-* &quot;-&quot;??\ _₽_-;_-@_-"/>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72" formatCode="_-* #,##0\ _₽_-;\-* #,##0\ _₽_-;_-* &quot;-&quot;??\ _₽_-;_-@_-"/>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0" formatCode="General"/>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2" formatCode="0.00"/>
    </dxf>
    <dxf>
      <alignment horizontal="center"/>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vertical="center"/>
    </dxf>
    <dxf>
      <font>
        <b/>
      </font>
    </dxf>
    <dxf>
      <alignment vertical="center"/>
    </dxf>
    <dxf>
      <alignment vertical="center"/>
    </dxf>
    <dxf>
      <alignment vertical="center"/>
    </dxf>
    <dxf>
      <alignment horizontal="center" indent="0"/>
    </dxf>
    <dxf>
      <alignment horizontal="center" indent="0"/>
    </dxf>
    <dxf>
      <alignment horizontal="center" indent="0"/>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0" formatCode="_-* #,##0.00\ [$₼-42C]_-;\-* #,##0.00\ [$₼-42C]_-;_-* &quot;-&quot;??\ [$₼-42C]_-;_-@_-"/>
    </dxf>
    <dxf>
      <numFmt numFmtId="169" formatCode="_-* #,##0.000\ _₽_-;\-* #,##0.000\ _₽_-;_-* &quot;-&quot;??\ _₽_-;_-@_-"/>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2" formatCode="_-* #,##0\ _₽_-;\-* #,##0\ _₽_-;_-* &quot;-&quot;??\ _₽_-;_-@_-"/>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72" formatCode="_-* #,##0\ _₽_-;\-* #,##0\ _₽_-;_-* &quot;-&quot;??\ _₽_-;_-@_-"/>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0" formatCode="General"/>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2" formatCode="0.00"/>
    </dxf>
    <dxf>
      <alignment horizontal="center"/>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vertical="center"/>
    </dxf>
    <dxf>
      <font>
        <b/>
      </font>
    </dxf>
    <dxf>
      <alignment vertical="center"/>
    </dxf>
    <dxf>
      <alignment vertical="center"/>
    </dxf>
    <dxf>
      <alignment vertical="center"/>
    </dxf>
    <dxf>
      <alignment horizontal="center" indent="0"/>
    </dxf>
    <dxf>
      <alignment horizontal="center" indent="0"/>
    </dxf>
    <dxf>
      <alignment horizontal="center" indent="0"/>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0" formatCode="_-* #,##0.00\ [$₼-42C]_-;\-* #,##0.00\ [$₼-42C]_-;_-* &quot;-&quot;??\ [$₼-42C]_-;_-@_-"/>
    </dxf>
    <dxf>
      <numFmt numFmtId="169" formatCode="_-* #,##0.000\ _₽_-;\-* #,##0.000\ _₽_-;_-* &quot;-&quot;??\ _₽_-;_-@_-"/>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2" formatCode="_-* #,##0\ _₽_-;\-* #,##0\ _₽_-;_-* &quot;-&quot;??\ _₽_-;_-@_-"/>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72" formatCode="_-* #,##0\ _₽_-;\-* #,##0\ _₽_-;_-* &quot;-&quot;??\ _₽_-;_-@_-"/>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0" formatCode="General"/>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2" formatCode="0.00"/>
    </dxf>
    <dxf>
      <alignment horizontal="center"/>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vertical="center"/>
    </dxf>
    <dxf>
      <font>
        <b/>
      </font>
    </dxf>
    <dxf>
      <alignment vertical="center"/>
    </dxf>
    <dxf>
      <alignment vertical="center"/>
    </dxf>
    <dxf>
      <alignment vertical="center"/>
    </dxf>
    <dxf>
      <alignment horizontal="center" indent="0"/>
    </dxf>
    <dxf>
      <alignment horizontal="center" indent="0"/>
    </dxf>
    <dxf>
      <alignment horizontal="center" indent="0"/>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0" formatCode="_-* #,##0.00\ [$₼-42C]_-;\-* #,##0.00\ [$₼-42C]_-;_-* &quot;-&quot;??\ [$₼-42C]_-;_-@_-"/>
    </dxf>
    <dxf>
      <numFmt numFmtId="169" formatCode="_-* #,##0.000\ _₽_-;\-* #,##0.000\ _₽_-;_-* &quot;-&quot;??\ _₽_-;_-@_-"/>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2" formatCode="_-* #,##0\ _₽_-;\-* #,##0\ _₽_-;_-* &quot;-&quot;??\ _₽_-;_-@_-"/>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72" formatCode="_-* #,##0\ _₽_-;\-* #,##0\ _₽_-;_-* &quot;-&quot;??\ _₽_-;_-@_-"/>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0" formatCode="General"/>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2" formatCode="0.00"/>
    </dxf>
    <dxf>
      <alignment horizontal="center"/>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vertical="center"/>
    </dxf>
    <dxf>
      <font>
        <b/>
      </font>
    </dxf>
    <dxf>
      <alignment vertical="center"/>
    </dxf>
    <dxf>
      <alignment vertical="center"/>
    </dxf>
    <dxf>
      <alignment vertical="center"/>
    </dxf>
    <dxf>
      <alignment horizontal="center" indent="0"/>
    </dxf>
    <dxf>
      <alignment horizontal="center" indent="0"/>
    </dxf>
    <dxf>
      <alignment horizontal="center" indent="0"/>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0" formatCode="_-* #,##0.00\ [$₼-42C]_-;\-* #,##0.00\ [$₼-42C]_-;_-* &quot;-&quot;??\ [$₼-42C]_-;_-@_-"/>
    </dxf>
    <dxf>
      <numFmt numFmtId="169" formatCode="_-* #,##0.000\ _₽_-;\-* #,##0.000\ _₽_-;_-* &quot;-&quot;??\ _₽_-;_-@_-"/>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2" formatCode="_-* #,##0\ _₽_-;\-* #,##0\ _₽_-;_-* &quot;-&quot;??\ _₽_-;_-@_-"/>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72" formatCode="_-* #,##0\ _₽_-;\-* #,##0\ _₽_-;_-* &quot;-&quot;??\ _₽_-;_-@_-"/>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0" formatCode="General"/>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2" formatCode="0.00"/>
    </dxf>
    <dxf>
      <alignment horizontal="center"/>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vertical="center"/>
    </dxf>
    <dxf>
      <font>
        <b/>
      </font>
    </dxf>
    <dxf>
      <alignment vertical="center"/>
    </dxf>
    <dxf>
      <alignment vertical="center"/>
    </dxf>
    <dxf>
      <alignment vertical="center"/>
    </dxf>
    <dxf>
      <alignment horizontal="center" indent="0"/>
    </dxf>
    <dxf>
      <alignment horizontal="center" indent="0"/>
    </dxf>
    <dxf>
      <alignment horizontal="center" indent="0"/>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0" formatCode="_-* #,##0.00\ [$₼-42C]_-;\-* #,##0.00\ [$₼-42C]_-;_-* &quot;-&quot;??\ [$₼-42C]_-;_-@_-"/>
    </dxf>
    <dxf>
      <numFmt numFmtId="169" formatCode="_-* #,##0.000\ _₽_-;\-* #,##0.000\ _₽_-;_-* &quot;-&quot;??\ _₽_-;_-@_-"/>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2" formatCode="_-* #,##0\ _₽_-;\-* #,##0\ _₽_-;_-* &quot;-&quot;??\ _₽_-;_-@_-"/>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72" formatCode="_-* #,##0\ _₽_-;\-* #,##0\ _₽_-;_-* &quot;-&quot;??\ _₽_-;_-@_-"/>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0" formatCode="General"/>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2" formatCode="0.00"/>
    </dxf>
    <dxf>
      <alignment horizontal="center"/>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vertical="center"/>
    </dxf>
    <dxf>
      <font>
        <b/>
      </font>
    </dxf>
    <dxf>
      <alignment vertical="center"/>
    </dxf>
    <dxf>
      <alignment vertical="center"/>
    </dxf>
    <dxf>
      <alignment vertical="center"/>
    </dxf>
    <dxf>
      <alignment horizontal="center" indent="0"/>
    </dxf>
    <dxf>
      <alignment horizontal="center" indent="0"/>
    </dxf>
    <dxf>
      <alignment horizontal="center" indent="0"/>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0" formatCode="_-* #,##0.00\ [$₼-42C]_-;\-* #,##0.00\ [$₼-42C]_-;_-* &quot;-&quot;??\ [$₼-42C]_-;_-@_-"/>
    </dxf>
    <dxf>
      <numFmt numFmtId="169" formatCode="_-* #,##0.000\ _₽_-;\-* #,##0.000\ _₽_-;_-* &quot;-&quot;??\ _₽_-;_-@_-"/>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2" formatCode="_-* #,##0\ _₽_-;\-* #,##0\ _₽_-;_-* &quot;-&quot;??\ _₽_-;_-@_-"/>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72" formatCode="_-* #,##0\ _₽_-;\-* #,##0\ _₽_-;_-* &quot;-&quot;??\ _₽_-;_-@_-"/>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0" formatCode="General"/>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2" formatCode="0.00"/>
    </dxf>
    <dxf>
      <alignment horizontal="center"/>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vertical="center"/>
    </dxf>
    <dxf>
      <font>
        <b/>
      </font>
    </dxf>
    <dxf>
      <alignment vertical="center"/>
    </dxf>
    <dxf>
      <alignment vertical="center"/>
    </dxf>
    <dxf>
      <alignment vertical="center"/>
    </dxf>
    <dxf>
      <alignment horizontal="center" indent="0"/>
    </dxf>
    <dxf>
      <alignment horizontal="center" indent="0"/>
    </dxf>
    <dxf>
      <alignment horizontal="center" indent="0"/>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0" formatCode="_-* #,##0.00\ [$₼-42C]_-;\-* #,##0.00\ [$₼-42C]_-;_-* &quot;-&quot;??\ [$₼-42C]_-;_-@_-"/>
    </dxf>
    <dxf>
      <numFmt numFmtId="169" formatCode="_-* #,##0.000\ _₽_-;\-* #,##0.000\ _₽_-;_-* &quot;-&quot;??\ _₽_-;_-@_-"/>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2" formatCode="_-* #,##0\ _₽_-;\-* #,##0\ _₽_-;_-* &quot;-&quot;??\ _₽_-;_-@_-"/>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72" formatCode="_-* #,##0\ _₽_-;\-* #,##0\ _₽_-;_-* &quot;-&quot;??\ _₽_-;_-@_-"/>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0" formatCode="General"/>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2" formatCode="0.00"/>
    </dxf>
    <dxf>
      <alignment horizontal="center"/>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vertical="center"/>
    </dxf>
    <dxf>
      <font>
        <b/>
      </font>
    </dxf>
    <dxf>
      <alignment vertical="center"/>
    </dxf>
    <dxf>
      <alignment vertical="center"/>
    </dxf>
    <dxf>
      <alignment vertical="center"/>
    </dxf>
    <dxf>
      <alignment horizontal="center" indent="0"/>
    </dxf>
    <dxf>
      <alignment horizontal="center" indent="0"/>
    </dxf>
    <dxf>
      <alignment horizontal="center" indent="0"/>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0" formatCode="_-* #,##0.00\ [$₼-42C]_-;\-* #,##0.00\ [$₼-42C]_-;_-* &quot;-&quot;??\ [$₼-42C]_-;_-@_-"/>
    </dxf>
    <dxf>
      <numFmt numFmtId="169" formatCode="_-* #,##0.000\ _₽_-;\-* #,##0.000\ _₽_-;_-* &quot;-&quot;??\ _₽_-;_-@_-"/>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2" formatCode="_-* #,##0\ _₽_-;\-* #,##0\ _₽_-;_-* &quot;-&quot;??\ _₽_-;_-@_-"/>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72" formatCode="_-* #,##0\ _₽_-;\-* #,##0\ _₽_-;_-* &quot;-&quot;??\ _₽_-;_-@_-"/>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0" formatCode="General"/>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2" formatCode="0.00"/>
    </dxf>
    <dxf>
      <alignment horizontal="center"/>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vertical="center"/>
    </dxf>
    <dxf>
      <font>
        <b/>
      </font>
    </dxf>
    <dxf>
      <alignment vertical="center"/>
    </dxf>
    <dxf>
      <alignment vertical="center"/>
    </dxf>
    <dxf>
      <alignment vertical="center"/>
    </dxf>
    <dxf>
      <alignment horizontal="center" indent="0"/>
    </dxf>
    <dxf>
      <alignment horizontal="center" indent="0"/>
    </dxf>
    <dxf>
      <alignment horizontal="center" indent="0"/>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0" formatCode="_-* #,##0.00\ [$₼-42C]_-;\-* #,##0.00\ [$₼-42C]_-;_-* &quot;-&quot;??\ [$₼-42C]_-;_-@_-"/>
    </dxf>
    <dxf>
      <numFmt numFmtId="169" formatCode="_-* #,##0.000\ _₽_-;\-* #,##0.000\ _₽_-;_-* &quot;-&quot;??\ _₽_-;_-@_-"/>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2" formatCode="_-* #,##0\ _₽_-;\-* #,##0\ _₽_-;_-* &quot;-&quot;??\ _₽_-;_-@_-"/>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72" formatCode="_-* #,##0\ _₽_-;\-* #,##0\ _₽_-;_-* &quot;-&quot;??\ _₽_-;_-@_-"/>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0" formatCode="General"/>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2" formatCode="0.00"/>
    </dxf>
    <dxf>
      <alignment horizontal="center"/>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vertical="center"/>
    </dxf>
    <dxf>
      <font>
        <b/>
      </font>
    </dxf>
    <dxf>
      <alignment vertical="center"/>
    </dxf>
    <dxf>
      <alignment vertical="center"/>
    </dxf>
    <dxf>
      <alignment vertical="center"/>
    </dxf>
    <dxf>
      <alignment horizontal="center" indent="0"/>
    </dxf>
    <dxf>
      <alignment horizontal="center" indent="0"/>
    </dxf>
    <dxf>
      <alignment horizontal="center" indent="0"/>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0" formatCode="_-* #,##0.00\ [$₼-42C]_-;\-* #,##0.00\ [$₼-42C]_-;_-* &quot;-&quot;??\ [$₼-42C]_-;_-@_-"/>
    </dxf>
    <dxf>
      <numFmt numFmtId="169" formatCode="_-* #,##0.000\ _₽_-;\-* #,##0.000\ _₽_-;_-* &quot;-&quot;??\ _₽_-;_-@_-"/>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2" formatCode="_-* #,##0\ _₽_-;\-* #,##0\ _₽_-;_-* &quot;-&quot;??\ _₽_-;_-@_-"/>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72" formatCode="_-* #,##0\ _₽_-;\-* #,##0\ _₽_-;_-* &quot;-&quot;??\ _₽_-;_-@_-"/>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0" formatCode="General"/>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2" formatCode="0.00"/>
    </dxf>
    <dxf>
      <alignment horizontal="center"/>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vertical="center"/>
    </dxf>
    <dxf>
      <font>
        <b/>
      </font>
    </dxf>
    <dxf>
      <alignment vertical="center"/>
    </dxf>
    <dxf>
      <alignment vertical="center"/>
    </dxf>
    <dxf>
      <alignment vertical="center"/>
    </dxf>
    <dxf>
      <alignment horizontal="center" indent="0"/>
    </dxf>
    <dxf>
      <alignment horizontal="center" indent="0"/>
    </dxf>
    <dxf>
      <alignment horizontal="center" indent="0"/>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0" formatCode="_-* #,##0.00\ [$₼-42C]_-;\-* #,##0.00\ [$₼-42C]_-;_-* &quot;-&quot;??\ [$₼-42C]_-;_-@_-"/>
    </dxf>
    <dxf>
      <numFmt numFmtId="169" formatCode="_-* #,##0.000\ _₽_-;\-* #,##0.000\ _₽_-;_-* &quot;-&quot;??\ _₽_-;_-@_-"/>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2" formatCode="_-* #,##0\ _₽_-;\-* #,##0\ _₽_-;_-* &quot;-&quot;??\ _₽_-;_-@_-"/>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72" formatCode="_-* #,##0\ _₽_-;\-* #,##0\ _₽_-;_-* &quot;-&quot;??\ _₽_-;_-@_-"/>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0" formatCode="General"/>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2" formatCode="0.00"/>
    </dxf>
    <dxf>
      <alignment horizontal="center"/>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vertical="center"/>
    </dxf>
    <dxf>
      <font>
        <b/>
      </font>
    </dxf>
    <dxf>
      <alignment vertical="center"/>
    </dxf>
    <dxf>
      <alignment vertical="center"/>
    </dxf>
    <dxf>
      <alignment vertical="center"/>
    </dxf>
    <dxf>
      <alignment horizontal="center" indent="0"/>
    </dxf>
    <dxf>
      <alignment horizontal="center" indent="0"/>
    </dxf>
    <dxf>
      <alignment horizontal="center" indent="0"/>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0" formatCode="_-* #,##0.00\ [$₼-42C]_-;\-* #,##0.00\ [$₼-42C]_-;_-* &quot;-&quot;??\ [$₼-42C]_-;_-@_-"/>
    </dxf>
    <dxf>
      <numFmt numFmtId="169" formatCode="_-* #,##0.000\ _₽_-;\-* #,##0.000\ _₽_-;_-* &quot;-&quot;??\ _₽_-;_-@_-"/>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2" formatCode="_-* #,##0\ _₽_-;\-* #,##0\ _₽_-;_-* &quot;-&quot;??\ _₽_-;_-@_-"/>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72" formatCode="_-* #,##0\ _₽_-;\-* #,##0\ _₽_-;_-* &quot;-&quot;??\ _₽_-;_-@_-"/>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0" formatCode="General"/>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2" formatCode="0.00"/>
    </dxf>
    <dxf>
      <alignment horizontal="center"/>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vertical="center"/>
    </dxf>
    <dxf>
      <font>
        <b/>
      </font>
    </dxf>
    <dxf>
      <alignment vertical="center"/>
    </dxf>
    <dxf>
      <alignment vertical="center"/>
    </dxf>
    <dxf>
      <alignment vertical="center"/>
    </dxf>
    <dxf>
      <alignment horizontal="center" indent="0"/>
    </dxf>
    <dxf>
      <alignment horizontal="center" indent="0"/>
    </dxf>
    <dxf>
      <alignment horizontal="center" indent="0"/>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0" formatCode="_-* #,##0.00\ [$₼-42C]_-;\-* #,##0.00\ [$₼-42C]_-;_-* &quot;-&quot;??\ [$₼-42C]_-;_-@_-"/>
    </dxf>
    <dxf>
      <numFmt numFmtId="169" formatCode="_-* #,##0.000\ _₽_-;\-* #,##0.000\ _₽_-;_-* &quot;-&quot;??\ _₽_-;_-@_-"/>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2" formatCode="_-* #,##0\ _₽_-;\-* #,##0\ _₽_-;_-* &quot;-&quot;??\ _₽_-;_-@_-"/>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72" formatCode="_-* #,##0\ _₽_-;\-* #,##0\ _₽_-;_-* &quot;-&quot;??\ _₽_-;_-@_-"/>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0" formatCode="General"/>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2" formatCode="0.00"/>
    </dxf>
    <dxf>
      <alignment horizontal="center"/>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vertical="center"/>
    </dxf>
    <dxf>
      <font>
        <b/>
      </font>
    </dxf>
    <dxf>
      <alignment vertical="center"/>
    </dxf>
    <dxf>
      <alignment vertical="center"/>
    </dxf>
    <dxf>
      <alignment vertical="center"/>
    </dxf>
    <dxf>
      <alignment horizontal="center" indent="0"/>
    </dxf>
    <dxf>
      <alignment horizontal="center" indent="0"/>
    </dxf>
    <dxf>
      <alignment horizontal="center" indent="0"/>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0" formatCode="_-* #,##0.00\ [$₼-42C]_-;\-* #,##0.00\ [$₼-42C]_-;_-* &quot;-&quot;??\ [$₼-42C]_-;_-@_-"/>
    </dxf>
    <dxf>
      <numFmt numFmtId="169" formatCode="_-* #,##0.000\ _₽_-;\-* #,##0.000\ _₽_-;_-* &quot;-&quot;??\ _₽_-;_-@_-"/>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2" formatCode="_-* #,##0\ _₽_-;\-* #,##0\ _₽_-;_-* &quot;-&quot;??\ _₽_-;_-@_-"/>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72" formatCode="_-* #,##0\ _₽_-;\-* #,##0\ _₽_-;_-* &quot;-&quot;??\ _₽_-;_-@_-"/>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0" formatCode="General"/>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2" formatCode="0.00"/>
    </dxf>
    <dxf>
      <alignment horizontal="center"/>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vertical="center"/>
    </dxf>
    <dxf>
      <font>
        <b/>
      </font>
    </dxf>
    <dxf>
      <alignment vertical="center"/>
    </dxf>
    <dxf>
      <alignment vertical="center"/>
    </dxf>
    <dxf>
      <alignment vertical="center"/>
    </dxf>
    <dxf>
      <alignment horizontal="center" indent="0"/>
    </dxf>
    <dxf>
      <alignment horizontal="center" indent="0"/>
    </dxf>
    <dxf>
      <alignment horizontal="center" indent="0"/>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0" formatCode="_-* #,##0.00\ [$₼-42C]_-;\-* #,##0.00\ [$₼-42C]_-;_-* &quot;-&quot;??\ [$₼-42C]_-;_-@_-"/>
    </dxf>
    <dxf>
      <numFmt numFmtId="169" formatCode="_-* #,##0.000\ _₽_-;\-* #,##0.000\ _₽_-;_-* &quot;-&quot;??\ _₽_-;_-@_-"/>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2" formatCode="_-* #,##0\ _₽_-;\-* #,##0\ _₽_-;_-* &quot;-&quot;??\ _₽_-;_-@_-"/>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72" formatCode="_-* #,##0\ _₽_-;\-* #,##0\ _₽_-;_-* &quot;-&quot;??\ _₽_-;_-@_-"/>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0" formatCode="General"/>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2" formatCode="0.00"/>
    </dxf>
    <dxf>
      <alignment horizontal="center"/>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vertical="center"/>
    </dxf>
    <dxf>
      <font>
        <b/>
      </font>
    </dxf>
    <dxf>
      <alignment vertical="center"/>
    </dxf>
    <dxf>
      <alignment vertical="center"/>
    </dxf>
    <dxf>
      <alignment vertical="center"/>
    </dxf>
    <dxf>
      <alignment horizontal="center" indent="0"/>
    </dxf>
    <dxf>
      <alignment horizontal="center" indent="0"/>
    </dxf>
    <dxf>
      <alignment horizontal="center" indent="0"/>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0" formatCode="_-* #,##0.00\ [$₼-42C]_-;\-* #,##0.00\ [$₼-42C]_-;_-* &quot;-&quot;??\ [$₼-42C]_-;_-@_-"/>
    </dxf>
    <dxf>
      <numFmt numFmtId="169" formatCode="_-* #,##0.000\ _₽_-;\-* #,##0.000\ _₽_-;_-* &quot;-&quot;??\ _₽_-;_-@_-"/>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2" formatCode="_-* #,##0\ _₽_-;\-* #,##0\ _₽_-;_-* &quot;-&quot;??\ _₽_-;_-@_-"/>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72" formatCode="_-* #,##0\ _₽_-;\-* #,##0\ _₽_-;_-* &quot;-&quot;??\ _₽_-;_-@_-"/>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0" formatCode="General"/>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2" formatCode="0.00"/>
    </dxf>
    <dxf>
      <alignment horizontal="center"/>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vertical="center"/>
    </dxf>
    <dxf>
      <font>
        <b/>
      </font>
    </dxf>
    <dxf>
      <alignment vertical="center"/>
    </dxf>
    <dxf>
      <alignment vertical="center"/>
    </dxf>
    <dxf>
      <alignment vertical="center"/>
    </dxf>
    <dxf>
      <alignment horizontal="center" indent="0"/>
    </dxf>
    <dxf>
      <alignment horizontal="center" indent="0"/>
    </dxf>
    <dxf>
      <alignment horizontal="center" indent="0"/>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0" formatCode="_-* #,##0.00\ [$₼-42C]_-;\-* #,##0.00\ [$₼-42C]_-;_-* &quot;-&quot;??\ [$₼-42C]_-;_-@_-"/>
    </dxf>
    <dxf>
      <numFmt numFmtId="169" formatCode="_-* #,##0.000\ _₽_-;\-* #,##0.000\ _₽_-;_-* &quot;-&quot;??\ _₽_-;_-@_-"/>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2" formatCode="_-* #,##0\ _₽_-;\-* #,##0\ _₽_-;_-* &quot;-&quot;??\ _₽_-;_-@_-"/>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72" formatCode="_-* #,##0\ _₽_-;\-* #,##0\ _₽_-;_-* &quot;-&quot;??\ _₽_-;_-@_-"/>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0" formatCode="General"/>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2" formatCode="0.00"/>
    </dxf>
    <dxf>
      <alignment horizontal="center"/>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vertical="center"/>
    </dxf>
    <dxf>
      <font>
        <b/>
      </font>
    </dxf>
    <dxf>
      <alignment vertical="center"/>
    </dxf>
    <dxf>
      <alignment vertical="center"/>
    </dxf>
    <dxf>
      <alignment vertical="center"/>
    </dxf>
    <dxf>
      <alignment horizontal="center" indent="0"/>
    </dxf>
    <dxf>
      <alignment horizontal="center" indent="0"/>
    </dxf>
    <dxf>
      <alignment horizontal="center" indent="0"/>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0" formatCode="_-* #,##0.00\ [$₼-42C]_-;\-* #,##0.00\ [$₼-42C]_-;_-* &quot;-&quot;??\ [$₼-42C]_-;_-@_-"/>
    </dxf>
    <dxf>
      <numFmt numFmtId="169" formatCode="_-* #,##0.000\ _₽_-;\-* #,##0.000\ _₽_-;_-* &quot;-&quot;??\ _₽_-;_-@_-"/>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2" formatCode="_-* #,##0\ _₽_-;\-* #,##0\ _₽_-;_-* &quot;-&quot;??\ _₽_-;_-@_-"/>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72" formatCode="_-* #,##0\ _₽_-;\-* #,##0\ _₽_-;_-* &quot;-&quot;??\ _₽_-;_-@_-"/>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0" formatCode="General"/>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2" formatCode="0.00"/>
    </dxf>
    <dxf>
      <alignment horizontal="center"/>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vertical="center"/>
    </dxf>
    <dxf>
      <font>
        <b/>
      </font>
    </dxf>
    <dxf>
      <alignment vertical="center"/>
    </dxf>
    <dxf>
      <alignment vertical="center"/>
    </dxf>
    <dxf>
      <alignment vertical="center"/>
    </dxf>
    <dxf>
      <alignment horizontal="center" indent="0"/>
    </dxf>
    <dxf>
      <alignment horizontal="center" indent="0"/>
    </dxf>
    <dxf>
      <alignment horizontal="center" indent="0"/>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0" formatCode="_-* #,##0.00\ [$₼-42C]_-;\-* #,##0.00\ [$₼-42C]_-;_-* &quot;-&quot;??\ [$₼-42C]_-;_-@_-"/>
    </dxf>
    <dxf>
      <numFmt numFmtId="169" formatCode="_-* #,##0.000\ _₽_-;\-* #,##0.000\ _₽_-;_-* &quot;-&quot;??\ _₽_-;_-@_-"/>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2" formatCode="_-* #,##0\ _₽_-;\-* #,##0\ _₽_-;_-* &quot;-&quot;??\ _₽_-;_-@_-"/>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72" formatCode="_-* #,##0\ _₽_-;\-* #,##0\ _₽_-;_-* &quot;-&quot;??\ _₽_-;_-@_-"/>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0" formatCode="General"/>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2" formatCode="0.00"/>
    </dxf>
    <dxf>
      <alignment horizontal="center"/>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vertical="center"/>
    </dxf>
    <dxf>
      <font>
        <b/>
      </font>
    </dxf>
    <dxf>
      <alignment vertical="center"/>
    </dxf>
    <dxf>
      <alignment vertical="center"/>
    </dxf>
    <dxf>
      <alignment vertical="center"/>
    </dxf>
    <dxf>
      <alignment horizontal="center" indent="0"/>
    </dxf>
    <dxf>
      <alignment horizontal="center" indent="0"/>
    </dxf>
    <dxf>
      <alignment horizontal="center" indent="0"/>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0" formatCode="_-* #,##0.00\ [$₼-42C]_-;\-* #,##0.00\ [$₼-42C]_-;_-* &quot;-&quot;??\ [$₼-42C]_-;_-@_-"/>
    </dxf>
    <dxf>
      <numFmt numFmtId="169" formatCode="_-* #,##0.000\ _₽_-;\-* #,##0.000\ _₽_-;_-* &quot;-&quot;??\ _₽_-;_-@_-"/>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2" formatCode="_-* #,##0\ _₽_-;\-* #,##0\ _₽_-;_-* &quot;-&quot;??\ _₽_-;_-@_-"/>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72" formatCode="_-* #,##0\ _₽_-;\-* #,##0\ _₽_-;_-* &quot;-&quot;??\ _₽_-;_-@_-"/>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0" formatCode="General"/>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2" formatCode="0.00"/>
    </dxf>
    <dxf>
      <alignment horizontal="center"/>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vertical="center"/>
    </dxf>
    <dxf>
      <font>
        <b/>
      </font>
    </dxf>
    <dxf>
      <alignment vertical="center"/>
    </dxf>
    <dxf>
      <alignment vertical="center"/>
    </dxf>
    <dxf>
      <alignment vertical="center"/>
    </dxf>
    <dxf>
      <alignment horizontal="center" indent="0"/>
    </dxf>
    <dxf>
      <alignment horizontal="center" indent="0"/>
    </dxf>
    <dxf>
      <alignment horizontal="center" indent="0"/>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0" formatCode="_-* #,##0.00\ [$₼-42C]_-;\-* #,##0.00\ [$₼-42C]_-;_-* &quot;-&quot;??\ [$₼-42C]_-;_-@_-"/>
    </dxf>
    <dxf>
      <numFmt numFmtId="169" formatCode="_-* #,##0.000\ _₽_-;\-* #,##0.000\ _₽_-;_-* &quot;-&quot;??\ _₽_-;_-@_-"/>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2" formatCode="_-* #,##0\ _₽_-;\-* #,##0\ _₽_-;_-* &quot;-&quot;??\ _₽_-;_-@_-"/>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72" formatCode="_-* #,##0\ _₽_-;\-* #,##0\ _₽_-;_-* &quot;-&quot;??\ _₽_-;_-@_-"/>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0" formatCode="General"/>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2" formatCode="0.00"/>
    </dxf>
    <dxf>
      <alignment horizontal="center"/>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vertical="center"/>
    </dxf>
    <dxf>
      <font>
        <b/>
      </font>
    </dxf>
    <dxf>
      <alignment vertical="center"/>
    </dxf>
    <dxf>
      <alignment vertical="center"/>
    </dxf>
    <dxf>
      <alignment vertical="center"/>
    </dxf>
    <dxf>
      <alignment horizontal="center" indent="0"/>
    </dxf>
    <dxf>
      <alignment horizontal="center" indent="0"/>
    </dxf>
    <dxf>
      <alignment horizontal="center" indent="0"/>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0" formatCode="_-* #,##0.00\ [$₼-42C]_-;\-* #,##0.00\ [$₼-42C]_-;_-* &quot;-&quot;??\ [$₼-42C]_-;_-@_-"/>
    </dxf>
    <dxf>
      <numFmt numFmtId="169" formatCode="_-* #,##0.000\ _₽_-;\-* #,##0.000\ _₽_-;_-* &quot;-&quot;??\ _₽_-;_-@_-"/>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2" formatCode="_-* #,##0\ _₽_-;\-* #,##0\ _₽_-;_-* &quot;-&quot;??\ _₽_-;_-@_-"/>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72" formatCode="_-* #,##0\ _₽_-;\-* #,##0\ _₽_-;_-* &quot;-&quot;??\ _₽_-;_-@_-"/>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0" formatCode="General"/>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2" formatCode="0.00"/>
    </dxf>
    <dxf>
      <alignment horizontal="center"/>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vertical="center"/>
    </dxf>
    <dxf>
      <font>
        <b/>
      </font>
    </dxf>
    <dxf>
      <alignment vertical="center"/>
    </dxf>
    <dxf>
      <alignment vertical="center"/>
    </dxf>
    <dxf>
      <alignment vertical="center"/>
    </dxf>
    <dxf>
      <alignment horizontal="center" indent="0"/>
    </dxf>
    <dxf>
      <alignment horizontal="center" indent="0"/>
    </dxf>
    <dxf>
      <alignment horizontal="center" indent="0"/>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0" formatCode="_-* #,##0.00\ [$₼-42C]_-;\-* #,##0.00\ [$₼-42C]_-;_-* &quot;-&quot;??\ [$₼-42C]_-;_-@_-"/>
    </dxf>
    <dxf>
      <numFmt numFmtId="169" formatCode="_-* #,##0.000\ _₽_-;\-* #,##0.000\ _₽_-;_-* &quot;-&quot;??\ _₽_-;_-@_-"/>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2" formatCode="_-* #,##0\ _₽_-;\-* #,##0\ _₽_-;_-* &quot;-&quot;??\ _₽_-;_-@_-"/>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72" formatCode="_-* #,##0\ _₽_-;\-* #,##0\ _₽_-;_-* &quot;-&quot;??\ _₽_-;_-@_-"/>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0" formatCode="General"/>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2" formatCode="0.00"/>
    </dxf>
    <dxf>
      <alignment horizontal="center"/>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vertical="center"/>
    </dxf>
    <dxf>
      <font>
        <b/>
      </font>
    </dxf>
    <dxf>
      <alignment vertical="center"/>
    </dxf>
    <dxf>
      <alignment vertical="center"/>
    </dxf>
    <dxf>
      <alignment vertical="center"/>
    </dxf>
    <dxf>
      <alignment horizontal="center" indent="0"/>
    </dxf>
    <dxf>
      <alignment horizontal="center" indent="0"/>
    </dxf>
    <dxf>
      <alignment horizontal="center" indent="0"/>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0" formatCode="_-* #,##0.00\ [$₼-42C]_-;\-* #,##0.00\ [$₼-42C]_-;_-* &quot;-&quot;??\ [$₼-42C]_-;_-@_-"/>
    </dxf>
    <dxf>
      <numFmt numFmtId="169" formatCode="_-* #,##0.000\ _₽_-;\-* #,##0.000\ _₽_-;_-* &quot;-&quot;??\ _₽_-;_-@_-"/>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2" formatCode="_-* #,##0\ _₽_-;\-* #,##0\ _₽_-;_-* &quot;-&quot;??\ _₽_-;_-@_-"/>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72" formatCode="_-* #,##0\ _₽_-;\-* #,##0\ _₽_-;_-* &quot;-&quot;??\ _₽_-;_-@_-"/>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0" formatCode="General"/>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2" formatCode="0.00"/>
    </dxf>
    <dxf>
      <alignment horizontal="center"/>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vertical="center"/>
    </dxf>
    <dxf>
      <font>
        <b/>
      </font>
    </dxf>
    <dxf>
      <alignment vertical="center"/>
    </dxf>
    <dxf>
      <alignment vertical="center"/>
    </dxf>
    <dxf>
      <alignment vertical="center"/>
    </dxf>
    <dxf>
      <alignment horizontal="center" indent="0"/>
    </dxf>
    <dxf>
      <alignment horizontal="center" indent="0"/>
    </dxf>
    <dxf>
      <alignment horizontal="center" indent="0"/>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0" formatCode="_-* #,##0.00\ [$₼-42C]_-;\-* #,##0.00\ [$₼-42C]_-;_-* &quot;-&quot;??\ [$₼-42C]_-;_-@_-"/>
    </dxf>
    <dxf>
      <numFmt numFmtId="169" formatCode="_-* #,##0.000\ _₽_-;\-* #,##0.000\ _₽_-;_-* &quot;-&quot;??\ _₽_-;_-@_-"/>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2" formatCode="_-* #,##0\ _₽_-;\-* #,##0\ _₽_-;_-* &quot;-&quot;??\ _₽_-;_-@_-"/>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72" formatCode="_-* #,##0\ _₽_-;\-* #,##0\ _₽_-;_-* &quot;-&quot;??\ _₽_-;_-@_-"/>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0" formatCode="General"/>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2" formatCode="0.00"/>
    </dxf>
    <dxf>
      <alignment horizontal="center"/>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vertical="center"/>
    </dxf>
    <dxf>
      <font>
        <b/>
      </font>
    </dxf>
    <dxf>
      <alignment vertical="center"/>
    </dxf>
    <dxf>
      <alignment vertical="center"/>
    </dxf>
    <dxf>
      <alignment vertical="center"/>
    </dxf>
    <dxf>
      <alignment horizontal="center" indent="0"/>
    </dxf>
    <dxf>
      <alignment horizontal="center" indent="0"/>
    </dxf>
    <dxf>
      <alignment horizontal="center" indent="0"/>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0" formatCode="_-* #,##0.00\ [$₼-42C]_-;\-* #,##0.00\ [$₼-42C]_-;_-* &quot;-&quot;??\ [$₼-42C]_-;_-@_-"/>
    </dxf>
    <dxf>
      <numFmt numFmtId="169" formatCode="_-* #,##0.000\ _₽_-;\-* #,##0.000\ _₽_-;_-* &quot;-&quot;??\ _₽_-;_-@_-"/>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0" formatCode="General"/>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0" formatCode="_-* #,##0.00\ [$₼-42C]_-;\-* #,##0.00\ [$₼-42C]_-;_-* &quot;-&quot;??\ [$₼-42C]_-;_-@_-"/>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72" formatCode="_-* #,##0\ _₽_-;\-* #,##0\ _₽_-;_-* &quot;-&quot;??\ _₽_-;_-@_-"/>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2" formatCode="0.00"/>
    </dxf>
    <dxf>
      <alignment horizontal="center"/>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numFmt numFmtId="169" formatCode="_-* #,##0.000\ _₽_-;\-* #,##0.000\ _₽_-;_-* &quot;-&quot;??\ _₽_-;_-@_-"/>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vertical="center"/>
    </dxf>
    <dxf>
      <font>
        <b/>
      </font>
    </dxf>
    <dxf>
      <alignment vertical="center"/>
    </dxf>
    <dxf>
      <alignment vertical="center"/>
    </dxf>
    <dxf>
      <alignment vertical="center"/>
    </dxf>
    <dxf>
      <alignment horizontal="center" indent="0"/>
    </dxf>
    <dxf>
      <alignment horizontal="center" indent="0"/>
    </dxf>
    <dxf>
      <alignment horizontal="center" indent="0"/>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numFmt numFmtId="172" formatCode="_-* #,##0\ _₽_-;\-* #,##0\ _₽_-;_-* &quot;-&quot;??\ _₽_-;_-@_-"/>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0" formatCode="General"/>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0" formatCode="_-* #,##0.00\ [$₼-42C]_-;\-* #,##0.00\ [$₼-42C]_-;_-* &quot;-&quot;??\ [$₼-42C]_-;_-@_-"/>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72" formatCode="_-* #,##0\ _₽_-;\-* #,##0\ _₽_-;_-* &quot;-&quot;??\ _₽_-;_-@_-"/>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2" formatCode="0.00"/>
    </dxf>
    <dxf>
      <alignment horizontal="center"/>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numFmt numFmtId="169" formatCode="_-* #,##0.000\ _₽_-;\-* #,##0.000\ _₽_-;_-* &quot;-&quot;??\ _₽_-;_-@_-"/>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vertical="center"/>
    </dxf>
    <dxf>
      <font>
        <b/>
      </font>
    </dxf>
    <dxf>
      <alignment vertical="center"/>
    </dxf>
    <dxf>
      <alignment vertical="center"/>
    </dxf>
    <dxf>
      <alignment vertical="center"/>
    </dxf>
    <dxf>
      <alignment horizontal="center" indent="0"/>
    </dxf>
    <dxf>
      <alignment horizontal="center" indent="0"/>
    </dxf>
    <dxf>
      <alignment horizontal="center" indent="0"/>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numFmt numFmtId="172" formatCode="_-* #,##0\ _₽_-;\-* #,##0\ _₽_-;_-* &quot;-&quot;??\ _₽_-;_-@_-"/>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0" formatCode="General"/>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0" formatCode="_-* #,##0.00\ [$₼-42C]_-;\-* #,##0.00\ [$₼-42C]_-;_-* &quot;-&quot;??\ [$₼-42C]_-;_-@_-"/>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72" formatCode="_-* #,##0\ _₽_-;\-* #,##0\ _₽_-;_-* &quot;-&quot;??\ _₽_-;_-@_-"/>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2" formatCode="0.00"/>
    </dxf>
    <dxf>
      <alignment horizontal="center"/>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numFmt numFmtId="169" formatCode="_-* #,##0.000\ _₽_-;\-* #,##0.000\ _₽_-;_-* &quot;-&quot;??\ _₽_-;_-@_-"/>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vertical="center"/>
    </dxf>
    <dxf>
      <font>
        <b/>
      </font>
    </dxf>
    <dxf>
      <alignment vertical="center"/>
    </dxf>
    <dxf>
      <alignment vertical="center"/>
    </dxf>
    <dxf>
      <alignment vertical="center"/>
    </dxf>
    <dxf>
      <alignment horizontal="center" indent="0"/>
    </dxf>
    <dxf>
      <alignment horizontal="center" indent="0"/>
    </dxf>
    <dxf>
      <alignment horizontal="center" indent="0"/>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numFmt numFmtId="172" formatCode="_-* #,##0\ _₽_-;\-* #,##0\ _₽_-;_-* &quot;-&quot;??\ _₽_-;_-@_-"/>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0" formatCode="General"/>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0" formatCode="_-* #,##0.00\ [$₼-42C]_-;\-* #,##0.00\ [$₼-42C]_-;_-* &quot;-&quot;??\ [$₼-42C]_-;_-@_-"/>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72" formatCode="_-* #,##0\ _₽_-;\-* #,##0\ _₽_-;_-* &quot;-&quot;??\ _₽_-;_-@_-"/>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2" formatCode="0.00"/>
    </dxf>
    <dxf>
      <alignment horizontal="center"/>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numFmt numFmtId="169" formatCode="_-* #,##0.000\ _₽_-;\-* #,##0.000\ _₽_-;_-* &quot;-&quot;??\ _₽_-;_-@_-"/>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vertical="center"/>
    </dxf>
    <dxf>
      <font>
        <b/>
      </font>
    </dxf>
    <dxf>
      <alignment vertical="center"/>
    </dxf>
    <dxf>
      <alignment vertical="center"/>
    </dxf>
    <dxf>
      <alignment vertical="center"/>
    </dxf>
    <dxf>
      <alignment horizontal="center" indent="0"/>
    </dxf>
    <dxf>
      <alignment horizontal="center" indent="0"/>
    </dxf>
    <dxf>
      <alignment horizontal="center" indent="0"/>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numFmt numFmtId="172" formatCode="_-* #,##0\ _₽_-;\-* #,##0\ _₽_-;_-* &quot;-&quot;??\ _₽_-;_-@_-"/>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0" formatCode="General"/>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0" formatCode="_-* #,##0.00\ [$₼-42C]_-;\-* #,##0.00\ [$₼-42C]_-;_-* &quot;-&quot;??\ [$₼-42C]_-;_-@_-"/>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72" formatCode="_-* #,##0\ _₽_-;\-* #,##0\ _₽_-;_-* &quot;-&quot;??\ _₽_-;_-@_-"/>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2" formatCode="0.00"/>
    </dxf>
    <dxf>
      <alignment horizontal="center"/>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numFmt numFmtId="169" formatCode="_-* #,##0.000\ _₽_-;\-* #,##0.000\ _₽_-;_-* &quot;-&quot;??\ _₽_-;_-@_-"/>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vertical="center"/>
    </dxf>
    <dxf>
      <font>
        <b/>
      </font>
    </dxf>
    <dxf>
      <alignment vertical="center"/>
    </dxf>
    <dxf>
      <alignment vertical="center"/>
    </dxf>
    <dxf>
      <alignment vertical="center"/>
    </dxf>
    <dxf>
      <alignment horizontal="center" indent="0"/>
    </dxf>
    <dxf>
      <alignment horizontal="center" indent="0"/>
    </dxf>
    <dxf>
      <alignment horizontal="center" indent="0"/>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numFmt numFmtId="172" formatCode="_-* #,##0\ _₽_-;\-* #,##0\ _₽_-;_-* &quot;-&quot;??\ _₽_-;_-@_-"/>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0" formatCode="General"/>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0" formatCode="_-* #,##0.00\ [$₼-42C]_-;\-* #,##0.00\ [$₼-42C]_-;_-* &quot;-&quot;??\ [$₼-42C]_-;_-@_-"/>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72" formatCode="_-* #,##0\ _₽_-;\-* #,##0\ _₽_-;_-* &quot;-&quot;??\ _₽_-;_-@_-"/>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2" formatCode="0.00"/>
    </dxf>
    <dxf>
      <alignment horizontal="center"/>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numFmt numFmtId="169" formatCode="_-* #,##0.000\ _₽_-;\-* #,##0.000\ _₽_-;_-* &quot;-&quot;??\ _₽_-;_-@_-"/>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vertical="center"/>
    </dxf>
    <dxf>
      <font>
        <b/>
      </font>
    </dxf>
    <dxf>
      <alignment vertical="center"/>
    </dxf>
    <dxf>
      <alignment vertical="center"/>
    </dxf>
    <dxf>
      <alignment vertical="center"/>
    </dxf>
    <dxf>
      <alignment horizontal="center" indent="0"/>
    </dxf>
    <dxf>
      <alignment horizontal="center" indent="0"/>
    </dxf>
    <dxf>
      <alignment horizontal="center" indent="0"/>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numFmt numFmtId="172" formatCode="_-* #,##0\ _₽_-;\-* #,##0\ _₽_-;_-* &quot;-&quot;??\ _₽_-;_-@_-"/>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2" formatCode="_-* #,##0\ _₽_-;\-* #,##0\ _₽_-;_-* &quot;-&quot;??\ _₽_-;_-@_-"/>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72" formatCode="_-* #,##0\ _₽_-;\-* #,##0\ _₽_-;_-* &quot;-&quot;??\ _₽_-;_-@_-"/>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0" formatCode="General"/>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2" formatCode="0.00"/>
    </dxf>
    <dxf>
      <alignment horizontal="center"/>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vertical="center"/>
    </dxf>
    <dxf>
      <font>
        <b/>
      </font>
    </dxf>
    <dxf>
      <alignment vertical="center"/>
    </dxf>
    <dxf>
      <alignment vertical="center"/>
    </dxf>
    <dxf>
      <alignment vertical="center"/>
    </dxf>
    <dxf>
      <alignment horizontal="center" indent="0"/>
    </dxf>
    <dxf>
      <alignment horizontal="center" indent="0"/>
    </dxf>
    <dxf>
      <alignment horizontal="center" indent="0"/>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0" formatCode="_-* #,##0.00\ [$₼-42C]_-;\-* #,##0.00\ [$₼-42C]_-;_-* &quot;-&quot;??\ [$₼-42C]_-;_-@_-"/>
    </dxf>
    <dxf>
      <numFmt numFmtId="169" formatCode="_-* #,##0.000\ _₽_-;\-* #,##0.000\ _₽_-;_-* &quot;-&quot;??\ _₽_-;_-@_-"/>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2" formatCode="_-* #,##0\ _₽_-;\-* #,##0\ _₽_-;_-* &quot;-&quot;??\ _₽_-;_-@_-"/>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72" formatCode="_-* #,##0\ _₽_-;\-* #,##0\ _₽_-;_-* &quot;-&quot;??\ _₽_-;_-@_-"/>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0" formatCode="General"/>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2" formatCode="0.00"/>
    </dxf>
    <dxf>
      <alignment horizontal="center"/>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vertical="center"/>
    </dxf>
    <dxf>
      <font>
        <b/>
      </font>
    </dxf>
    <dxf>
      <alignment vertical="center"/>
    </dxf>
    <dxf>
      <alignment vertical="center"/>
    </dxf>
    <dxf>
      <alignment vertical="center"/>
    </dxf>
    <dxf>
      <alignment horizontal="center" indent="0"/>
    </dxf>
    <dxf>
      <alignment horizontal="center" indent="0"/>
    </dxf>
    <dxf>
      <alignment horizontal="center" indent="0"/>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0" formatCode="_-* #,##0.00\ [$₼-42C]_-;\-* #,##0.00\ [$₼-42C]_-;_-* &quot;-&quot;??\ [$₼-42C]_-;_-@_-"/>
    </dxf>
    <dxf>
      <numFmt numFmtId="169" formatCode="_-* #,##0.000\ _₽_-;\-* #,##0.000\ _₽_-;_-* &quot;-&quot;??\ _₽_-;_-@_-"/>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2" formatCode="_-* #,##0\ _₽_-;\-* #,##0\ _₽_-;_-* &quot;-&quot;??\ _₽_-;_-@_-"/>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72" formatCode="_-* #,##0\ _₽_-;\-* #,##0\ _₽_-;_-* &quot;-&quot;??\ _₽_-;_-@_-"/>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0" formatCode="General"/>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2" formatCode="0.00"/>
    </dxf>
    <dxf>
      <alignment horizontal="center"/>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vertical="center"/>
    </dxf>
    <dxf>
      <font>
        <b/>
      </font>
    </dxf>
    <dxf>
      <alignment vertical="center"/>
    </dxf>
    <dxf>
      <alignment vertical="center"/>
    </dxf>
    <dxf>
      <alignment vertical="center"/>
    </dxf>
    <dxf>
      <alignment horizontal="center" indent="0"/>
    </dxf>
    <dxf>
      <alignment horizontal="center" indent="0"/>
    </dxf>
    <dxf>
      <alignment horizontal="center" indent="0"/>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0" formatCode="_-* #,##0.00\ [$₼-42C]_-;\-* #,##0.00\ [$₼-42C]_-;_-* &quot;-&quot;??\ [$₼-42C]_-;_-@_-"/>
    </dxf>
    <dxf>
      <numFmt numFmtId="169" formatCode="_-* #,##0.000\ _₽_-;\-* #,##0.000\ _₽_-;_-* &quot;-&quot;??\ _₽_-;_-@_-"/>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2" formatCode="_-* #,##0\ _₽_-;\-* #,##0\ _₽_-;_-* &quot;-&quot;??\ _₽_-;_-@_-"/>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72" formatCode="_-* #,##0\ _₽_-;\-* #,##0\ _₽_-;_-* &quot;-&quot;??\ _₽_-;_-@_-"/>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0" formatCode="General"/>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2" formatCode="0.00"/>
    </dxf>
    <dxf>
      <alignment horizontal="center"/>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vertical="center"/>
    </dxf>
    <dxf>
      <font>
        <b/>
      </font>
    </dxf>
    <dxf>
      <alignment vertical="center"/>
    </dxf>
    <dxf>
      <alignment vertical="center"/>
    </dxf>
    <dxf>
      <alignment vertical="center"/>
    </dxf>
    <dxf>
      <alignment horizontal="center" indent="0"/>
    </dxf>
    <dxf>
      <alignment horizontal="center" indent="0"/>
    </dxf>
    <dxf>
      <alignment horizontal="center" indent="0"/>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0" formatCode="_-* #,##0.00\ [$₼-42C]_-;\-* #,##0.00\ [$₼-42C]_-;_-* &quot;-&quot;??\ [$₼-42C]_-;_-@_-"/>
    </dxf>
    <dxf>
      <numFmt numFmtId="169" formatCode="_-* #,##0.000\ _₽_-;\-* #,##0.000\ _₽_-;_-* &quot;-&quot;??\ _₽_-;_-@_-"/>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2" formatCode="_-* #,##0\ _₽_-;\-* #,##0\ _₽_-;_-* &quot;-&quot;??\ _₽_-;_-@_-"/>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68" formatCode="_-* #,##0.00\ [$₼-82C]_-;\-* #,##0.00\ [$₼-82C]_-;_-* &quot;-&quot;??\ [$₼-82C]_-;_-@_-"/>
    </dxf>
    <dxf>
      <font>
        <b/>
      </font>
    </dxf>
    <dxf>
      <alignment horizontal="center"/>
    </dxf>
    <dxf>
      <numFmt numFmtId="1" formatCode="0"/>
    </dxf>
    <dxf>
      <alignment vertical="center"/>
    </dxf>
    <dxf>
      <alignment vertical="center"/>
    </dxf>
    <dxf>
      <alignment vertical="center"/>
    </dxf>
    <dxf>
      <alignment horizontal="center" indent="0"/>
    </dxf>
    <dxf>
      <alignment horizontal="center" indent="0"/>
    </dxf>
    <dxf>
      <alignment horizontal="center" indent="0"/>
    </dxf>
    <dxf>
      <numFmt numFmtId="2" formatCode="0.00"/>
    </dxf>
    <dxf>
      <numFmt numFmtId="172" formatCode="_-* #,##0\ _₽_-;\-* #,##0\ _₽_-;_-* &quot;-&quot;??\ _₽_-;_-@_-"/>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0" formatCode="General"/>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2" formatCode="0.00"/>
    </dxf>
    <dxf>
      <alignment horizontal="center"/>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vertical="center"/>
    </dxf>
    <dxf>
      <font>
        <b/>
      </font>
    </dxf>
    <dxf>
      <alignment vertical="center"/>
    </dxf>
    <dxf>
      <alignment vertical="center"/>
    </dxf>
    <dxf>
      <alignment vertical="center"/>
    </dxf>
    <dxf>
      <alignment horizontal="center" indent="0"/>
    </dxf>
    <dxf>
      <alignment horizontal="center" indent="0"/>
    </dxf>
    <dxf>
      <alignment horizontal="center" indent="0"/>
    </dxf>
    <dxf>
      <numFmt numFmtId="168" formatCode="_-* #,##0.00\ [$₼-82C]_-;\-* #,##0.00\ [$₼-82C]_-;_-* &quot;-&quot;??\ [$₼-82C]_-;_-@_-"/>
    </dxf>
    <dxf>
      <font>
        <b/>
      </font>
    </dxf>
    <dxf>
      <alignment vertical="center"/>
    </dxf>
    <dxf>
      <alignment vertical="center"/>
    </dxf>
    <dxf>
      <alignment vertical="center"/>
    </dxf>
    <dxf>
      <alignment horizontal="center" indent="0"/>
    </dxf>
    <dxf>
      <alignment horizontal="center" indent="0"/>
    </dxf>
    <dxf>
      <alignment horizontal="center" indent="0"/>
    </dxf>
    <dxf>
      <numFmt numFmtId="171" formatCode="_-[$$-409]* #,##0.00_ ;_-[$$-409]* \-#,##0.00\ ;_-[$$-409]* &quot;-&quot;??_ ;_-@_ "/>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170" formatCode="_-* #,##0.00\ [$₼-42C]_-;\-* #,##0.00\ [$₼-42C]_-;_-* &quot;-&quot;??\ [$₼-42C]_-;_-@_-"/>
    </dxf>
    <dxf>
      <numFmt numFmtId="169" formatCode="_-* #,##0.000\ _₽_-;\-* #,##0.000\ _₽_-;_-* &quot;-&quot;??\ _₽_-;_-@_-"/>
    </dxf>
    <dxf>
      <alignment horizontal="right"/>
    </dxf>
    <dxf>
      <font>
        <b/>
      </font>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vertical="center" textRotation="0" wrapText="0" indent="0" justifyLastLine="0" shrinkToFit="0" readingOrder="0"/>
    </dxf>
    <dxf>
      <alignment horizontal="center" vertical="center" textRotation="0" indent="0" justifyLastLine="0" shrinkToFit="0" readingOrder="0"/>
    </dxf>
    <dxf>
      <font>
        <b val="0"/>
        <i val="0"/>
        <strike val="0"/>
        <condense val="0"/>
        <extend val="0"/>
        <outline val="0"/>
        <shadow val="0"/>
        <u val="none"/>
        <vertAlign val="baseline"/>
        <sz val="11"/>
        <color theme="1"/>
        <name val="Calibri"/>
        <family val="2"/>
        <charset val="204"/>
        <scheme val="minor"/>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charset val="204"/>
        <scheme val="minor"/>
      </font>
      <numFmt numFmtId="2" formatCode="0.00"/>
      <alignment horizontal="center" vertical="center" textRotation="0" wrapText="0" indent="0" justifyLastLine="0" shrinkToFit="0" readingOrder="0"/>
    </dxf>
    <dxf>
      <numFmt numFmtId="166" formatCode="dd\.mm\.yyyy;@"/>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charset val="204"/>
        <scheme val="minor"/>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73"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charset val="204"/>
        <scheme val="minor"/>
      </font>
      <numFmt numFmtId="2" formatCode="0.00"/>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charset val="204"/>
        <scheme val="minor"/>
      </font>
      <numFmt numFmtId="2" formatCode="0.00"/>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charset val="204"/>
        <scheme val="minor"/>
      </font>
      <fill>
        <patternFill patternType="solid">
          <fgColor theme="4" tint="0.79998168889431442"/>
          <bgColor theme="4" tint="0.79998168889431442"/>
        </patternFill>
      </fill>
      <alignment horizontal="center" vertical="bottom" textRotation="0" wrapText="0" indent="0" justifyLastLine="0" shrinkToFit="0" readingOrder="0"/>
    </dxf>
    <dxf>
      <border outline="0">
        <bottom style="thin">
          <color theme="4" tint="0.39997558519241921"/>
        </bottom>
      </border>
    </dxf>
    <dxf>
      <font>
        <b val="0"/>
        <i val="0"/>
        <strike val="0"/>
        <condense val="0"/>
        <extend val="0"/>
        <outline val="0"/>
        <shadow val="0"/>
        <u val="none"/>
        <vertAlign val="baseline"/>
        <sz val="11"/>
        <color theme="1"/>
        <name val="Calibri"/>
        <family val="2"/>
        <charset val="204"/>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charset val="204"/>
        <scheme val="minor"/>
      </font>
      <numFmt numFmtId="2" formatCode="0.00"/>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onnections" Target="connections.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influencer_marketing_roi_dataset 3.xlsx]pivot!PivotTable20</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pivot!$C$15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pivot!$B$16:$B$35</c:f>
              <c:multiLvlStrCache>
                <c:ptCount val="15"/>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lvl>
                <c:lvl>
                  <c:pt idx="0">
                    <c:v>2022</c:v>
                  </c:pt>
                  <c:pt idx="4">
                    <c:v>2023</c:v>
                  </c:pt>
                  <c:pt idx="8">
                    <c:v>2024</c:v>
                  </c:pt>
                  <c:pt idx="12">
                    <c:v>2025</c:v>
                  </c:pt>
                </c:lvl>
              </c:multiLvlStrCache>
            </c:multiLvlStrRef>
          </c:cat>
          <c:val>
            <c:numRef>
              <c:f>pivot!$C$16:$C$35</c:f>
              <c:numCache>
                <c:formatCode>_-* #,##0.00\ [$₼-82C]_-;\-* #,##0.00\ [$₼-82C]_-;_-* "-"??\ [$₼-82C]_-;_-@_-</c:formatCode>
                <c:ptCount val="15"/>
                <c:pt idx="0">
                  <c:v>223807</c:v>
                </c:pt>
                <c:pt idx="1">
                  <c:v>235670</c:v>
                </c:pt>
                <c:pt idx="2">
                  <c:v>230679</c:v>
                </c:pt>
                <c:pt idx="3">
                  <c:v>230699</c:v>
                </c:pt>
                <c:pt idx="4">
                  <c:v>196013</c:v>
                </c:pt>
                <c:pt idx="5">
                  <c:v>188865</c:v>
                </c:pt>
                <c:pt idx="6">
                  <c:v>227638</c:v>
                </c:pt>
                <c:pt idx="7">
                  <c:v>237848</c:v>
                </c:pt>
                <c:pt idx="8">
                  <c:v>232149</c:v>
                </c:pt>
                <c:pt idx="9">
                  <c:v>209559</c:v>
                </c:pt>
                <c:pt idx="10">
                  <c:v>250099.296</c:v>
                </c:pt>
                <c:pt idx="11">
                  <c:v>222828</c:v>
                </c:pt>
                <c:pt idx="12">
                  <c:v>221639</c:v>
                </c:pt>
                <c:pt idx="13">
                  <c:v>231097</c:v>
                </c:pt>
                <c:pt idx="14">
                  <c:v>151624</c:v>
                </c:pt>
              </c:numCache>
            </c:numRef>
          </c:val>
          <c:smooth val="0"/>
          <c:extLst>
            <c:ext xmlns:c16="http://schemas.microsoft.com/office/drawing/2014/chart" uri="{C3380CC4-5D6E-409C-BE32-E72D297353CC}">
              <c16:uniqueId val="{00000000-1050-4F71-8837-C707E3E781F2}"/>
            </c:ext>
          </c:extLst>
        </c:ser>
        <c:dLbls>
          <c:showLegendKey val="0"/>
          <c:showVal val="0"/>
          <c:showCatName val="0"/>
          <c:showSerName val="0"/>
          <c:showPercent val="0"/>
          <c:showBubbleSize val="0"/>
        </c:dLbls>
        <c:marker val="1"/>
        <c:smooth val="0"/>
        <c:axId val="775095296"/>
        <c:axId val="775101056"/>
      </c:lineChart>
      <c:catAx>
        <c:axId val="77509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775101056"/>
        <c:crosses val="autoZero"/>
        <c:auto val="1"/>
        <c:lblAlgn val="ctr"/>
        <c:lblOffset val="100"/>
        <c:noMultiLvlLbl val="0"/>
      </c:catAx>
      <c:valAx>
        <c:axId val="775101056"/>
        <c:scaling>
          <c:orientation val="minMax"/>
        </c:scaling>
        <c:delete val="0"/>
        <c:axPos val="l"/>
        <c:majorGridlines>
          <c:spPr>
            <a:ln w="9525" cap="flat" cmpd="sng" algn="ctr">
              <a:solidFill>
                <a:schemeClr val="tx1">
                  <a:lumMod val="15000"/>
                  <a:lumOff val="85000"/>
                </a:schemeClr>
              </a:solidFill>
              <a:round/>
            </a:ln>
            <a:effectLst/>
          </c:spPr>
        </c:majorGridlines>
        <c:numFmt formatCode="_-* #,##0.00\ [$₼-82C]_-;\-* #,##0.00\ [$₼-82C]_-;_-* &quot;-&quot;??\ [$₼-82C]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775095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influencer_marketing_roi_dataset 3.xlsx]pivot!PivotTable18</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Influencer Category</a:t>
            </a:r>
          </a:p>
        </c:rich>
      </c:tx>
      <c:layout>
        <c:manualLayout>
          <c:xMode val="edge"/>
          <c:yMode val="edge"/>
          <c:x val="0.18018290094972908"/>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ru-RU"/>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190354330708662"/>
          <c:y val="0.24511471660978842"/>
          <c:w val="0.77932554133858278"/>
          <c:h val="0.53280844261017712"/>
        </c:manualLayout>
      </c:layout>
      <c:bar3DChart>
        <c:barDir val="col"/>
        <c:grouping val="clustered"/>
        <c:varyColors val="0"/>
        <c:ser>
          <c:idx val="0"/>
          <c:order val="0"/>
          <c:tx>
            <c:strRef>
              <c:f>pivot!$G$20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pivot!$F$21:$F$28</c:f>
              <c:strCache>
                <c:ptCount val="7"/>
                <c:pt idx="0">
                  <c:v>Travel</c:v>
                </c:pt>
                <c:pt idx="1">
                  <c:v>Food</c:v>
                </c:pt>
                <c:pt idx="2">
                  <c:v>Tech</c:v>
                </c:pt>
                <c:pt idx="3">
                  <c:v>Fitness</c:v>
                </c:pt>
                <c:pt idx="4">
                  <c:v>Fashion</c:v>
                </c:pt>
                <c:pt idx="5">
                  <c:v>Beauty</c:v>
                </c:pt>
                <c:pt idx="6">
                  <c:v>Gaming</c:v>
                </c:pt>
              </c:strCache>
            </c:strRef>
          </c:cat>
          <c:val>
            <c:numRef>
              <c:f>pivot!$G$21:$G$28</c:f>
              <c:numCache>
                <c:formatCode>General</c:formatCode>
                <c:ptCount val="7"/>
                <c:pt idx="0">
                  <c:v>492685</c:v>
                </c:pt>
                <c:pt idx="1">
                  <c:v>491688</c:v>
                </c:pt>
                <c:pt idx="2">
                  <c:v>480806</c:v>
                </c:pt>
                <c:pt idx="3">
                  <c:v>479180</c:v>
                </c:pt>
                <c:pt idx="4">
                  <c:v>463775</c:v>
                </c:pt>
                <c:pt idx="5">
                  <c:v>463116.29599999997</c:v>
                </c:pt>
                <c:pt idx="6">
                  <c:v>418964</c:v>
                </c:pt>
              </c:numCache>
            </c:numRef>
          </c:val>
          <c:extLst>
            <c:ext xmlns:c16="http://schemas.microsoft.com/office/drawing/2014/chart" uri="{C3380CC4-5D6E-409C-BE32-E72D297353CC}">
              <c16:uniqueId val="{00000000-265C-47DF-B27E-B8A8668080EC}"/>
            </c:ext>
          </c:extLst>
        </c:ser>
        <c:dLbls>
          <c:showLegendKey val="0"/>
          <c:showVal val="0"/>
          <c:showCatName val="0"/>
          <c:showSerName val="0"/>
          <c:showPercent val="0"/>
          <c:showBubbleSize val="0"/>
        </c:dLbls>
        <c:gapWidth val="150"/>
        <c:shape val="box"/>
        <c:axId val="1836662879"/>
        <c:axId val="1993662191"/>
        <c:axId val="0"/>
      </c:bar3DChart>
      <c:catAx>
        <c:axId val="18366628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993662191"/>
        <c:crosses val="autoZero"/>
        <c:auto val="1"/>
        <c:lblAlgn val="ctr"/>
        <c:lblOffset val="100"/>
        <c:noMultiLvlLbl val="0"/>
      </c:catAx>
      <c:valAx>
        <c:axId val="1993662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836662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influencer_marketing_roi_dataset 3.xlsx]pivot!PivotTable19</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Average</a:t>
            </a:r>
            <a:r>
              <a:rPr lang="en-US" baseline="0">
                <a:solidFill>
                  <a:schemeClr val="tx1"/>
                </a:solidFill>
              </a:rPr>
              <a:t> Engagement by Platform</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pivot!$G$31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pivot!$F$32:$F$36</c:f>
              <c:strCache>
                <c:ptCount val="4"/>
                <c:pt idx="0">
                  <c:v>TikTok</c:v>
                </c:pt>
                <c:pt idx="1">
                  <c:v>Instagram</c:v>
                </c:pt>
                <c:pt idx="2">
                  <c:v>YouTube</c:v>
                </c:pt>
                <c:pt idx="3">
                  <c:v>Twitter</c:v>
                </c:pt>
              </c:strCache>
            </c:strRef>
          </c:cat>
          <c:val>
            <c:numRef>
              <c:f>pivot!$G$32:$G$36</c:f>
              <c:numCache>
                <c:formatCode>_-* #,##0.000\ _₽_-;\-* #,##0.000\ _₽_-;_-* "-"??\ _₽_-;_-@_-</c:formatCode>
                <c:ptCount val="4"/>
                <c:pt idx="0">
                  <c:v>50936.242647058825</c:v>
                </c:pt>
                <c:pt idx="1">
                  <c:v>50160.156424581008</c:v>
                </c:pt>
                <c:pt idx="2">
                  <c:v>49101.556390977443</c:v>
                </c:pt>
                <c:pt idx="3">
                  <c:v>44545.725190839694</c:v>
                </c:pt>
              </c:numCache>
            </c:numRef>
          </c:val>
          <c:extLst>
            <c:ext xmlns:c16="http://schemas.microsoft.com/office/drawing/2014/chart" uri="{C3380CC4-5D6E-409C-BE32-E72D297353CC}">
              <c16:uniqueId val="{00000000-9C18-419E-9234-04BC73C7E74E}"/>
            </c:ext>
          </c:extLst>
        </c:ser>
        <c:dLbls>
          <c:dLblPos val="outEnd"/>
          <c:showLegendKey val="0"/>
          <c:showVal val="1"/>
          <c:showCatName val="0"/>
          <c:showSerName val="0"/>
          <c:showPercent val="0"/>
          <c:showBubbleSize val="0"/>
        </c:dLbls>
        <c:gapWidth val="219"/>
        <c:overlap val="-27"/>
        <c:axId val="1790732991"/>
        <c:axId val="227055"/>
      </c:barChart>
      <c:catAx>
        <c:axId val="1790732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227055"/>
        <c:crosses val="autoZero"/>
        <c:auto val="1"/>
        <c:lblAlgn val="ctr"/>
        <c:lblOffset val="100"/>
        <c:noMultiLvlLbl val="0"/>
      </c:catAx>
      <c:valAx>
        <c:axId val="227055"/>
        <c:scaling>
          <c:orientation val="minMax"/>
        </c:scaling>
        <c:delete val="0"/>
        <c:axPos val="l"/>
        <c:majorGridlines>
          <c:spPr>
            <a:ln w="9525" cap="flat" cmpd="sng" algn="ctr">
              <a:noFill/>
              <a:round/>
            </a:ln>
            <a:effectLst/>
          </c:spPr>
        </c:majorGridlines>
        <c:numFmt formatCode="_-* #,##0.000\ _₽_-;\-* #,##0.000\ _₽_-;_-* &quot;-&quot;??\ _₽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790732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influencer_marketing_roi_dataset 3.xlsx]pivot!PivotTable2</c:name>
    <c:fmtId val="17"/>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Average Engagement by Category %</a:t>
            </a:r>
          </a:p>
        </c:rich>
      </c:tx>
      <c:overlay val="0"/>
      <c:spPr>
        <a:noFill/>
        <a:ln>
          <a:noFill/>
        </a:ln>
        <a:effectLst/>
      </c:spPr>
    </c:title>
    <c:autoTitleDeleted val="0"/>
    <c:pivotFmts>
      <c:pivotFmt>
        <c:idx val="0"/>
        <c:marker>
          <c:symbol val="none"/>
        </c:marker>
        <c:dLbl>
          <c:idx val="0"/>
          <c:spPr>
            <a:solidFill>
              <a:sysClr val="window" lastClr="FFFFFF"/>
            </a:solidFill>
            <a:ln>
              <a:solidFill>
                <a:srgbClr val="70AD47"/>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6"/>
          </a:solidFill>
          <a:ln>
            <a:noFill/>
          </a:ln>
          <a:effectLst>
            <a:outerShdw blurRad="63500" sx="102000" sy="102000" algn="ctr" rotWithShape="0">
              <a:prstClr val="black">
                <a:alpha val="20000"/>
              </a:prstClr>
            </a:outerShdw>
          </a:effectLst>
        </c:spPr>
      </c:pivotFmt>
      <c:pivotFmt>
        <c:idx val="2"/>
        <c:spPr>
          <a:solidFill>
            <a:schemeClr val="accent5"/>
          </a:solidFill>
          <a:ln>
            <a:noFill/>
          </a:ln>
          <a:effectLst>
            <a:outerShdw blurRad="63500" sx="102000" sy="102000" algn="ctr" rotWithShape="0">
              <a:prstClr val="black">
                <a:alpha val="20000"/>
              </a:prstClr>
            </a:outerShdw>
          </a:effectLst>
        </c:spPr>
      </c:pivotFmt>
      <c:pivotFmt>
        <c:idx val="3"/>
        <c:spPr>
          <a:solidFill>
            <a:schemeClr val="accent4"/>
          </a:solidFill>
          <a:ln>
            <a:noFill/>
          </a:ln>
          <a:effectLst>
            <a:outerShdw blurRad="63500" sx="102000" sy="102000" algn="ctr" rotWithShape="0">
              <a:prstClr val="black">
                <a:alpha val="20000"/>
              </a:prstClr>
            </a:outerShdw>
          </a:effectLst>
        </c:spPr>
      </c:pivotFmt>
      <c:pivotFmt>
        <c:idx val="4"/>
        <c:spPr>
          <a:solidFill>
            <a:schemeClr val="accent6">
              <a:lumMod val="60000"/>
            </a:schemeClr>
          </a:solidFill>
          <a:ln>
            <a:noFill/>
          </a:ln>
          <a:effectLst>
            <a:outerShdw blurRad="63500" sx="102000" sy="102000" algn="ctr" rotWithShape="0">
              <a:prstClr val="black">
                <a:alpha val="20000"/>
              </a:prstClr>
            </a:outerShdw>
          </a:effectLst>
        </c:spPr>
      </c:pivotFmt>
      <c:pivotFmt>
        <c:idx val="5"/>
        <c:spPr>
          <a:solidFill>
            <a:schemeClr val="accent5">
              <a:lumMod val="60000"/>
            </a:schemeClr>
          </a:solidFill>
          <a:ln>
            <a:noFill/>
          </a:ln>
          <a:effectLst>
            <a:outerShdw blurRad="63500" sx="102000" sy="102000" algn="ctr" rotWithShape="0">
              <a:prstClr val="black">
                <a:alpha val="20000"/>
              </a:prstClr>
            </a:outerShdw>
          </a:effectLst>
        </c:spPr>
      </c:pivotFmt>
      <c:pivotFmt>
        <c:idx val="6"/>
        <c:spPr>
          <a:solidFill>
            <a:schemeClr val="accent4">
              <a:lumMod val="60000"/>
            </a:schemeClr>
          </a:solidFill>
          <a:ln>
            <a:noFill/>
          </a:ln>
          <a:effectLst>
            <a:outerShdw blurRad="63500" sx="102000" sy="102000" algn="ctr" rotWithShape="0">
              <a:prstClr val="black">
                <a:alpha val="20000"/>
              </a:prstClr>
            </a:outerShdw>
          </a:effectLst>
        </c:spPr>
      </c:pivotFmt>
      <c:pivotFmt>
        <c:idx val="7"/>
        <c:spPr>
          <a:solidFill>
            <a:schemeClr val="accent6">
              <a:lumMod val="80000"/>
              <a:lumOff val="20000"/>
            </a:schemeClr>
          </a:solidFill>
          <a:ln>
            <a:noFill/>
          </a:ln>
          <a:effectLst>
            <a:outerShdw blurRad="63500" sx="102000" sy="102000" algn="ctr" rotWithShape="0">
              <a:prstClr val="black">
                <a:alpha val="20000"/>
              </a:prstClr>
            </a:outerShdw>
          </a:effectLst>
        </c:spPr>
      </c:pivotFmt>
      <c:pivotFmt>
        <c:idx val="8"/>
      </c:pivotFmt>
    </c:pivotFmts>
    <c:plotArea>
      <c:layout/>
      <c:pieChart>
        <c:varyColors val="1"/>
        <c:ser>
          <c:idx val="0"/>
          <c:order val="0"/>
          <c:tx>
            <c:strRef>
              <c:f>pivot!$N$3</c:f>
              <c:strCache>
                <c:ptCount val="1"/>
                <c:pt idx="0">
                  <c:v>Total</c:v>
                </c:pt>
              </c:strCache>
            </c:strRef>
          </c:tx>
          <c:dPt>
            <c:idx val="0"/>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85AB-4B4C-9E49-CD9B4C677D7F}"/>
              </c:ext>
            </c:extLst>
          </c:dPt>
          <c:dPt>
            <c:idx val="1"/>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85AB-4B4C-9E49-CD9B4C677D7F}"/>
              </c:ext>
            </c:extLst>
          </c:dPt>
          <c:dPt>
            <c:idx val="2"/>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99E0-4F6C-8D80-BE4335E5C000}"/>
              </c:ext>
            </c:extLst>
          </c:dPt>
          <c:dPt>
            <c:idx val="3"/>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85AB-4B4C-9E49-CD9B4C677D7F}"/>
              </c:ext>
            </c:extLst>
          </c:dPt>
          <c:dPt>
            <c:idx val="4"/>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85AB-4B4C-9E49-CD9B4C677D7F}"/>
              </c:ext>
            </c:extLst>
          </c:dPt>
          <c:dPt>
            <c:idx val="5"/>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85AB-4B4C-9E49-CD9B4C677D7F}"/>
              </c:ext>
            </c:extLst>
          </c:dPt>
          <c:dPt>
            <c:idx val="6"/>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85AB-4B4C-9E49-CD9B4C677D7F}"/>
              </c:ext>
            </c:extLst>
          </c:dPt>
          <c:dPt>
            <c:idx val="7"/>
            <c:bubble3D val="0"/>
            <c:extLst>
              <c:ext xmlns:c16="http://schemas.microsoft.com/office/drawing/2014/chart" uri="{C3380CC4-5D6E-409C-BE32-E72D297353CC}">
                <c16:uniqueId val="{0000000F-85AB-4B4C-9E49-CD9B4C677D7F}"/>
              </c:ext>
            </c:extLst>
          </c:dPt>
          <c:dLbls>
            <c:spPr>
              <a:solidFill>
                <a:sysClr val="window" lastClr="FFFFFF"/>
              </a:solidFill>
              <a:ln>
                <a:solidFill>
                  <a:srgbClr val="70AD47"/>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c15:spPr>
              </c:ext>
            </c:extLst>
          </c:dLbls>
          <c:cat>
            <c:strRef>
              <c:f>pivot!$M$4:$M$11</c:f>
              <c:strCache>
                <c:ptCount val="7"/>
                <c:pt idx="0">
                  <c:v>Fitness</c:v>
                </c:pt>
                <c:pt idx="1">
                  <c:v>Travel</c:v>
                </c:pt>
                <c:pt idx="2">
                  <c:v>Fashion</c:v>
                </c:pt>
                <c:pt idx="3">
                  <c:v>Food</c:v>
                </c:pt>
                <c:pt idx="4">
                  <c:v>Beauty</c:v>
                </c:pt>
                <c:pt idx="5">
                  <c:v>Tech</c:v>
                </c:pt>
                <c:pt idx="6">
                  <c:v>Gaming</c:v>
                </c:pt>
              </c:strCache>
            </c:strRef>
          </c:cat>
          <c:val>
            <c:numRef>
              <c:f>pivot!$N$4:$N$11</c:f>
              <c:numCache>
                <c:formatCode>0.00</c:formatCode>
                <c:ptCount val="7"/>
                <c:pt idx="0">
                  <c:v>48.374967598387435</c:v>
                </c:pt>
                <c:pt idx="1">
                  <c:v>34.999210580107395</c:v>
                </c:pt>
                <c:pt idx="2">
                  <c:v>32.129884428497284</c:v>
                </c:pt>
                <c:pt idx="3">
                  <c:v>26.69905409293272</c:v>
                </c:pt>
                <c:pt idx="4">
                  <c:v>26.554857586328311</c:v>
                </c:pt>
                <c:pt idx="5">
                  <c:v>24.221059618165487</c:v>
                </c:pt>
                <c:pt idx="6">
                  <c:v>20.103549420152977</c:v>
                </c:pt>
              </c:numCache>
            </c:numRef>
          </c:val>
          <c:extLst>
            <c:ext xmlns:c16="http://schemas.microsoft.com/office/drawing/2014/chart" uri="{C3380CC4-5D6E-409C-BE32-E72D297353CC}">
              <c16:uniqueId val="{00000000-99E0-4F6C-8D80-BE4335E5C000}"/>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influencer_marketing_roi_dataset 3.xlsx]pivot!PivotTable3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Campaign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5783108319174711"/>
          <c:y val="0.38588984959466438"/>
          <c:w val="0.43127480933478601"/>
          <c:h val="0.4588711835623499"/>
        </c:manualLayout>
      </c:layout>
      <c:bar3DChart>
        <c:barDir val="bar"/>
        <c:grouping val="clustered"/>
        <c:varyColors val="0"/>
        <c:ser>
          <c:idx val="0"/>
          <c:order val="0"/>
          <c:tx>
            <c:strRef>
              <c:f>pivot!$R$33</c:f>
              <c:strCache>
                <c:ptCount val="1"/>
                <c:pt idx="0">
                  <c:v>Total</c:v>
                </c:pt>
              </c:strCache>
            </c:strRef>
          </c:tx>
          <c:spPr>
            <a:solidFill>
              <a:schemeClr val="accent1"/>
            </a:solidFill>
            <a:ln>
              <a:noFill/>
            </a:ln>
            <a:effectLst/>
            <a:sp3d/>
          </c:spPr>
          <c:invertIfNegative val="0"/>
          <c:cat>
            <c:strRef>
              <c:f>pivot!$Q$34:$Q$39</c:f>
              <c:strCache>
                <c:ptCount val="5"/>
                <c:pt idx="0">
                  <c:v>Brand Awareness</c:v>
                </c:pt>
                <c:pt idx="1">
                  <c:v>Giveaway</c:v>
                </c:pt>
                <c:pt idx="2">
                  <c:v>Product Launch</c:v>
                </c:pt>
                <c:pt idx="3">
                  <c:v>Event Promotion</c:v>
                </c:pt>
                <c:pt idx="4">
                  <c:v>Seasonal Sale</c:v>
                </c:pt>
              </c:strCache>
            </c:strRef>
          </c:cat>
          <c:val>
            <c:numRef>
              <c:f>pivot!$R$34:$R$39</c:f>
              <c:numCache>
                <c:formatCode>_-* #,##0\ _₽_-;\-* #,##0\ _₽_-;_-* "-"??\ _₽_-;_-@_-</c:formatCode>
                <c:ptCount val="5"/>
                <c:pt idx="0">
                  <c:v>714255</c:v>
                </c:pt>
                <c:pt idx="1">
                  <c:v>666998.29599999997</c:v>
                </c:pt>
                <c:pt idx="2">
                  <c:v>653635</c:v>
                </c:pt>
                <c:pt idx="3">
                  <c:v>649841</c:v>
                </c:pt>
                <c:pt idx="4">
                  <c:v>605485</c:v>
                </c:pt>
              </c:numCache>
            </c:numRef>
          </c:val>
          <c:extLst>
            <c:ext xmlns:c16="http://schemas.microsoft.com/office/drawing/2014/chart" uri="{C3380CC4-5D6E-409C-BE32-E72D297353CC}">
              <c16:uniqueId val="{00000000-E04F-4118-AB36-9BF2F70311DC}"/>
            </c:ext>
          </c:extLst>
        </c:ser>
        <c:dLbls>
          <c:showLegendKey val="0"/>
          <c:showVal val="0"/>
          <c:showCatName val="0"/>
          <c:showSerName val="0"/>
          <c:showPercent val="0"/>
          <c:showBubbleSize val="0"/>
        </c:dLbls>
        <c:gapWidth val="150"/>
        <c:shape val="box"/>
        <c:axId val="652232911"/>
        <c:axId val="659987743"/>
        <c:axId val="0"/>
      </c:bar3DChart>
      <c:catAx>
        <c:axId val="6522329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659987743"/>
        <c:crosses val="autoZero"/>
        <c:auto val="1"/>
        <c:lblAlgn val="ctr"/>
        <c:lblOffset val="100"/>
        <c:noMultiLvlLbl val="0"/>
      </c:catAx>
      <c:valAx>
        <c:axId val="659987743"/>
        <c:scaling>
          <c:orientation val="minMax"/>
        </c:scaling>
        <c:delete val="0"/>
        <c:axPos val="b"/>
        <c:majorGridlines>
          <c:spPr>
            <a:ln w="9525" cap="flat" cmpd="sng" algn="ctr">
              <a:solidFill>
                <a:schemeClr val="tx1">
                  <a:lumMod val="15000"/>
                  <a:lumOff val="85000"/>
                </a:schemeClr>
              </a:solidFill>
              <a:round/>
            </a:ln>
            <a:effectLst/>
          </c:spPr>
        </c:majorGridlines>
        <c:numFmt formatCode="_-* #,##0\ _₽_-;\-* #,##0\ _₽_-;_-* &quot;-&quot;??\ _₽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652232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influencer_marketing_roi_dataset 3.xlsx]pivot!PivotTable7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Engagement</a:t>
            </a:r>
            <a:r>
              <a:rPr lang="en-US" baseline="0"/>
              <a:t> by Campaign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pivot!$R$43</c:f>
              <c:strCache>
                <c:ptCount val="1"/>
                <c:pt idx="0">
                  <c:v>Total</c:v>
                </c:pt>
              </c:strCache>
            </c:strRef>
          </c:tx>
          <c:spPr>
            <a:solidFill>
              <a:schemeClr val="accent1"/>
            </a:solidFill>
            <a:ln>
              <a:noFill/>
            </a:ln>
            <a:effectLst/>
          </c:spPr>
          <c:invertIfNegative val="0"/>
          <c:cat>
            <c:strRef>
              <c:f>pivot!$Q$44:$Q$49</c:f>
              <c:strCache>
                <c:ptCount val="5"/>
                <c:pt idx="0">
                  <c:v>Giveaway</c:v>
                </c:pt>
                <c:pt idx="1">
                  <c:v>Product Launch</c:v>
                </c:pt>
                <c:pt idx="2">
                  <c:v>Brand Awareness</c:v>
                </c:pt>
                <c:pt idx="3">
                  <c:v>Event Promotion</c:v>
                </c:pt>
                <c:pt idx="4">
                  <c:v>Seasonal Sale</c:v>
                </c:pt>
              </c:strCache>
            </c:strRef>
          </c:cat>
          <c:val>
            <c:numRef>
              <c:f>pivot!$R$44:$R$49</c:f>
              <c:numCache>
                <c:formatCode>_-* #,##0\ _₽_-;\-* #,##0\ _₽_-;_-* "-"??\ _₽_-;_-@_-</c:formatCode>
                <c:ptCount val="5"/>
                <c:pt idx="0">
                  <c:v>14002028</c:v>
                </c:pt>
                <c:pt idx="1">
                  <c:v>13724550</c:v>
                </c:pt>
                <c:pt idx="2">
                  <c:v>13551583</c:v>
                </c:pt>
                <c:pt idx="3">
                  <c:v>12522514</c:v>
                </c:pt>
                <c:pt idx="4">
                  <c:v>12416998</c:v>
                </c:pt>
              </c:numCache>
            </c:numRef>
          </c:val>
          <c:extLst>
            <c:ext xmlns:c16="http://schemas.microsoft.com/office/drawing/2014/chart" uri="{C3380CC4-5D6E-409C-BE32-E72D297353CC}">
              <c16:uniqueId val="{00000000-8FAF-42AB-836C-7BCFB24601C0}"/>
            </c:ext>
          </c:extLst>
        </c:ser>
        <c:dLbls>
          <c:showLegendKey val="0"/>
          <c:showVal val="0"/>
          <c:showCatName val="0"/>
          <c:showSerName val="0"/>
          <c:showPercent val="0"/>
          <c:showBubbleSize val="0"/>
        </c:dLbls>
        <c:gapWidth val="219"/>
        <c:axId val="648839903"/>
        <c:axId val="659997727"/>
      </c:barChart>
      <c:catAx>
        <c:axId val="64883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659997727"/>
        <c:crosses val="autoZero"/>
        <c:auto val="1"/>
        <c:lblAlgn val="ctr"/>
        <c:lblOffset val="100"/>
        <c:noMultiLvlLbl val="0"/>
      </c:catAx>
      <c:valAx>
        <c:axId val="659997727"/>
        <c:scaling>
          <c:orientation val="minMax"/>
        </c:scaling>
        <c:delete val="0"/>
        <c:axPos val="l"/>
        <c:majorGridlines>
          <c:spPr>
            <a:ln w="9525" cap="flat" cmpd="sng" algn="ctr">
              <a:solidFill>
                <a:schemeClr val="tx1">
                  <a:lumMod val="15000"/>
                  <a:lumOff val="85000"/>
                </a:schemeClr>
              </a:solidFill>
              <a:round/>
            </a:ln>
            <a:effectLst/>
          </c:spPr>
        </c:majorGridlines>
        <c:numFmt formatCode="_-* #,##0\ _₽_-;\-* #,##0\ _₽_-;_-* &quot;-&quot;??\ _₽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648839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influencer_marketing_roi_dataset 3.xlsx]pivot!PivotTable1</c:name>
    <c:fmtId val="4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pivot!$Q$19</c:f>
              <c:strCache>
                <c:ptCount val="1"/>
                <c:pt idx="0">
                  <c:v>Sum of engagements</c:v>
                </c:pt>
              </c:strCache>
            </c:strRef>
          </c:tx>
          <c:spPr>
            <a:solidFill>
              <a:schemeClr val="accent1"/>
            </a:solidFill>
            <a:ln>
              <a:noFill/>
            </a:ln>
            <a:effectLst/>
          </c:spPr>
          <c:invertIfNegative val="0"/>
          <c:cat>
            <c:strRef>
              <c:f>pivot!$P$20:$P$27</c:f>
              <c:strCache>
                <c:ptCount val="7"/>
                <c:pt idx="0">
                  <c:v>Gaming</c:v>
                </c:pt>
                <c:pt idx="1">
                  <c:v>Fashion</c:v>
                </c:pt>
                <c:pt idx="2">
                  <c:v>Tech</c:v>
                </c:pt>
                <c:pt idx="3">
                  <c:v>Fitness</c:v>
                </c:pt>
                <c:pt idx="4">
                  <c:v>Travel</c:v>
                </c:pt>
                <c:pt idx="5">
                  <c:v>Beauty</c:v>
                </c:pt>
                <c:pt idx="6">
                  <c:v>Food</c:v>
                </c:pt>
              </c:strCache>
            </c:strRef>
          </c:cat>
          <c:val>
            <c:numRef>
              <c:f>pivot!$Q$20:$Q$27</c:f>
              <c:numCache>
                <c:formatCode>General</c:formatCode>
                <c:ptCount val="7"/>
                <c:pt idx="0">
                  <c:v>8312129</c:v>
                </c:pt>
                <c:pt idx="1">
                  <c:v>9088938</c:v>
                </c:pt>
                <c:pt idx="2">
                  <c:v>9280679</c:v>
                </c:pt>
                <c:pt idx="3">
                  <c:v>9321139</c:v>
                </c:pt>
                <c:pt idx="4">
                  <c:v>9809071</c:v>
                </c:pt>
                <c:pt idx="5">
                  <c:v>9881330</c:v>
                </c:pt>
                <c:pt idx="6">
                  <c:v>10524387</c:v>
                </c:pt>
              </c:numCache>
            </c:numRef>
          </c:val>
          <c:extLst>
            <c:ext xmlns:c16="http://schemas.microsoft.com/office/drawing/2014/chart" uri="{C3380CC4-5D6E-409C-BE32-E72D297353CC}">
              <c16:uniqueId val="{00000000-9D94-4773-9A63-81C85FAE31A4}"/>
            </c:ext>
          </c:extLst>
        </c:ser>
        <c:ser>
          <c:idx val="1"/>
          <c:order val="1"/>
          <c:tx>
            <c:strRef>
              <c:f>pivot!$R$19</c:f>
              <c:strCache>
                <c:ptCount val="1"/>
                <c:pt idx="0">
                  <c:v>Sum of product_sales</c:v>
                </c:pt>
              </c:strCache>
            </c:strRef>
          </c:tx>
          <c:spPr>
            <a:solidFill>
              <a:schemeClr val="accent2"/>
            </a:solidFill>
            <a:ln>
              <a:noFill/>
            </a:ln>
            <a:effectLst/>
          </c:spPr>
          <c:invertIfNegative val="0"/>
          <c:cat>
            <c:strRef>
              <c:f>pivot!$P$20:$P$27</c:f>
              <c:strCache>
                <c:ptCount val="7"/>
                <c:pt idx="0">
                  <c:v>Gaming</c:v>
                </c:pt>
                <c:pt idx="1">
                  <c:v>Fashion</c:v>
                </c:pt>
                <c:pt idx="2">
                  <c:v>Tech</c:v>
                </c:pt>
                <c:pt idx="3">
                  <c:v>Fitness</c:v>
                </c:pt>
                <c:pt idx="4">
                  <c:v>Travel</c:v>
                </c:pt>
                <c:pt idx="5">
                  <c:v>Beauty</c:v>
                </c:pt>
                <c:pt idx="6">
                  <c:v>Food</c:v>
                </c:pt>
              </c:strCache>
            </c:strRef>
          </c:cat>
          <c:val>
            <c:numRef>
              <c:f>pivot!$R$20:$R$27</c:f>
              <c:numCache>
                <c:formatCode>General</c:formatCode>
                <c:ptCount val="7"/>
                <c:pt idx="0">
                  <c:v>418964</c:v>
                </c:pt>
                <c:pt idx="1">
                  <c:v>463775</c:v>
                </c:pt>
                <c:pt idx="2">
                  <c:v>480806</c:v>
                </c:pt>
                <c:pt idx="3">
                  <c:v>479180</c:v>
                </c:pt>
                <c:pt idx="4">
                  <c:v>492685</c:v>
                </c:pt>
                <c:pt idx="5">
                  <c:v>463116.29599999997</c:v>
                </c:pt>
                <c:pt idx="6">
                  <c:v>491688</c:v>
                </c:pt>
              </c:numCache>
            </c:numRef>
          </c:val>
          <c:extLst>
            <c:ext xmlns:c16="http://schemas.microsoft.com/office/drawing/2014/chart" uri="{C3380CC4-5D6E-409C-BE32-E72D297353CC}">
              <c16:uniqueId val="{00000001-9D94-4773-9A63-81C85FAE31A4}"/>
            </c:ext>
          </c:extLst>
        </c:ser>
        <c:dLbls>
          <c:showLegendKey val="0"/>
          <c:showVal val="0"/>
          <c:showCatName val="0"/>
          <c:showSerName val="0"/>
          <c:showPercent val="0"/>
          <c:showBubbleSize val="0"/>
        </c:dLbls>
        <c:gapWidth val="150"/>
        <c:overlap val="100"/>
        <c:axId val="1025941471"/>
        <c:axId val="970052255"/>
      </c:barChart>
      <c:catAx>
        <c:axId val="1025941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970052255"/>
        <c:crosses val="autoZero"/>
        <c:auto val="1"/>
        <c:lblAlgn val="ctr"/>
        <c:lblOffset val="100"/>
        <c:noMultiLvlLbl val="0"/>
      </c:catAx>
      <c:valAx>
        <c:axId val="97005225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025941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r>
              <a:rPr lang="en-US" sz="1400" b="0" i="0" u="none" strike="noStrike" baseline="0">
                <a:solidFill>
                  <a:sysClr val="windowText" lastClr="000000">
                    <a:lumMod val="65000"/>
                    <a:lumOff val="35000"/>
                  </a:sysClr>
                </a:solidFill>
                <a:latin typeface="Calibri" panose="020F0502020204030204"/>
              </a:rPr>
              <a:t>Sales by Platforms</a:t>
            </a:r>
          </a:p>
        </c:rich>
      </c:tx>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pivot!$J$6</c:f>
              <c:strCache>
                <c:ptCount val="1"/>
                <c:pt idx="0">
                  <c:v>Sales</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solidFill>
                    <a:latin typeface="+mn-lt"/>
                    <a:ea typeface="+mn-ea"/>
                    <a:cs typeface="+mn-cs"/>
                  </a:defRPr>
                </a:pPr>
                <a:endParaRPr lang="en-US"/>
              </a:p>
            </c:txPr>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pivot!$I$7:$I$10</c:f>
              <c:strCache>
                <c:ptCount val="4"/>
                <c:pt idx="0">
                  <c:v>Instagram</c:v>
                </c:pt>
                <c:pt idx="1">
                  <c:v>YouTube</c:v>
                </c:pt>
                <c:pt idx="2">
                  <c:v>TikTok</c:v>
                </c:pt>
                <c:pt idx="3">
                  <c:v>Twitter</c:v>
                </c:pt>
              </c:strCache>
            </c:strRef>
          </c:cat>
          <c:val>
            <c:numRef>
              <c:f>pivot!$J$7:$J$10</c:f>
              <c:numCache>
                <c:formatCode>General</c:formatCode>
                <c:ptCount val="4"/>
                <c:pt idx="0">
                  <c:v>1316411.2960000001</c:v>
                </c:pt>
                <c:pt idx="1">
                  <c:v>973442</c:v>
                </c:pt>
                <c:pt idx="2">
                  <c:v>658219</c:v>
                </c:pt>
                <c:pt idx="3">
                  <c:v>342142</c:v>
                </c:pt>
              </c:numCache>
            </c:numRef>
          </c:val>
          <c:extLst>
            <c:ext xmlns:c16="http://schemas.microsoft.com/office/drawing/2014/chart" uri="{C3380CC4-5D6E-409C-BE32-E72D297353CC}">
              <c16:uniqueId val="{00000000-30F2-40BD-B4FF-247EB5C35C7A}"/>
            </c:ext>
          </c:extLst>
        </c:ser>
        <c:dLbls>
          <c:showLegendKey val="0"/>
          <c:showVal val="0"/>
          <c:showCatName val="1"/>
          <c:showSerName val="0"/>
          <c:showPercent val="0"/>
          <c:showBubbleSize val="0"/>
        </c:dLbls>
        <c:gapWidth val="100"/>
        <c:overlap val="100"/>
        <c:axId val="1710674336"/>
        <c:axId val="1710670976"/>
      </c:barChart>
      <c:catAx>
        <c:axId val="17106743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1710670976"/>
        <c:crosses val="autoZero"/>
        <c:auto val="1"/>
        <c:lblAlgn val="ctr"/>
        <c:lblOffset val="100"/>
        <c:noMultiLvlLbl val="0"/>
      </c:catAx>
      <c:valAx>
        <c:axId val="1710670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171067433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influencer_marketing_roi_dataset 3.xlsx]pivot!PivotTable8</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Campaign Duration days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pivot!$C$61</c:f>
              <c:strCache>
                <c:ptCount val="1"/>
                <c:pt idx="0">
                  <c:v>Total</c:v>
                </c:pt>
              </c:strCache>
            </c:strRef>
          </c:tx>
          <c:spPr>
            <a:solidFill>
              <a:schemeClr val="accent1"/>
            </a:solidFill>
            <a:ln>
              <a:noFill/>
            </a:ln>
            <a:effectLst/>
          </c:spPr>
          <c:invertIfNegative val="0"/>
          <c:cat>
            <c:strRef>
              <c:f>pivot!$B$62:$B$68</c:f>
              <c:strCache>
                <c:ptCount val="6"/>
                <c:pt idx="0">
                  <c:v>1-5</c:v>
                </c:pt>
                <c:pt idx="1">
                  <c:v>6-10</c:v>
                </c:pt>
                <c:pt idx="2">
                  <c:v>11-15</c:v>
                </c:pt>
                <c:pt idx="3">
                  <c:v>16-20</c:v>
                </c:pt>
                <c:pt idx="4">
                  <c:v>21-25</c:v>
                </c:pt>
                <c:pt idx="5">
                  <c:v>26-30</c:v>
                </c:pt>
              </c:strCache>
            </c:strRef>
          </c:cat>
          <c:val>
            <c:numRef>
              <c:f>pivot!$C$62:$C$68</c:f>
              <c:numCache>
                <c:formatCode>General</c:formatCode>
                <c:ptCount val="6"/>
                <c:pt idx="0">
                  <c:v>522862.29599999997</c:v>
                </c:pt>
                <c:pt idx="1">
                  <c:v>565520</c:v>
                </c:pt>
                <c:pt idx="2">
                  <c:v>538177</c:v>
                </c:pt>
                <c:pt idx="3">
                  <c:v>589686</c:v>
                </c:pt>
                <c:pt idx="4">
                  <c:v>608095</c:v>
                </c:pt>
                <c:pt idx="5">
                  <c:v>465874</c:v>
                </c:pt>
              </c:numCache>
            </c:numRef>
          </c:val>
          <c:extLst>
            <c:ext xmlns:c16="http://schemas.microsoft.com/office/drawing/2014/chart" uri="{C3380CC4-5D6E-409C-BE32-E72D297353CC}">
              <c16:uniqueId val="{00000000-3966-42F8-98A6-17360C8A539D}"/>
            </c:ext>
          </c:extLst>
        </c:ser>
        <c:dLbls>
          <c:showLegendKey val="0"/>
          <c:showVal val="0"/>
          <c:showCatName val="0"/>
          <c:showSerName val="0"/>
          <c:showPercent val="0"/>
          <c:showBubbleSize val="0"/>
        </c:dLbls>
        <c:gapWidth val="24"/>
        <c:overlap val="3"/>
        <c:axId val="867682592"/>
        <c:axId val="867683552"/>
      </c:barChart>
      <c:catAx>
        <c:axId val="867682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683552"/>
        <c:crosses val="autoZero"/>
        <c:auto val="1"/>
        <c:lblAlgn val="ctr"/>
        <c:lblOffset val="100"/>
        <c:noMultiLvlLbl val="0"/>
      </c:catAx>
      <c:valAx>
        <c:axId val="867683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682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influencer_marketing_roi_dataset 3.xlsx]pivot!PivotTable20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3200" b="1"/>
              <a:t>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pivot!$C$15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pivot!$B$16:$B$35</c:f>
              <c:multiLvlStrCache>
                <c:ptCount val="15"/>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lvl>
                <c:lvl>
                  <c:pt idx="0">
                    <c:v>2022</c:v>
                  </c:pt>
                  <c:pt idx="4">
                    <c:v>2023</c:v>
                  </c:pt>
                  <c:pt idx="8">
                    <c:v>2024</c:v>
                  </c:pt>
                  <c:pt idx="12">
                    <c:v>2025</c:v>
                  </c:pt>
                </c:lvl>
              </c:multiLvlStrCache>
            </c:multiLvlStrRef>
          </c:cat>
          <c:val>
            <c:numRef>
              <c:f>pivot!$C$16:$C$35</c:f>
              <c:numCache>
                <c:formatCode>_-* #,##0.00\ [$₼-82C]_-;\-* #,##0.00\ [$₼-82C]_-;_-* "-"??\ [$₼-82C]_-;_-@_-</c:formatCode>
                <c:ptCount val="15"/>
                <c:pt idx="0">
                  <c:v>223807</c:v>
                </c:pt>
                <c:pt idx="1">
                  <c:v>235670</c:v>
                </c:pt>
                <c:pt idx="2">
                  <c:v>230679</c:v>
                </c:pt>
                <c:pt idx="3">
                  <c:v>230699</c:v>
                </c:pt>
                <c:pt idx="4">
                  <c:v>196013</c:v>
                </c:pt>
                <c:pt idx="5">
                  <c:v>188865</c:v>
                </c:pt>
                <c:pt idx="6">
                  <c:v>227638</c:v>
                </c:pt>
                <c:pt idx="7">
                  <c:v>237848</c:v>
                </c:pt>
                <c:pt idx="8">
                  <c:v>232149</c:v>
                </c:pt>
                <c:pt idx="9">
                  <c:v>209559</c:v>
                </c:pt>
                <c:pt idx="10">
                  <c:v>250099.296</c:v>
                </c:pt>
                <c:pt idx="11">
                  <c:v>222828</c:v>
                </c:pt>
                <c:pt idx="12">
                  <c:v>221639</c:v>
                </c:pt>
                <c:pt idx="13">
                  <c:v>231097</c:v>
                </c:pt>
                <c:pt idx="14">
                  <c:v>151624</c:v>
                </c:pt>
              </c:numCache>
            </c:numRef>
          </c:val>
          <c:smooth val="0"/>
          <c:extLst>
            <c:ext xmlns:c16="http://schemas.microsoft.com/office/drawing/2014/chart" uri="{C3380CC4-5D6E-409C-BE32-E72D297353CC}">
              <c16:uniqueId val="{00000000-6190-4326-A251-5775DBC69740}"/>
            </c:ext>
          </c:extLst>
        </c:ser>
        <c:dLbls>
          <c:showLegendKey val="0"/>
          <c:showVal val="0"/>
          <c:showCatName val="0"/>
          <c:showSerName val="0"/>
          <c:showPercent val="0"/>
          <c:showBubbleSize val="0"/>
        </c:dLbls>
        <c:marker val="1"/>
        <c:smooth val="0"/>
        <c:axId val="775095296"/>
        <c:axId val="775101056"/>
      </c:lineChart>
      <c:catAx>
        <c:axId val="77509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ru-RU"/>
          </a:p>
        </c:txPr>
        <c:crossAx val="775101056"/>
        <c:crosses val="autoZero"/>
        <c:auto val="1"/>
        <c:lblAlgn val="ctr"/>
        <c:lblOffset val="100"/>
        <c:noMultiLvlLbl val="0"/>
      </c:catAx>
      <c:valAx>
        <c:axId val="775101056"/>
        <c:scaling>
          <c:orientation val="minMax"/>
        </c:scaling>
        <c:delete val="0"/>
        <c:axPos val="l"/>
        <c:majorGridlines>
          <c:spPr>
            <a:ln w="9525" cap="flat" cmpd="sng" algn="ctr">
              <a:solidFill>
                <a:schemeClr val="tx1">
                  <a:lumMod val="15000"/>
                  <a:lumOff val="85000"/>
                </a:schemeClr>
              </a:solidFill>
              <a:round/>
            </a:ln>
            <a:effectLst/>
          </c:spPr>
        </c:majorGridlines>
        <c:numFmt formatCode="_-* #,##0.00\ [$₼-82C]_-;\-* #,##0.00\ [$₼-82C]_-;_-* &quot;-&quot;??\ [$₼-82C]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775095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influencer_marketing_roi_dataset 3.xlsx]pivot!PivotTable18</c:name>
    <c:fmtId val="31"/>
  </c:pivotSource>
  <c:chart>
    <c:title>
      <c:tx>
        <c:rich>
          <a:bodyPr rot="0" spcFirstLastPara="1" vertOverflow="ellipsis" vert="horz" wrap="square" anchor="ctr" anchorCtr="1"/>
          <a:lstStyle/>
          <a:p>
            <a:pPr>
              <a:defRPr sz="1600" b="1" i="0" u="none" strike="noStrike" kern="1200" baseline="0">
                <a:solidFill>
                  <a:schemeClr val="accent2">
                    <a:lumMod val="75000"/>
                  </a:schemeClr>
                </a:solidFill>
                <a:latin typeface="+mn-lt"/>
                <a:ea typeface="+mn-ea"/>
                <a:cs typeface="+mn-cs"/>
              </a:defRPr>
            </a:pPr>
            <a:r>
              <a:rPr lang="en-US" sz="2400" b="1">
                <a:solidFill>
                  <a:sysClr val="windowText" lastClr="000000"/>
                </a:solidFill>
              </a:rPr>
              <a:t>Sales by Influencer Category</a:t>
            </a:r>
          </a:p>
        </c:rich>
      </c:tx>
      <c:layout>
        <c:manualLayout>
          <c:xMode val="edge"/>
          <c:yMode val="edge"/>
          <c:x val="0.16036006652048226"/>
          <c:y val="4.385949684503025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accent2">
                  <a:lumMod val="75000"/>
                </a:schemeClr>
              </a:solidFill>
              <a:latin typeface="+mn-lt"/>
              <a:ea typeface="+mn-ea"/>
              <a:cs typeface="+mn-cs"/>
            </a:defRPr>
          </a:pPr>
          <a:endParaRPr lang="ru-RU"/>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190354330708662"/>
          <c:y val="0.24511471660978842"/>
          <c:w val="0.77932554133858278"/>
          <c:h val="0.53280844261017712"/>
        </c:manualLayout>
      </c:layout>
      <c:bar3DChart>
        <c:barDir val="col"/>
        <c:grouping val="clustered"/>
        <c:varyColors val="0"/>
        <c:ser>
          <c:idx val="0"/>
          <c:order val="0"/>
          <c:tx>
            <c:strRef>
              <c:f>pivot!$G$20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pivot!$F$21:$F$28</c:f>
              <c:strCache>
                <c:ptCount val="7"/>
                <c:pt idx="0">
                  <c:v>Travel</c:v>
                </c:pt>
                <c:pt idx="1">
                  <c:v>Food</c:v>
                </c:pt>
                <c:pt idx="2">
                  <c:v>Tech</c:v>
                </c:pt>
                <c:pt idx="3">
                  <c:v>Fitness</c:v>
                </c:pt>
                <c:pt idx="4">
                  <c:v>Fashion</c:v>
                </c:pt>
                <c:pt idx="5">
                  <c:v>Beauty</c:v>
                </c:pt>
                <c:pt idx="6">
                  <c:v>Gaming</c:v>
                </c:pt>
              </c:strCache>
            </c:strRef>
          </c:cat>
          <c:val>
            <c:numRef>
              <c:f>pivot!$G$21:$G$28</c:f>
              <c:numCache>
                <c:formatCode>General</c:formatCode>
                <c:ptCount val="7"/>
                <c:pt idx="0">
                  <c:v>492685</c:v>
                </c:pt>
                <c:pt idx="1">
                  <c:v>491688</c:v>
                </c:pt>
                <c:pt idx="2">
                  <c:v>480806</c:v>
                </c:pt>
                <c:pt idx="3">
                  <c:v>479180</c:v>
                </c:pt>
                <c:pt idx="4">
                  <c:v>463775</c:v>
                </c:pt>
                <c:pt idx="5">
                  <c:v>463116.29599999997</c:v>
                </c:pt>
                <c:pt idx="6">
                  <c:v>418964</c:v>
                </c:pt>
              </c:numCache>
            </c:numRef>
          </c:val>
          <c:extLst>
            <c:ext xmlns:c16="http://schemas.microsoft.com/office/drawing/2014/chart" uri="{C3380CC4-5D6E-409C-BE32-E72D297353CC}">
              <c16:uniqueId val="{00000000-9DA7-4371-A6DE-C6D9FA8DE948}"/>
            </c:ext>
          </c:extLst>
        </c:ser>
        <c:dLbls>
          <c:showLegendKey val="0"/>
          <c:showVal val="0"/>
          <c:showCatName val="0"/>
          <c:showSerName val="0"/>
          <c:showPercent val="0"/>
          <c:showBubbleSize val="0"/>
        </c:dLbls>
        <c:gapWidth val="150"/>
        <c:shape val="box"/>
        <c:axId val="1836662879"/>
        <c:axId val="1993662191"/>
        <c:axId val="0"/>
      </c:bar3DChart>
      <c:catAx>
        <c:axId val="18366628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ru-RU"/>
          </a:p>
        </c:txPr>
        <c:crossAx val="1993662191"/>
        <c:crosses val="autoZero"/>
        <c:auto val="1"/>
        <c:lblAlgn val="ctr"/>
        <c:lblOffset val="100"/>
        <c:noMultiLvlLbl val="0"/>
      </c:catAx>
      <c:valAx>
        <c:axId val="1993662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ru-RU"/>
          </a:p>
        </c:txPr>
        <c:crossAx val="1836662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w="9525" cap="flat" cmpd="sng" algn="ct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round/>
    </a:ln>
    <a:effectLst/>
  </c:spPr>
  <c:txPr>
    <a:bodyPr/>
    <a:lstStyle/>
    <a:p>
      <a:pPr>
        <a:defRPr baseline="0">
          <a:solidFill>
            <a:schemeClr val="accent2">
              <a:lumMod val="75000"/>
            </a:schemeClr>
          </a:solidFill>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influencer_marketing_roi_dataset 3.xlsx]pivot!PivotTable19</c:name>
    <c:fmtId val="38"/>
  </c:pivotSource>
  <c:chart>
    <c:title>
      <c:tx>
        <c:rich>
          <a:bodyPr rot="0" spcFirstLastPara="1" vertOverflow="ellipsis" vert="horz" wrap="square" anchor="ctr" anchorCtr="1"/>
          <a:lstStyle/>
          <a:p>
            <a:pPr>
              <a:defRPr sz="1600" b="0" i="0" u="none" strike="noStrike" kern="1200" spc="0" baseline="0">
                <a:solidFill>
                  <a:schemeClr val="accent2">
                    <a:lumMod val="50000"/>
                  </a:schemeClr>
                </a:solidFill>
                <a:latin typeface="+mn-lt"/>
                <a:ea typeface="+mn-ea"/>
                <a:cs typeface="+mn-cs"/>
              </a:defRPr>
            </a:pPr>
            <a:r>
              <a:rPr lang="en-US" sz="1600" b="1"/>
              <a:t>Average Engagement by Platform</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accent2">
                  <a:lumMod val="50000"/>
                </a:schemeClr>
              </a:solidFill>
              <a:latin typeface="+mn-lt"/>
              <a:ea typeface="+mn-ea"/>
              <a:cs typeface="+mn-cs"/>
            </a:defRPr>
          </a:pPr>
          <a:endParaRPr lang="ru-RU"/>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accent2">
                      <a:lumMod val="50000"/>
                    </a:schemeClr>
                  </a:solidFill>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dLbl>
          <c:idx val="0"/>
          <c:layout>
            <c:manualLayout>
              <c:x val="0"/>
              <c:y val="1.4285714285714285E-2"/>
            </c:manualLayout>
          </c:layout>
          <c:spPr>
            <a:noFill/>
            <a:ln>
              <a:noFill/>
            </a:ln>
            <a:effectLst/>
          </c:spPr>
          <c:txPr>
            <a:bodyPr rot="0" spcFirstLastPara="1" vertOverflow="ellipsis" vert="horz" wrap="square" anchor="ctr" anchorCtr="1"/>
            <a:lstStyle/>
            <a:p>
              <a:pPr>
                <a:defRPr sz="1200" b="0" i="0" u="none" strike="noStrike" kern="1200" baseline="0">
                  <a:solidFill>
                    <a:schemeClr val="accent2">
                      <a:lumMod val="50000"/>
                    </a:schemeClr>
                  </a:solidFill>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17485054074027"/>
          <c:y val="0.16709518420504868"/>
          <c:w val="0.93298441447164315"/>
          <c:h val="0.72243682039745027"/>
        </c:manualLayout>
      </c:layout>
      <c:barChart>
        <c:barDir val="col"/>
        <c:grouping val="clustered"/>
        <c:varyColors val="0"/>
        <c:ser>
          <c:idx val="0"/>
          <c:order val="0"/>
          <c:tx>
            <c:strRef>
              <c:f>pivot!$G$31</c:f>
              <c:strCache>
                <c:ptCount val="1"/>
                <c:pt idx="0">
                  <c:v>Total</c:v>
                </c:pt>
              </c:strCache>
            </c:strRef>
          </c:tx>
          <c:spPr>
            <a:solidFill>
              <a:schemeClr val="accent6"/>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0-7E35-4FD0-A3A6-F75BA6955297}"/>
              </c:ext>
            </c:extLst>
          </c:dPt>
          <c:dLbls>
            <c:dLbl>
              <c:idx val="0"/>
              <c:layout>
                <c:manualLayout>
                  <c:x val="0"/>
                  <c:y val="1.428571428571428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E35-4FD0-A3A6-F75BA6955297}"/>
                </c:ext>
              </c:extLst>
            </c:dLbl>
            <c:spPr>
              <a:noFill/>
              <a:ln>
                <a:noFill/>
              </a:ln>
              <a:effectLst/>
            </c:spPr>
            <c:txPr>
              <a:bodyPr rot="0" spcFirstLastPara="1" vertOverflow="ellipsis" vert="horz" wrap="square" anchor="ctr" anchorCtr="1"/>
              <a:lstStyle/>
              <a:p>
                <a:pPr>
                  <a:defRPr sz="1200" b="0" i="0" u="none" strike="noStrike" kern="1200" baseline="0">
                    <a:solidFill>
                      <a:schemeClr val="accent2">
                        <a:lumMod val="50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pivot!$F$32:$F$36</c:f>
              <c:strCache>
                <c:ptCount val="4"/>
                <c:pt idx="0">
                  <c:v>TikTok</c:v>
                </c:pt>
                <c:pt idx="1">
                  <c:v>Instagram</c:v>
                </c:pt>
                <c:pt idx="2">
                  <c:v>YouTube</c:v>
                </c:pt>
                <c:pt idx="3">
                  <c:v>Twitter</c:v>
                </c:pt>
              </c:strCache>
            </c:strRef>
          </c:cat>
          <c:val>
            <c:numRef>
              <c:f>pivot!$G$32:$G$36</c:f>
              <c:numCache>
                <c:formatCode>_-* #,##0.000\ _₽_-;\-* #,##0.000\ _₽_-;_-* "-"??\ _₽_-;_-@_-</c:formatCode>
                <c:ptCount val="4"/>
                <c:pt idx="0">
                  <c:v>50936.242647058825</c:v>
                </c:pt>
                <c:pt idx="1">
                  <c:v>50160.156424581008</c:v>
                </c:pt>
                <c:pt idx="2">
                  <c:v>49101.556390977443</c:v>
                </c:pt>
                <c:pt idx="3">
                  <c:v>44545.725190839694</c:v>
                </c:pt>
              </c:numCache>
            </c:numRef>
          </c:val>
          <c:extLst>
            <c:ext xmlns:c16="http://schemas.microsoft.com/office/drawing/2014/chart" uri="{C3380CC4-5D6E-409C-BE32-E72D297353CC}">
              <c16:uniqueId val="{00000000-9461-4021-ABED-7ACABD4D5FA2}"/>
            </c:ext>
          </c:extLst>
        </c:ser>
        <c:dLbls>
          <c:dLblPos val="outEnd"/>
          <c:showLegendKey val="0"/>
          <c:showVal val="1"/>
          <c:showCatName val="0"/>
          <c:showSerName val="0"/>
          <c:showPercent val="0"/>
          <c:showBubbleSize val="0"/>
        </c:dLbls>
        <c:gapWidth val="219"/>
        <c:overlap val="-27"/>
        <c:axId val="1790732991"/>
        <c:axId val="227055"/>
      </c:barChart>
      <c:catAx>
        <c:axId val="1790732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accent2">
                    <a:lumMod val="50000"/>
                  </a:schemeClr>
                </a:solidFill>
                <a:latin typeface="+mn-lt"/>
                <a:ea typeface="+mn-ea"/>
                <a:cs typeface="+mn-cs"/>
              </a:defRPr>
            </a:pPr>
            <a:endParaRPr lang="ru-RU"/>
          </a:p>
        </c:txPr>
        <c:crossAx val="227055"/>
        <c:crosses val="autoZero"/>
        <c:auto val="1"/>
        <c:lblAlgn val="ctr"/>
        <c:lblOffset val="100"/>
        <c:noMultiLvlLbl val="0"/>
      </c:catAx>
      <c:valAx>
        <c:axId val="227055"/>
        <c:scaling>
          <c:orientation val="minMax"/>
        </c:scaling>
        <c:delete val="0"/>
        <c:axPos val="l"/>
        <c:majorGridlines>
          <c:spPr>
            <a:ln w="9525" cap="flat" cmpd="sng" algn="ctr">
              <a:noFill/>
              <a:round/>
            </a:ln>
            <a:effectLst/>
          </c:spPr>
        </c:majorGridlines>
        <c:numFmt formatCode="_-* #,##0.000\ _₽_-;\-* #,##0.000\ _₽_-;_-* &quot;-&quot;??\ _₽_-;_-@_-"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accent2">
                    <a:lumMod val="50000"/>
                  </a:schemeClr>
                </a:solidFill>
                <a:latin typeface="+mn-lt"/>
                <a:ea typeface="+mn-ea"/>
                <a:cs typeface="+mn-cs"/>
              </a:defRPr>
            </a:pPr>
            <a:endParaRPr lang="ru-RU"/>
          </a:p>
        </c:txPr>
        <c:crossAx val="1790732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gradFill>
    <a:ln w="9525" cap="flat" cmpd="sng" algn="ctr">
      <a:solidFill>
        <a:schemeClr val="tx1">
          <a:lumMod val="15000"/>
          <a:lumOff val="85000"/>
        </a:schemeClr>
      </a:solidFill>
      <a:round/>
    </a:ln>
    <a:effectLst/>
  </c:spPr>
  <c:txPr>
    <a:bodyPr/>
    <a:lstStyle/>
    <a:p>
      <a:pPr>
        <a:defRPr baseline="0">
          <a:solidFill>
            <a:schemeClr val="accent2">
              <a:lumMod val="50000"/>
            </a:schemeClr>
          </a:solidFill>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[Copy of influencer_marketing_roi_dataset 3.xlsx]pivot!PivotTable2</c:name>
    <c:fmtId val="22"/>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sz="2000" b="1"/>
              <a:t>Average Engagement by Category %</a:t>
            </a:r>
          </a:p>
        </c:rich>
      </c:tx>
      <c:layout>
        <c:manualLayout>
          <c:xMode val="edge"/>
          <c:yMode val="edge"/>
          <c:x val="0.19423074594244275"/>
          <c:y val="2.8822599889289854E-2"/>
        </c:manualLayout>
      </c:layout>
      <c:overlay val="0"/>
      <c:spPr>
        <a:noFill/>
        <a:ln>
          <a:noFill/>
        </a:ln>
        <a:effectLst/>
      </c:spPr>
    </c:title>
    <c:autoTitleDeleted val="0"/>
    <c:pivotFmts>
      <c:pivotFmt>
        <c:idx val="0"/>
        <c:spPr>
          <a:solidFill>
            <a:schemeClr val="accent6"/>
          </a:solidFill>
          <a:ln>
            <a:noFill/>
          </a:ln>
          <a:effectLst>
            <a:outerShdw blurRad="63500" sx="102000" sy="102000" algn="ctr" rotWithShape="0">
              <a:prstClr val="black">
                <a:alpha val="20000"/>
              </a:prstClr>
            </a:outerShdw>
          </a:effectLst>
        </c:spPr>
        <c:marker>
          <c:symbol val="circle"/>
          <c:size val="6"/>
        </c:marker>
        <c:dLbl>
          <c:idx val="0"/>
          <c:spPr>
            <a:solidFill>
              <a:sysClr val="window" lastClr="FFFFFF"/>
            </a:solidFill>
            <a:ln>
              <a:solidFill>
                <a:srgbClr val="70AD47"/>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6"/>
          </a:solidFill>
          <a:ln>
            <a:noFill/>
          </a:ln>
          <a:effectLst>
            <a:outerShdw blurRad="63500" sx="102000" sy="102000" algn="ctr" rotWithShape="0">
              <a:prstClr val="black">
                <a:alpha val="20000"/>
              </a:prstClr>
            </a:outerShdw>
          </a:effectLst>
        </c:spPr>
        <c:dLbl>
          <c:idx val="0"/>
          <c:spPr>
            <a:solidFill>
              <a:sysClr val="window" lastClr="FFFFFF"/>
            </a:solidFill>
            <a:ln>
              <a:solidFill>
                <a:srgbClr val="70AD47"/>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xForSave val="1"/>
            </c:ext>
          </c:extLst>
        </c:dLbl>
      </c:pivotFmt>
      <c:pivotFmt>
        <c:idx val="2"/>
        <c:spPr>
          <a:solidFill>
            <a:schemeClr val="accent5"/>
          </a:solidFill>
          <a:ln>
            <a:noFill/>
          </a:ln>
          <a:effectLst>
            <a:outerShdw blurRad="63500" sx="102000" sy="102000" algn="ctr" rotWithShape="0">
              <a:prstClr val="black">
                <a:alpha val="20000"/>
              </a:prstClr>
            </a:outerShdw>
          </a:effectLst>
        </c:spPr>
        <c:dLbl>
          <c:idx val="0"/>
          <c:spPr>
            <a:solidFill>
              <a:sysClr val="window" lastClr="FFFFFF"/>
            </a:solidFill>
            <a:ln>
              <a:solidFill>
                <a:srgbClr val="70AD47"/>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xForSave val="1"/>
            </c:ext>
          </c:extLst>
        </c:dLbl>
      </c:pivotFmt>
      <c:pivotFmt>
        <c:idx val="3"/>
        <c:spPr>
          <a:solidFill>
            <a:schemeClr val="accent4"/>
          </a:solidFill>
          <a:ln>
            <a:noFill/>
          </a:ln>
          <a:effectLst>
            <a:outerShdw blurRad="63500" sx="102000" sy="102000" algn="ctr" rotWithShape="0">
              <a:prstClr val="black">
                <a:alpha val="20000"/>
              </a:prstClr>
            </a:outerShdw>
          </a:effectLst>
        </c:spPr>
        <c:dLbl>
          <c:idx val="0"/>
          <c:spPr>
            <a:solidFill>
              <a:sysClr val="window" lastClr="FFFFFF"/>
            </a:solidFill>
            <a:ln>
              <a:solidFill>
                <a:srgbClr val="70AD47"/>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xForSave val="1"/>
            </c:ext>
          </c:extLst>
        </c:dLbl>
      </c:pivotFmt>
      <c:pivotFmt>
        <c:idx val="4"/>
        <c:spPr>
          <a:solidFill>
            <a:schemeClr val="accent6">
              <a:lumMod val="60000"/>
            </a:schemeClr>
          </a:solidFill>
          <a:ln>
            <a:noFill/>
          </a:ln>
          <a:effectLst>
            <a:outerShdw blurRad="63500" sx="102000" sy="102000" algn="ctr" rotWithShape="0">
              <a:prstClr val="black">
                <a:alpha val="20000"/>
              </a:prstClr>
            </a:outerShdw>
          </a:effectLst>
        </c:spPr>
        <c:dLbl>
          <c:idx val="0"/>
          <c:spPr>
            <a:solidFill>
              <a:sysClr val="window" lastClr="FFFFFF"/>
            </a:solidFill>
            <a:ln>
              <a:solidFill>
                <a:srgbClr val="70AD47"/>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xForSave val="1"/>
            </c:ext>
          </c:extLst>
        </c:dLbl>
      </c:pivotFmt>
      <c:pivotFmt>
        <c:idx val="5"/>
        <c:spPr>
          <a:solidFill>
            <a:schemeClr val="accent5">
              <a:lumMod val="60000"/>
            </a:schemeClr>
          </a:solidFill>
          <a:ln>
            <a:noFill/>
          </a:ln>
          <a:effectLst>
            <a:outerShdw blurRad="63500" sx="102000" sy="102000" algn="ctr" rotWithShape="0">
              <a:prstClr val="black">
                <a:alpha val="20000"/>
              </a:prstClr>
            </a:outerShdw>
          </a:effectLst>
        </c:spPr>
        <c:dLbl>
          <c:idx val="0"/>
          <c:spPr>
            <a:solidFill>
              <a:sysClr val="window" lastClr="FFFFFF"/>
            </a:solidFill>
            <a:ln>
              <a:solidFill>
                <a:srgbClr val="70AD47"/>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xForSave val="1"/>
            </c:ext>
          </c:extLst>
        </c:dLbl>
      </c:pivotFmt>
      <c:pivotFmt>
        <c:idx val="6"/>
        <c:spPr>
          <a:solidFill>
            <a:schemeClr val="accent4">
              <a:lumMod val="60000"/>
            </a:schemeClr>
          </a:solidFill>
          <a:ln>
            <a:noFill/>
          </a:ln>
          <a:effectLst>
            <a:outerShdw blurRad="63500" sx="102000" sy="102000" algn="ctr" rotWithShape="0">
              <a:prstClr val="black">
                <a:alpha val="20000"/>
              </a:prstClr>
            </a:outerShdw>
          </a:effectLst>
        </c:spPr>
        <c:dLbl>
          <c:idx val="0"/>
          <c:spPr>
            <a:solidFill>
              <a:sysClr val="window" lastClr="FFFFFF"/>
            </a:solidFill>
            <a:ln>
              <a:solidFill>
                <a:srgbClr val="70AD47"/>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xForSave val="1"/>
            </c:ext>
          </c:extLst>
        </c:dLbl>
      </c:pivotFmt>
      <c:pivotFmt>
        <c:idx val="7"/>
        <c:spPr>
          <a:solidFill>
            <a:schemeClr val="accent6">
              <a:lumMod val="80000"/>
              <a:lumOff val="20000"/>
            </a:schemeClr>
          </a:solidFill>
          <a:ln>
            <a:noFill/>
          </a:ln>
          <a:effectLst>
            <a:outerShdw blurRad="63500" sx="102000" sy="102000" algn="ctr" rotWithShape="0">
              <a:prstClr val="black">
                <a:alpha val="20000"/>
              </a:prstClr>
            </a:outerShdw>
          </a:effectLst>
        </c:spPr>
        <c:dLbl>
          <c:idx val="0"/>
          <c:spPr>
            <a:solidFill>
              <a:sysClr val="window" lastClr="FFFFFF"/>
            </a:solidFill>
            <a:ln>
              <a:solidFill>
                <a:srgbClr val="70AD47"/>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xForSave val="1"/>
            </c:ext>
          </c:extLst>
        </c:dLbl>
      </c:pivotFmt>
      <c:pivotFmt>
        <c:idx val="8"/>
      </c:pivotFmt>
      <c:pivotFmt>
        <c:idx val="9"/>
        <c:spPr>
          <a:solidFill>
            <a:schemeClr val="accent6"/>
          </a:solidFill>
          <a:ln>
            <a:noFill/>
          </a:ln>
          <a:effectLst>
            <a:outerShdw blurRad="63500" sx="102000" sy="102000" algn="ctr" rotWithShape="0">
              <a:prstClr val="black">
                <a:alpha val="20000"/>
              </a:prstClr>
            </a:outerShdw>
          </a:effectLst>
        </c:spPr>
        <c:marker>
          <c:symbol val="none"/>
        </c:marker>
        <c:dLbl>
          <c:idx val="0"/>
          <c:spPr>
            <a:solidFill>
              <a:sysClr val="window" lastClr="FFFFFF"/>
            </a:solidFill>
            <a:ln>
              <a:solidFill>
                <a:srgbClr val="70AD47"/>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
        <c:spPr>
          <a:solidFill>
            <a:schemeClr val="accent6"/>
          </a:solidFill>
          <a:ln>
            <a:noFill/>
          </a:ln>
          <a:effectLst>
            <a:outerShdw blurRad="63500" sx="102000" sy="102000" algn="ctr" rotWithShape="0">
              <a:prstClr val="black">
                <a:alpha val="20000"/>
              </a:prstClr>
            </a:outerShdw>
          </a:effectLst>
        </c:spPr>
        <c:dLbl>
          <c:idx val="0"/>
          <c:spPr>
            <a:solidFill>
              <a:sysClr val="window" lastClr="FFFFFF"/>
            </a:solidFill>
            <a:ln>
              <a:solidFill>
                <a:srgbClr val="70AD47"/>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solidFill>
            <a:schemeClr val="accent6"/>
          </a:solidFill>
          <a:ln>
            <a:noFill/>
          </a:ln>
          <a:effectLst>
            <a:outerShdw blurRad="63500" sx="102000" sy="102000" algn="ctr" rotWithShape="0">
              <a:prstClr val="black">
                <a:alpha val="20000"/>
              </a:prstClr>
            </a:outerShdw>
          </a:effectLst>
        </c:spPr>
        <c:dLbl>
          <c:idx val="0"/>
          <c:spPr>
            <a:solidFill>
              <a:sysClr val="window" lastClr="FFFFFF"/>
            </a:solidFill>
            <a:ln>
              <a:solidFill>
                <a:srgbClr val="70AD47"/>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2"/>
        <c:spPr>
          <a:solidFill>
            <a:schemeClr val="accent6"/>
          </a:solidFill>
          <a:ln>
            <a:noFill/>
          </a:ln>
          <a:effectLst>
            <a:outerShdw blurRad="63500" sx="102000" sy="102000" algn="ctr" rotWithShape="0">
              <a:prstClr val="black">
                <a:alpha val="20000"/>
              </a:prstClr>
            </a:outerShdw>
          </a:effectLst>
        </c:spPr>
        <c:dLbl>
          <c:idx val="0"/>
          <c:spPr>
            <a:solidFill>
              <a:sysClr val="window" lastClr="FFFFFF"/>
            </a:solidFill>
            <a:ln>
              <a:solidFill>
                <a:srgbClr val="70AD47"/>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3"/>
        <c:spPr>
          <a:solidFill>
            <a:schemeClr val="accent6"/>
          </a:solidFill>
          <a:ln>
            <a:noFill/>
          </a:ln>
          <a:effectLst>
            <a:outerShdw blurRad="63500" sx="102000" sy="102000" algn="ctr" rotWithShape="0">
              <a:prstClr val="black">
                <a:alpha val="20000"/>
              </a:prstClr>
            </a:outerShdw>
          </a:effectLst>
        </c:spPr>
        <c:dLbl>
          <c:idx val="0"/>
          <c:spPr>
            <a:solidFill>
              <a:sysClr val="window" lastClr="FFFFFF"/>
            </a:solidFill>
            <a:ln>
              <a:solidFill>
                <a:srgbClr val="70AD47"/>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4"/>
        <c:spPr>
          <a:solidFill>
            <a:schemeClr val="accent6"/>
          </a:solidFill>
          <a:ln>
            <a:noFill/>
          </a:ln>
          <a:effectLst>
            <a:outerShdw blurRad="63500" sx="102000" sy="102000" algn="ctr" rotWithShape="0">
              <a:prstClr val="black">
                <a:alpha val="20000"/>
              </a:prstClr>
            </a:outerShdw>
          </a:effectLst>
        </c:spPr>
        <c:dLbl>
          <c:idx val="0"/>
          <c:spPr>
            <a:solidFill>
              <a:sysClr val="window" lastClr="FFFFFF"/>
            </a:solidFill>
            <a:ln>
              <a:solidFill>
                <a:srgbClr val="70AD47"/>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5"/>
        <c:spPr>
          <a:solidFill>
            <a:schemeClr val="accent6"/>
          </a:solidFill>
          <a:ln>
            <a:noFill/>
          </a:ln>
          <a:effectLst>
            <a:outerShdw blurRad="63500" sx="102000" sy="102000" algn="ctr" rotWithShape="0">
              <a:prstClr val="black">
                <a:alpha val="20000"/>
              </a:prstClr>
            </a:outerShdw>
          </a:effectLst>
        </c:spPr>
        <c:dLbl>
          <c:idx val="0"/>
          <c:spPr>
            <a:solidFill>
              <a:sysClr val="window" lastClr="FFFFFF"/>
            </a:solidFill>
            <a:ln>
              <a:solidFill>
                <a:srgbClr val="70AD47"/>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6"/>
        <c:spPr>
          <a:solidFill>
            <a:schemeClr val="accent6"/>
          </a:solidFill>
          <a:ln>
            <a:noFill/>
          </a:ln>
          <a:effectLst>
            <a:outerShdw blurRad="63500" sx="102000" sy="102000" algn="ctr" rotWithShape="0">
              <a:prstClr val="black">
                <a:alpha val="20000"/>
              </a:prstClr>
            </a:outerShdw>
          </a:effectLst>
        </c:spPr>
        <c:dLbl>
          <c:idx val="0"/>
          <c:spPr>
            <a:solidFill>
              <a:sysClr val="window" lastClr="FFFFFF"/>
            </a:solidFill>
            <a:ln>
              <a:solidFill>
                <a:srgbClr val="70AD47"/>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7"/>
        <c:spPr>
          <a:solidFill>
            <a:schemeClr val="accent6"/>
          </a:solidFill>
          <a:ln>
            <a:noFill/>
          </a:ln>
          <a:effectLst>
            <a:outerShdw blurRad="63500" sx="102000" sy="102000" algn="ctr" rotWithShape="0">
              <a:prstClr val="black">
                <a:alpha val="20000"/>
              </a:prstClr>
            </a:outerShdw>
          </a:effectLst>
        </c:spPr>
        <c:marker>
          <c:symbol val="none"/>
        </c:marker>
        <c:dLbl>
          <c:idx val="0"/>
          <c:spPr>
            <a:solidFill>
              <a:sysClr val="window" lastClr="FFFFFF"/>
            </a:solidFill>
            <a:ln>
              <a:solidFill>
                <a:srgbClr val="70AD47"/>
              </a:solidFill>
            </a:ln>
            <a:effectLst/>
          </c:spPr>
          <c:txPr>
            <a:bodyPr rot="0" spcFirstLastPara="1" vertOverflow="clip" horzOverflow="clip" vert="horz" wrap="square" lIns="38100" tIns="19050" rIns="38100" bIns="19050" anchor="ctr" anchorCtr="1">
              <a:spAutoFit/>
            </a:bodyPr>
            <a:lstStyle/>
            <a:p>
              <a:pPr>
                <a:defRPr sz="1800" b="1" i="0" u="none" strike="noStrike" kern="1200" baseline="0">
                  <a:solidFill>
                    <a:schemeClr val="accent6"/>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8"/>
        <c:spPr>
          <a:solidFill>
            <a:schemeClr val="accent6"/>
          </a:solidFill>
          <a:ln>
            <a:noFill/>
          </a:ln>
          <a:effectLst>
            <a:outerShdw blurRad="63500" sx="102000" sy="102000" algn="ctr" rotWithShape="0">
              <a:prstClr val="black">
                <a:alpha val="20000"/>
              </a:prstClr>
            </a:outerShdw>
          </a:effectLst>
        </c:spPr>
        <c:dLbl>
          <c:idx val="0"/>
          <c:spPr>
            <a:solidFill>
              <a:sysClr val="window" lastClr="FFFFFF"/>
            </a:solidFill>
            <a:ln>
              <a:solidFill>
                <a:srgbClr val="70AD47"/>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wedgeRectCallout">
                  <a:avLst/>
                </a:prstGeom>
              </c15:spPr>
            </c:ext>
          </c:extLst>
        </c:dLbl>
      </c:pivotFmt>
      <c:pivotFmt>
        <c:idx val="19"/>
        <c:spPr>
          <a:solidFill>
            <a:schemeClr val="accent5"/>
          </a:solidFill>
          <a:ln>
            <a:noFill/>
          </a:ln>
          <a:effectLst>
            <a:outerShdw blurRad="63500" sx="102000" sy="102000" algn="ctr" rotWithShape="0">
              <a:prstClr val="black">
                <a:alpha val="20000"/>
              </a:prstClr>
            </a:outerShdw>
          </a:effectLst>
        </c:spPr>
        <c:dLbl>
          <c:idx val="0"/>
          <c:spPr>
            <a:solidFill>
              <a:sysClr val="window" lastClr="FFFFFF"/>
            </a:solidFill>
            <a:ln>
              <a:solidFill>
                <a:srgbClr val="70AD47"/>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5"/>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wedgeRectCallout">
                  <a:avLst/>
                </a:prstGeom>
              </c15:spPr>
            </c:ext>
          </c:extLst>
        </c:dLbl>
      </c:pivotFmt>
      <c:pivotFmt>
        <c:idx val="20"/>
        <c:spPr>
          <a:solidFill>
            <a:schemeClr val="accent4"/>
          </a:solidFill>
          <a:ln>
            <a:noFill/>
          </a:ln>
          <a:effectLst>
            <a:outerShdw blurRad="63500" sx="102000" sy="102000" algn="ctr" rotWithShape="0">
              <a:prstClr val="black">
                <a:alpha val="20000"/>
              </a:prstClr>
            </a:outerShdw>
          </a:effectLst>
        </c:spPr>
        <c:dLbl>
          <c:idx val="0"/>
          <c:spPr>
            <a:solidFill>
              <a:sysClr val="window" lastClr="FFFFFF"/>
            </a:solidFill>
            <a:ln>
              <a:solidFill>
                <a:srgbClr val="70AD47"/>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4"/>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wedgeRectCallout">
                  <a:avLst/>
                </a:prstGeom>
              </c15:spPr>
            </c:ext>
          </c:extLst>
        </c:dLbl>
      </c:pivotFmt>
      <c:pivotFmt>
        <c:idx val="21"/>
        <c:spPr>
          <a:solidFill>
            <a:schemeClr val="accent6">
              <a:lumMod val="60000"/>
            </a:schemeClr>
          </a:solidFill>
          <a:ln>
            <a:noFill/>
          </a:ln>
          <a:effectLst>
            <a:outerShdw blurRad="63500" sx="102000" sy="102000" algn="ctr" rotWithShape="0">
              <a:prstClr val="black">
                <a:alpha val="20000"/>
              </a:prstClr>
            </a:outerShdw>
          </a:effectLst>
        </c:spPr>
        <c:dLbl>
          <c:idx val="0"/>
          <c:spPr>
            <a:solidFill>
              <a:sysClr val="window" lastClr="FFFFFF"/>
            </a:solidFill>
            <a:ln>
              <a:solidFill>
                <a:srgbClr val="70AD47"/>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6">
                      <a:lumMod val="6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wedgeRectCallout">
                  <a:avLst/>
                </a:prstGeom>
              </c15:spPr>
            </c:ext>
          </c:extLst>
        </c:dLbl>
      </c:pivotFmt>
      <c:pivotFmt>
        <c:idx val="22"/>
        <c:spPr>
          <a:solidFill>
            <a:schemeClr val="accent5">
              <a:lumMod val="60000"/>
            </a:schemeClr>
          </a:solidFill>
          <a:ln>
            <a:noFill/>
          </a:ln>
          <a:effectLst>
            <a:outerShdw blurRad="63500" sx="102000" sy="102000" algn="ctr" rotWithShape="0">
              <a:prstClr val="black">
                <a:alpha val="20000"/>
              </a:prstClr>
            </a:outerShdw>
          </a:effectLst>
        </c:spPr>
        <c:dLbl>
          <c:idx val="0"/>
          <c:spPr>
            <a:solidFill>
              <a:sysClr val="window" lastClr="FFFFFF"/>
            </a:solidFill>
            <a:ln>
              <a:solidFill>
                <a:srgbClr val="70AD47"/>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5">
                      <a:lumMod val="6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wedgeRectCallout">
                  <a:avLst/>
                </a:prstGeom>
              </c15:spPr>
            </c:ext>
          </c:extLst>
        </c:dLbl>
      </c:pivotFmt>
      <c:pivotFmt>
        <c:idx val="23"/>
        <c:spPr>
          <a:solidFill>
            <a:schemeClr val="accent4">
              <a:lumMod val="60000"/>
            </a:schemeClr>
          </a:solidFill>
          <a:ln>
            <a:noFill/>
          </a:ln>
          <a:effectLst>
            <a:outerShdw blurRad="63500" sx="102000" sy="102000" algn="ctr" rotWithShape="0">
              <a:prstClr val="black">
                <a:alpha val="20000"/>
              </a:prstClr>
            </a:outerShdw>
          </a:effectLst>
        </c:spPr>
        <c:dLbl>
          <c:idx val="0"/>
          <c:spPr>
            <a:solidFill>
              <a:sysClr val="window" lastClr="FFFFFF"/>
            </a:solidFill>
            <a:ln>
              <a:solidFill>
                <a:srgbClr val="70AD47"/>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4">
                      <a:lumMod val="6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wedgeRectCallout">
                  <a:avLst/>
                </a:prstGeom>
              </c15:spPr>
            </c:ext>
          </c:extLst>
        </c:dLbl>
      </c:pivotFmt>
      <c:pivotFmt>
        <c:idx val="24"/>
        <c:spPr>
          <a:solidFill>
            <a:schemeClr val="accent6">
              <a:lumMod val="80000"/>
              <a:lumOff val="20000"/>
            </a:schemeClr>
          </a:solidFill>
          <a:ln>
            <a:noFill/>
          </a:ln>
          <a:effectLst>
            <a:outerShdw blurRad="63500" sx="102000" sy="102000" algn="ctr" rotWithShape="0">
              <a:prstClr val="black">
                <a:alpha val="20000"/>
              </a:prstClr>
            </a:outerShdw>
          </a:effectLst>
        </c:spPr>
        <c:dLbl>
          <c:idx val="0"/>
          <c:layout>
            <c:manualLayout>
              <c:x val="-3.0357722245192967E-2"/>
              <c:y val="4.9427065293304512E-2"/>
            </c:manualLayout>
          </c:layout>
          <c:spPr>
            <a:solidFill>
              <a:sysClr val="window" lastClr="FFFFFF"/>
            </a:solidFill>
            <a:ln>
              <a:solidFill>
                <a:srgbClr val="70AD47"/>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6">
                      <a:lumMod val="80000"/>
                      <a:lumOff val="20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5"/>
        <c:marker>
          <c:symbol val="none"/>
        </c:marker>
        <c:dLbl>
          <c:idx val="0"/>
          <c:spPr>
            <a:solidFill>
              <a:sysClr val="window" lastClr="FFFFFF"/>
            </a:solidFill>
            <a:ln>
              <a:solidFill>
                <a:srgbClr val="70AD47"/>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6"/>
        <c:spPr>
          <a:solidFill>
            <a:schemeClr val="accent6"/>
          </a:solidFill>
          <a:ln>
            <a:noFill/>
          </a:ln>
          <a:effectLst>
            <a:outerShdw blurRad="63500" sx="102000" sy="102000" algn="ctr" rotWithShape="0">
              <a:prstClr val="black">
                <a:alpha val="20000"/>
              </a:prstClr>
            </a:outerShdw>
          </a:effectLst>
        </c:spPr>
        <c:dLbl>
          <c:idx val="0"/>
          <c:spPr>
            <a:solidFill>
              <a:sysClr val="window" lastClr="FFFFFF"/>
            </a:solidFill>
            <a:ln>
              <a:solidFill>
                <a:srgbClr val="70AD47"/>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7"/>
        <c:spPr>
          <a:solidFill>
            <a:schemeClr val="accent5"/>
          </a:solidFill>
          <a:ln>
            <a:noFill/>
          </a:ln>
          <a:effectLst>
            <a:outerShdw blurRad="63500" sx="102000" sy="102000" algn="ctr" rotWithShape="0">
              <a:prstClr val="black">
                <a:alpha val="20000"/>
              </a:prstClr>
            </a:outerShdw>
          </a:effectLst>
        </c:spPr>
        <c:dLbl>
          <c:idx val="0"/>
          <c:spPr>
            <a:solidFill>
              <a:sysClr val="window" lastClr="FFFFFF"/>
            </a:solidFill>
            <a:ln>
              <a:solidFill>
                <a:srgbClr val="70AD47"/>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5"/>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8"/>
        <c:spPr>
          <a:solidFill>
            <a:schemeClr val="accent4"/>
          </a:solidFill>
          <a:ln>
            <a:noFill/>
          </a:ln>
          <a:effectLst>
            <a:outerShdw blurRad="63500" sx="102000" sy="102000" algn="ctr" rotWithShape="0">
              <a:prstClr val="black">
                <a:alpha val="20000"/>
              </a:prstClr>
            </a:outerShdw>
          </a:effectLst>
        </c:spPr>
        <c:dLbl>
          <c:idx val="0"/>
          <c:spPr>
            <a:solidFill>
              <a:sysClr val="window" lastClr="FFFFFF"/>
            </a:solidFill>
            <a:ln>
              <a:solidFill>
                <a:srgbClr val="70AD47"/>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4"/>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9"/>
        <c:spPr>
          <a:solidFill>
            <a:schemeClr val="accent6">
              <a:lumMod val="60000"/>
            </a:schemeClr>
          </a:solidFill>
          <a:ln>
            <a:noFill/>
          </a:ln>
          <a:effectLst>
            <a:outerShdw blurRad="63500" sx="102000" sy="102000" algn="ctr" rotWithShape="0">
              <a:prstClr val="black">
                <a:alpha val="20000"/>
              </a:prstClr>
            </a:outerShdw>
          </a:effectLst>
        </c:spPr>
        <c:dLbl>
          <c:idx val="0"/>
          <c:spPr>
            <a:solidFill>
              <a:sysClr val="window" lastClr="FFFFFF"/>
            </a:solidFill>
            <a:ln>
              <a:solidFill>
                <a:srgbClr val="70AD47"/>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6">
                      <a:lumMod val="60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0"/>
        <c:spPr>
          <a:solidFill>
            <a:schemeClr val="accent5">
              <a:lumMod val="60000"/>
            </a:schemeClr>
          </a:solidFill>
          <a:ln>
            <a:noFill/>
          </a:ln>
          <a:effectLst>
            <a:outerShdw blurRad="63500" sx="102000" sy="102000" algn="ctr" rotWithShape="0">
              <a:prstClr val="black">
                <a:alpha val="20000"/>
              </a:prstClr>
            </a:outerShdw>
          </a:effectLst>
        </c:spPr>
        <c:dLbl>
          <c:idx val="0"/>
          <c:spPr>
            <a:solidFill>
              <a:sysClr val="window" lastClr="FFFFFF"/>
            </a:solidFill>
            <a:ln>
              <a:solidFill>
                <a:srgbClr val="70AD47"/>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5">
                      <a:lumMod val="60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1"/>
        <c:spPr>
          <a:solidFill>
            <a:schemeClr val="accent4">
              <a:lumMod val="60000"/>
            </a:schemeClr>
          </a:solidFill>
          <a:ln>
            <a:noFill/>
          </a:ln>
          <a:effectLst>
            <a:outerShdw blurRad="63500" sx="102000" sy="102000" algn="ctr" rotWithShape="0">
              <a:prstClr val="black">
                <a:alpha val="20000"/>
              </a:prstClr>
            </a:outerShdw>
          </a:effectLst>
        </c:spPr>
        <c:dLbl>
          <c:idx val="0"/>
          <c:spPr>
            <a:solidFill>
              <a:sysClr val="window" lastClr="FFFFFF"/>
            </a:solidFill>
            <a:ln>
              <a:solidFill>
                <a:srgbClr val="70AD47"/>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4">
                      <a:lumMod val="60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2"/>
        <c:spPr>
          <a:solidFill>
            <a:schemeClr val="accent6">
              <a:lumMod val="80000"/>
              <a:lumOff val="20000"/>
            </a:schemeClr>
          </a:solidFill>
          <a:ln>
            <a:noFill/>
          </a:ln>
          <a:effectLst>
            <a:outerShdw blurRad="63500" sx="102000" sy="102000" algn="ctr" rotWithShape="0">
              <a:prstClr val="black">
                <a:alpha val="20000"/>
              </a:prstClr>
            </a:outerShdw>
          </a:effectLst>
        </c:spPr>
        <c:dLbl>
          <c:idx val="0"/>
          <c:spPr>
            <a:solidFill>
              <a:sysClr val="window" lastClr="FFFFFF"/>
            </a:solidFill>
            <a:ln>
              <a:solidFill>
                <a:srgbClr val="70AD47"/>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6">
                      <a:lumMod val="80000"/>
                      <a:lumOff val="20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s>
    <c:plotArea>
      <c:layout/>
      <c:pieChart>
        <c:varyColors val="1"/>
        <c:ser>
          <c:idx val="0"/>
          <c:order val="0"/>
          <c:tx>
            <c:strRef>
              <c:f>pivot!$N$3</c:f>
              <c:strCache>
                <c:ptCount val="1"/>
                <c:pt idx="0">
                  <c:v>Total</c:v>
                </c:pt>
              </c:strCache>
            </c:strRef>
          </c:tx>
          <c:spPr>
            <a:solidFill>
              <a:schemeClr val="accent6"/>
            </a:solidFill>
            <a:ln>
              <a:noFill/>
            </a:ln>
            <a:effectLst>
              <a:outerShdw blurRad="63500" sx="102000" sy="102000" algn="ctr" rotWithShape="0">
                <a:prstClr val="black">
                  <a:alpha val="20000"/>
                </a:prstClr>
              </a:outerShdw>
            </a:effectLst>
          </c:spPr>
          <c:dPt>
            <c:idx val="0"/>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2-1E42-4A75-B92F-03696077C1E0}"/>
              </c:ext>
            </c:extLst>
          </c:dPt>
          <c:dPt>
            <c:idx val="1"/>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4-1E42-4A75-B92F-03696077C1E0}"/>
              </c:ext>
            </c:extLst>
          </c:dPt>
          <c:dPt>
            <c:idx val="2"/>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6-1E42-4A75-B92F-03696077C1E0}"/>
              </c:ext>
            </c:extLst>
          </c:dPt>
          <c:dPt>
            <c:idx val="3"/>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8-1E42-4A75-B92F-03696077C1E0}"/>
              </c:ext>
            </c:extLst>
          </c:dPt>
          <c:dPt>
            <c:idx val="4"/>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A-1E42-4A75-B92F-03696077C1E0}"/>
              </c:ext>
            </c:extLst>
          </c:dPt>
          <c:dPt>
            <c:idx val="5"/>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C-1E42-4A75-B92F-03696077C1E0}"/>
              </c:ext>
            </c:extLst>
          </c:dPt>
          <c:dPt>
            <c:idx val="6"/>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E-1E42-4A75-B92F-03696077C1E0}"/>
              </c:ext>
            </c:extLst>
          </c:dPt>
          <c:dPt>
            <c:idx val="7"/>
            <c:bubble3D val="0"/>
            <c:extLst>
              <c:ext xmlns:c16="http://schemas.microsoft.com/office/drawing/2014/chart" uri="{C3380CC4-5D6E-409C-BE32-E72D297353CC}">
                <c16:uniqueId val="{00000020-1E42-4A75-B92F-03696077C1E0}"/>
              </c:ext>
            </c:extLst>
          </c:dPt>
          <c:dLbls>
            <c:dLbl>
              <c:idx val="0"/>
              <c:spPr>
                <a:solidFill>
                  <a:sysClr val="window" lastClr="FFFFFF"/>
                </a:solidFill>
                <a:ln>
                  <a:solidFill>
                    <a:srgbClr val="70AD47"/>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12-1E42-4A75-B92F-03696077C1E0}"/>
                </c:ext>
              </c:extLst>
            </c:dLbl>
            <c:dLbl>
              <c:idx val="1"/>
              <c:spPr>
                <a:solidFill>
                  <a:sysClr val="window" lastClr="FFFFFF"/>
                </a:solidFill>
                <a:ln>
                  <a:solidFill>
                    <a:srgbClr val="70AD47"/>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5"/>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14-1E42-4A75-B92F-03696077C1E0}"/>
                </c:ext>
              </c:extLst>
            </c:dLbl>
            <c:dLbl>
              <c:idx val="2"/>
              <c:spPr>
                <a:solidFill>
                  <a:sysClr val="window" lastClr="FFFFFF"/>
                </a:solidFill>
                <a:ln>
                  <a:solidFill>
                    <a:srgbClr val="70AD47"/>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4"/>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16-1E42-4A75-B92F-03696077C1E0}"/>
                </c:ext>
              </c:extLst>
            </c:dLbl>
            <c:dLbl>
              <c:idx val="3"/>
              <c:spPr>
                <a:solidFill>
                  <a:sysClr val="window" lastClr="FFFFFF"/>
                </a:solidFill>
                <a:ln>
                  <a:solidFill>
                    <a:srgbClr val="70AD47"/>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6">
                          <a:lumMod val="60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18-1E42-4A75-B92F-03696077C1E0}"/>
                </c:ext>
              </c:extLst>
            </c:dLbl>
            <c:dLbl>
              <c:idx val="4"/>
              <c:spPr>
                <a:solidFill>
                  <a:sysClr val="window" lastClr="FFFFFF"/>
                </a:solidFill>
                <a:ln>
                  <a:solidFill>
                    <a:srgbClr val="70AD47"/>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5">
                          <a:lumMod val="60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1A-1E42-4A75-B92F-03696077C1E0}"/>
                </c:ext>
              </c:extLst>
            </c:dLbl>
            <c:dLbl>
              <c:idx val="5"/>
              <c:spPr>
                <a:solidFill>
                  <a:sysClr val="window" lastClr="FFFFFF"/>
                </a:solidFill>
                <a:ln>
                  <a:solidFill>
                    <a:srgbClr val="70AD47"/>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4">
                          <a:lumMod val="60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1C-1E42-4A75-B92F-03696077C1E0}"/>
                </c:ext>
              </c:extLst>
            </c:dLbl>
            <c:dLbl>
              <c:idx val="6"/>
              <c:spPr>
                <a:solidFill>
                  <a:sysClr val="window" lastClr="FFFFFF"/>
                </a:solidFill>
                <a:ln>
                  <a:solidFill>
                    <a:srgbClr val="70AD47"/>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6">
                          <a:lumMod val="80000"/>
                          <a:lumOff val="20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1E-1E42-4A75-B92F-03696077C1E0}"/>
                </c:ext>
              </c:extLst>
            </c:dLbl>
            <c:spPr>
              <a:solidFill>
                <a:sysClr val="window" lastClr="FFFFFF"/>
              </a:solidFill>
              <a:ln>
                <a:solidFill>
                  <a:srgbClr val="70AD47"/>
                </a:solidFill>
              </a:ln>
              <a:effectLst/>
            </c:spPr>
            <c:txPr>
              <a:bodyPr rot="0" spcFirstLastPara="1" vertOverflow="clip" horzOverflow="clip" vert="horz" wrap="square" lIns="38100" tIns="19050" rIns="38100" bIns="19050" anchor="ctr" anchorCtr="1">
                <a:spAutoFit/>
              </a:bodyPr>
              <a:lstStyle/>
              <a:p>
                <a:pPr>
                  <a:defRPr sz="1800" b="1" i="0" u="none" strike="noStrike" kern="1200" baseline="0">
                    <a:solidFill>
                      <a:schemeClr val="accent6"/>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c15:spPr>
              </c:ext>
            </c:extLst>
          </c:dLbls>
          <c:cat>
            <c:strRef>
              <c:f>pivot!$M$4:$M$11</c:f>
              <c:strCache>
                <c:ptCount val="7"/>
                <c:pt idx="0">
                  <c:v>Fitness</c:v>
                </c:pt>
                <c:pt idx="1">
                  <c:v>Travel</c:v>
                </c:pt>
                <c:pt idx="2">
                  <c:v>Fashion</c:v>
                </c:pt>
                <c:pt idx="3">
                  <c:v>Food</c:v>
                </c:pt>
                <c:pt idx="4">
                  <c:v>Beauty</c:v>
                </c:pt>
                <c:pt idx="5">
                  <c:v>Tech</c:v>
                </c:pt>
                <c:pt idx="6">
                  <c:v>Gaming</c:v>
                </c:pt>
              </c:strCache>
            </c:strRef>
          </c:cat>
          <c:val>
            <c:numRef>
              <c:f>pivot!$N$4:$N$11</c:f>
              <c:numCache>
                <c:formatCode>0.00</c:formatCode>
                <c:ptCount val="7"/>
                <c:pt idx="0">
                  <c:v>48.374967598387435</c:v>
                </c:pt>
                <c:pt idx="1">
                  <c:v>34.999210580107395</c:v>
                </c:pt>
                <c:pt idx="2">
                  <c:v>32.129884428497284</c:v>
                </c:pt>
                <c:pt idx="3">
                  <c:v>26.69905409293272</c:v>
                </c:pt>
                <c:pt idx="4">
                  <c:v>26.554857586328311</c:v>
                </c:pt>
                <c:pt idx="5">
                  <c:v>24.221059618165487</c:v>
                </c:pt>
                <c:pt idx="6">
                  <c:v>20.103549420152977</c:v>
                </c:pt>
              </c:numCache>
            </c:numRef>
          </c:val>
          <c:extLst>
            <c:ext xmlns:c16="http://schemas.microsoft.com/office/drawing/2014/chart" uri="{C3380CC4-5D6E-409C-BE32-E72D297353CC}">
              <c16:uniqueId val="{00000021-1E42-4A75-B92F-03696077C1E0}"/>
            </c:ext>
          </c:extLst>
        </c:ser>
        <c:dLbls>
          <c:dLblPos val="bestFit"/>
          <c:showLegendKey val="0"/>
          <c:showVal val="0"/>
          <c:showCatName val="1"/>
          <c:showSerName val="0"/>
          <c:showPercent val="0"/>
          <c:showBubbleSize val="0"/>
          <c:showLeaderLines val="1"/>
        </c:dLbls>
        <c:firstSliceAng val="0"/>
      </c:pieChart>
    </c:plotArea>
    <c:plotVisOnly val="1"/>
    <c:dispBlanksAs val="gap"/>
    <c:showDLblsOverMax val="0"/>
    <c:extLst/>
  </c:chart>
  <c:spPr>
    <a:gradFill flip="none" rotWithShape="1">
      <a:gsLst>
        <a:gs pos="0">
          <a:srgbClr val="FFC000">
            <a:lumMod val="5000"/>
            <a:lumOff val="95000"/>
          </a:srgbClr>
        </a:gs>
        <a:gs pos="74000">
          <a:srgbClr val="FFC000">
            <a:lumMod val="45000"/>
            <a:lumOff val="55000"/>
          </a:srgbClr>
        </a:gs>
        <a:gs pos="83000">
          <a:srgbClr val="FFC000">
            <a:lumMod val="45000"/>
            <a:lumOff val="55000"/>
          </a:srgbClr>
        </a:gs>
        <a:gs pos="100000">
          <a:srgbClr val="FFC000">
            <a:lumMod val="30000"/>
            <a:lumOff val="70000"/>
          </a:srgbClr>
        </a:gs>
      </a:gsLst>
      <a:lin ang="5400000" scaled="1"/>
      <a:tileRect/>
    </a:gradFill>
    <a:ln>
      <a:solidFill>
        <a:srgbClr val="0070C0"/>
      </a:solidFill>
    </a:ln>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[Copy of influencer_marketing_roi_dataset 3.xlsx]pivot!PivotTable1</c:name>
    <c:fmtId val="43"/>
  </c:pivotSource>
  <c:chart>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pivot!$Q$19</c:f>
              <c:strCache>
                <c:ptCount val="1"/>
                <c:pt idx="0">
                  <c:v>Sum of engagements</c:v>
                </c:pt>
              </c:strCache>
            </c:strRef>
          </c:tx>
          <c:spPr>
            <a:solidFill>
              <a:schemeClr val="accent2">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pivot!$P$20:$P$27</c:f>
              <c:strCache>
                <c:ptCount val="7"/>
                <c:pt idx="0">
                  <c:v>Gaming</c:v>
                </c:pt>
                <c:pt idx="1">
                  <c:v>Fashion</c:v>
                </c:pt>
                <c:pt idx="2">
                  <c:v>Tech</c:v>
                </c:pt>
                <c:pt idx="3">
                  <c:v>Fitness</c:v>
                </c:pt>
                <c:pt idx="4">
                  <c:v>Travel</c:v>
                </c:pt>
                <c:pt idx="5">
                  <c:v>Beauty</c:v>
                </c:pt>
                <c:pt idx="6">
                  <c:v>Food</c:v>
                </c:pt>
              </c:strCache>
            </c:strRef>
          </c:cat>
          <c:val>
            <c:numRef>
              <c:f>pivot!$Q$20:$Q$27</c:f>
              <c:numCache>
                <c:formatCode>General</c:formatCode>
                <c:ptCount val="7"/>
                <c:pt idx="0">
                  <c:v>8312129</c:v>
                </c:pt>
                <c:pt idx="1">
                  <c:v>9088938</c:v>
                </c:pt>
                <c:pt idx="2">
                  <c:v>9280679</c:v>
                </c:pt>
                <c:pt idx="3">
                  <c:v>9321139</c:v>
                </c:pt>
                <c:pt idx="4">
                  <c:v>9809071</c:v>
                </c:pt>
                <c:pt idx="5">
                  <c:v>9881330</c:v>
                </c:pt>
                <c:pt idx="6">
                  <c:v>10524387</c:v>
                </c:pt>
              </c:numCache>
            </c:numRef>
          </c:val>
          <c:extLst>
            <c:ext xmlns:c16="http://schemas.microsoft.com/office/drawing/2014/chart" uri="{C3380CC4-5D6E-409C-BE32-E72D297353CC}">
              <c16:uniqueId val="{00000000-AB69-4160-B280-E39B7E2376BB}"/>
            </c:ext>
          </c:extLst>
        </c:ser>
        <c:ser>
          <c:idx val="1"/>
          <c:order val="1"/>
          <c:tx>
            <c:strRef>
              <c:f>pivot!$R$19</c:f>
              <c:strCache>
                <c:ptCount val="1"/>
                <c:pt idx="0">
                  <c:v>Sum of product_sales</c:v>
                </c:pt>
              </c:strCache>
            </c:strRef>
          </c:tx>
          <c:spPr>
            <a:solidFill>
              <a:schemeClr val="accent2">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pivot!$P$20:$P$27</c:f>
              <c:strCache>
                <c:ptCount val="7"/>
                <c:pt idx="0">
                  <c:v>Gaming</c:v>
                </c:pt>
                <c:pt idx="1">
                  <c:v>Fashion</c:v>
                </c:pt>
                <c:pt idx="2">
                  <c:v>Tech</c:v>
                </c:pt>
                <c:pt idx="3">
                  <c:v>Fitness</c:v>
                </c:pt>
                <c:pt idx="4">
                  <c:v>Travel</c:v>
                </c:pt>
                <c:pt idx="5">
                  <c:v>Beauty</c:v>
                </c:pt>
                <c:pt idx="6">
                  <c:v>Food</c:v>
                </c:pt>
              </c:strCache>
            </c:strRef>
          </c:cat>
          <c:val>
            <c:numRef>
              <c:f>pivot!$R$20:$R$27</c:f>
              <c:numCache>
                <c:formatCode>General</c:formatCode>
                <c:ptCount val="7"/>
                <c:pt idx="0">
                  <c:v>418964</c:v>
                </c:pt>
                <c:pt idx="1">
                  <c:v>463775</c:v>
                </c:pt>
                <c:pt idx="2">
                  <c:v>480806</c:v>
                </c:pt>
                <c:pt idx="3">
                  <c:v>479180</c:v>
                </c:pt>
                <c:pt idx="4">
                  <c:v>492685</c:v>
                </c:pt>
                <c:pt idx="5">
                  <c:v>463116.29599999997</c:v>
                </c:pt>
                <c:pt idx="6">
                  <c:v>491688</c:v>
                </c:pt>
              </c:numCache>
            </c:numRef>
          </c:val>
          <c:extLst>
            <c:ext xmlns:c16="http://schemas.microsoft.com/office/drawing/2014/chart" uri="{C3380CC4-5D6E-409C-BE32-E72D297353CC}">
              <c16:uniqueId val="{00000001-AB69-4160-B280-E39B7E2376BB}"/>
            </c:ext>
          </c:extLst>
        </c:ser>
        <c:dLbls>
          <c:dLblPos val="ctr"/>
          <c:showLegendKey val="0"/>
          <c:showVal val="1"/>
          <c:showCatName val="0"/>
          <c:showSerName val="0"/>
          <c:showPercent val="0"/>
          <c:showBubbleSize val="0"/>
        </c:dLbls>
        <c:gapWidth val="150"/>
        <c:overlap val="100"/>
        <c:axId val="1025941471"/>
        <c:axId val="970052255"/>
      </c:barChart>
      <c:catAx>
        <c:axId val="1025941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ru-RU"/>
          </a:p>
        </c:txPr>
        <c:crossAx val="970052255"/>
        <c:crosses val="autoZero"/>
        <c:auto val="1"/>
        <c:lblAlgn val="ctr"/>
        <c:lblOffset val="100"/>
        <c:noMultiLvlLbl val="0"/>
      </c:catAx>
      <c:valAx>
        <c:axId val="970052255"/>
        <c:scaling>
          <c:orientation val="minMax"/>
        </c:scaling>
        <c:delete val="0"/>
        <c:axPos val="b"/>
        <c:majorGridlines>
          <c:spPr>
            <a:ln w="9525" cap="flat" cmpd="sng" algn="ctr">
              <a:noFill/>
              <a:round/>
            </a:ln>
            <a:effectLst/>
          </c:spPr>
        </c:majorGridlines>
        <c:title>
          <c:tx>
            <c:rich>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r>
                  <a:rPr lang="en-US" sz="2000" b="1"/>
                  <a:t>Engagement vs Sales</a:t>
                </a:r>
              </a:p>
            </c:rich>
          </c:tx>
          <c:layout>
            <c:manualLayout>
              <c:xMode val="edge"/>
              <c:yMode val="edge"/>
              <c:x val="0.21538369700710652"/>
              <c:y val="0.89681353707617339"/>
            </c:manualLayout>
          </c:layout>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ru-RU"/>
          </a:p>
        </c:txPr>
        <c:crossAx val="1025941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[Copy of influencer_marketing_roi_dataset 3.xlsx]pivot!PivotTable3</c:name>
    <c:fmtId val="14"/>
  </c:pivotSource>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n-US" sz="2400" b="1"/>
              <a:t>Sales</a:t>
            </a:r>
            <a:r>
              <a:rPr lang="en-US" sz="2400" b="1" baseline="0"/>
              <a:t> by Campaign Type</a:t>
            </a:r>
            <a:endParaRPr lang="en-US" sz="2400" b="1"/>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pivot!$R$33</c:f>
              <c:strCache>
                <c:ptCount val="1"/>
                <c:pt idx="0">
                  <c:v>Total</c:v>
                </c:pt>
              </c:strCache>
            </c:strRef>
          </c:tx>
          <c:spPr>
            <a:solidFill>
              <a:schemeClr val="accent1"/>
            </a:solidFill>
            <a:ln>
              <a:noFill/>
            </a:ln>
            <a:effectLst/>
            <a:sp3d/>
          </c:spPr>
          <c:invertIfNegative val="0"/>
          <c:cat>
            <c:strRef>
              <c:f>pivot!$Q$34:$Q$39</c:f>
              <c:strCache>
                <c:ptCount val="5"/>
                <c:pt idx="0">
                  <c:v>Brand Awareness</c:v>
                </c:pt>
                <c:pt idx="1">
                  <c:v>Giveaway</c:v>
                </c:pt>
                <c:pt idx="2">
                  <c:v>Product Launch</c:v>
                </c:pt>
                <c:pt idx="3">
                  <c:v>Event Promotion</c:v>
                </c:pt>
                <c:pt idx="4">
                  <c:v>Seasonal Sale</c:v>
                </c:pt>
              </c:strCache>
            </c:strRef>
          </c:cat>
          <c:val>
            <c:numRef>
              <c:f>pivot!$R$34:$R$39</c:f>
              <c:numCache>
                <c:formatCode>_-* #,##0\ _₽_-;\-* #,##0\ _₽_-;_-* "-"??\ _₽_-;_-@_-</c:formatCode>
                <c:ptCount val="5"/>
                <c:pt idx="0">
                  <c:v>714255</c:v>
                </c:pt>
                <c:pt idx="1">
                  <c:v>666998.29599999997</c:v>
                </c:pt>
                <c:pt idx="2">
                  <c:v>653635</c:v>
                </c:pt>
                <c:pt idx="3">
                  <c:v>649841</c:v>
                </c:pt>
                <c:pt idx="4">
                  <c:v>605485</c:v>
                </c:pt>
              </c:numCache>
            </c:numRef>
          </c:val>
          <c:extLst>
            <c:ext xmlns:c16="http://schemas.microsoft.com/office/drawing/2014/chart" uri="{C3380CC4-5D6E-409C-BE32-E72D297353CC}">
              <c16:uniqueId val="{00000000-CAF9-4CE4-8FE9-DA350888321E}"/>
            </c:ext>
          </c:extLst>
        </c:ser>
        <c:dLbls>
          <c:showLegendKey val="0"/>
          <c:showVal val="0"/>
          <c:showCatName val="0"/>
          <c:showSerName val="0"/>
          <c:showPercent val="0"/>
          <c:showBubbleSize val="0"/>
        </c:dLbls>
        <c:gapWidth val="150"/>
        <c:shape val="box"/>
        <c:axId val="652232911"/>
        <c:axId val="659987743"/>
        <c:axId val="0"/>
      </c:bar3DChart>
      <c:catAx>
        <c:axId val="6522329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ru-RU"/>
          </a:p>
        </c:txPr>
        <c:crossAx val="659987743"/>
        <c:crosses val="autoZero"/>
        <c:auto val="1"/>
        <c:lblAlgn val="ctr"/>
        <c:lblOffset val="100"/>
        <c:noMultiLvlLbl val="0"/>
      </c:catAx>
      <c:valAx>
        <c:axId val="659987743"/>
        <c:scaling>
          <c:orientation val="minMax"/>
        </c:scaling>
        <c:delete val="0"/>
        <c:axPos val="b"/>
        <c:majorGridlines>
          <c:spPr>
            <a:ln w="9525" cap="flat" cmpd="sng" algn="ctr">
              <a:solidFill>
                <a:schemeClr val="tx1">
                  <a:lumMod val="15000"/>
                  <a:lumOff val="85000"/>
                </a:schemeClr>
              </a:solidFill>
              <a:round/>
            </a:ln>
            <a:effectLst/>
          </c:spPr>
        </c:majorGridlines>
        <c:numFmt formatCode="_-* #,##0\ _₽_-;\-* #,##0\ _₽_-;_-* &quot;-&quot;??\ _₽_-;_-@_-"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ru-RU"/>
          </a:p>
        </c:txPr>
        <c:crossAx val="652232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rgbClr val="FFC000">
            <a:lumMod val="5000"/>
            <a:lumOff val="95000"/>
          </a:srgbClr>
        </a:gs>
        <a:gs pos="74000">
          <a:srgbClr val="FFC000">
            <a:lumMod val="45000"/>
            <a:lumOff val="55000"/>
          </a:srgbClr>
        </a:gs>
        <a:gs pos="83000">
          <a:srgbClr val="FFC000">
            <a:lumMod val="45000"/>
            <a:lumOff val="55000"/>
          </a:srgbClr>
        </a:gs>
        <a:gs pos="100000">
          <a:srgbClr val="FFC000">
            <a:lumMod val="30000"/>
            <a:lumOff val="70000"/>
          </a:srgbClr>
        </a:gs>
      </a:gsLst>
      <a:lin ang="5400000" scaled="1"/>
      <a:tileRect/>
    </a:gra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influencer_marketing_roi_dataset 3.xlsx]pivot!PivotTable7</c:name>
    <c:fmtId val="4"/>
  </c:pivotSource>
  <c:chart>
    <c:title>
      <c:tx>
        <c:rich>
          <a:bodyPr rot="0" spcFirstLastPara="1" vertOverflow="ellipsis" vert="horz" wrap="square" anchor="ctr" anchorCtr="1"/>
          <a:lstStyle/>
          <a:p>
            <a:pPr>
              <a:defRPr lang="ru-RU" sz="1800" b="1" i="0" u="none" strike="noStrike" kern="1200" spc="0" baseline="0">
                <a:solidFill>
                  <a:schemeClr val="tx1"/>
                </a:solidFill>
                <a:latin typeface="+mn-lt"/>
                <a:ea typeface="+mn-ea"/>
                <a:cs typeface="+mn-cs"/>
              </a:defRPr>
            </a:pPr>
            <a:r>
              <a:rPr lang="en-US" sz="1800" b="1"/>
              <a:t>Engagement by Campaign Type</a:t>
            </a:r>
          </a:p>
        </c:rich>
      </c:tx>
      <c:overlay val="0"/>
      <c:spPr>
        <a:noFill/>
        <a:ln>
          <a:noFill/>
        </a:ln>
        <a:effectLst/>
      </c:spPr>
      <c:txPr>
        <a:bodyPr rot="0" spcFirstLastPara="1" vertOverflow="ellipsis" vert="horz" wrap="square" anchor="ctr" anchorCtr="1"/>
        <a:lstStyle/>
        <a:p>
          <a:pPr>
            <a:defRPr lang="ru-RU" sz="1800" b="1" i="0" u="none" strike="noStrike" kern="1200" spc="0" baseline="0">
              <a:solidFill>
                <a:schemeClr val="tx1"/>
              </a:solidFill>
              <a:latin typeface="+mn-lt"/>
              <a:ea typeface="+mn-ea"/>
              <a:cs typeface="+mn-cs"/>
            </a:defRPr>
          </a:pPr>
          <a:endParaRPr lang="ru-RU"/>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ru-RU"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pivot!$R$43</c:f>
              <c:strCache>
                <c:ptCount val="1"/>
                <c:pt idx="0">
                  <c:v>Total</c:v>
                </c:pt>
              </c:strCache>
            </c:strRef>
          </c:tx>
          <c:spPr>
            <a:solidFill>
              <a:schemeClr val="accent6"/>
            </a:solidFill>
            <a:ln>
              <a:noFill/>
            </a:ln>
            <a:effectLst/>
          </c:spPr>
          <c:invertIfNegative val="0"/>
          <c:cat>
            <c:strRef>
              <c:f>pivot!$Q$44:$Q$49</c:f>
              <c:strCache>
                <c:ptCount val="5"/>
                <c:pt idx="0">
                  <c:v>Giveaway</c:v>
                </c:pt>
                <c:pt idx="1">
                  <c:v>Product Launch</c:v>
                </c:pt>
                <c:pt idx="2">
                  <c:v>Brand Awareness</c:v>
                </c:pt>
                <c:pt idx="3">
                  <c:v>Event Promotion</c:v>
                </c:pt>
                <c:pt idx="4">
                  <c:v>Seasonal Sale</c:v>
                </c:pt>
              </c:strCache>
            </c:strRef>
          </c:cat>
          <c:val>
            <c:numRef>
              <c:f>pivot!$R$44:$R$49</c:f>
              <c:numCache>
                <c:formatCode>_-* #,##0\ _₽_-;\-* #,##0\ _₽_-;_-* "-"??\ _₽_-;_-@_-</c:formatCode>
                <c:ptCount val="5"/>
                <c:pt idx="0">
                  <c:v>14002028</c:v>
                </c:pt>
                <c:pt idx="1">
                  <c:v>13724550</c:v>
                </c:pt>
                <c:pt idx="2">
                  <c:v>13551583</c:v>
                </c:pt>
                <c:pt idx="3">
                  <c:v>12522514</c:v>
                </c:pt>
                <c:pt idx="4">
                  <c:v>12416998</c:v>
                </c:pt>
              </c:numCache>
            </c:numRef>
          </c:val>
          <c:extLst>
            <c:ext xmlns:c16="http://schemas.microsoft.com/office/drawing/2014/chart" uri="{C3380CC4-5D6E-409C-BE32-E72D297353CC}">
              <c16:uniqueId val="{00000000-42F3-43A4-BE6D-BC8BFE3E3BDF}"/>
            </c:ext>
          </c:extLst>
        </c:ser>
        <c:dLbls>
          <c:showLegendKey val="0"/>
          <c:showVal val="0"/>
          <c:showCatName val="0"/>
          <c:showSerName val="0"/>
          <c:showPercent val="0"/>
          <c:showBubbleSize val="0"/>
        </c:dLbls>
        <c:gapWidth val="219"/>
        <c:axId val="648839903"/>
        <c:axId val="659997727"/>
      </c:barChart>
      <c:catAx>
        <c:axId val="64883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ru-RU" sz="1200" b="0" i="0" u="none" strike="noStrike" kern="1200" baseline="0">
                <a:solidFill>
                  <a:schemeClr val="tx1"/>
                </a:solidFill>
                <a:latin typeface="+mn-lt"/>
                <a:ea typeface="+mn-ea"/>
                <a:cs typeface="+mn-cs"/>
              </a:defRPr>
            </a:pPr>
            <a:endParaRPr lang="ru-RU"/>
          </a:p>
        </c:txPr>
        <c:crossAx val="659997727"/>
        <c:crosses val="autoZero"/>
        <c:auto val="1"/>
        <c:lblAlgn val="ctr"/>
        <c:lblOffset val="100"/>
        <c:noMultiLvlLbl val="0"/>
      </c:catAx>
      <c:valAx>
        <c:axId val="659997727"/>
        <c:scaling>
          <c:orientation val="minMax"/>
        </c:scaling>
        <c:delete val="0"/>
        <c:axPos val="l"/>
        <c:majorGridlines>
          <c:spPr>
            <a:ln w="9525" cap="flat" cmpd="sng" algn="ctr">
              <a:solidFill>
                <a:schemeClr val="tx1">
                  <a:lumMod val="15000"/>
                  <a:lumOff val="85000"/>
                </a:schemeClr>
              </a:solidFill>
              <a:round/>
            </a:ln>
            <a:effectLst/>
          </c:spPr>
        </c:majorGridlines>
        <c:numFmt formatCode="_-* #,##0\ _₽_-;\-* #,##0\ _₽_-;_-* &quot;-&quot;??\ _₽_-;_-@_-" sourceLinked="1"/>
        <c:majorTickMark val="none"/>
        <c:minorTickMark val="none"/>
        <c:tickLblPos val="nextTo"/>
        <c:spPr>
          <a:noFill/>
          <a:ln>
            <a:noFill/>
          </a:ln>
          <a:effectLst/>
        </c:spPr>
        <c:txPr>
          <a:bodyPr rot="-60000000" spcFirstLastPara="1" vertOverflow="ellipsis" vert="horz" wrap="square" anchor="ctr" anchorCtr="1"/>
          <a:lstStyle/>
          <a:p>
            <a:pPr>
              <a:defRPr lang="ru-RU" sz="1200" b="1" i="0" u="none" strike="noStrike" kern="1200" baseline="0">
                <a:solidFill>
                  <a:schemeClr val="tx1"/>
                </a:solidFill>
                <a:latin typeface="+mn-lt"/>
                <a:ea typeface="+mn-ea"/>
                <a:cs typeface="+mn-cs"/>
              </a:defRPr>
            </a:pPr>
            <a:endParaRPr lang="ru-RU"/>
          </a:p>
        </c:txPr>
        <c:crossAx val="648839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lgn="ctr">
        <a:defRPr lang="ru-RU" sz="1000" b="0" i="0" u="none" strike="noStrike" kern="1200" baseline="0">
          <a:solidFill>
            <a:schemeClr val="tx1"/>
          </a:solidFill>
          <a:latin typeface="+mn-lt"/>
          <a:ea typeface="+mn-ea"/>
          <a:cs typeface="+mn-cs"/>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r>
              <a:rPr lang="en-US" sz="2000" b="1" i="0" u="none" strike="noStrike" baseline="0">
                <a:solidFill>
                  <a:sysClr val="windowText" lastClr="000000">
                    <a:lumMod val="65000"/>
                    <a:lumOff val="35000"/>
                  </a:sysClr>
                </a:solidFill>
                <a:latin typeface="Calibri" panose="020F0502020204030204"/>
              </a:rPr>
              <a:t>Sales by Platforms</a:t>
            </a:r>
          </a:p>
        </c:rich>
      </c:tx>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pivot!$J$6</c:f>
              <c:strCache>
                <c:ptCount val="1"/>
                <c:pt idx="0">
                  <c:v>Sales</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baseline="0">
                    <a:solidFill>
                      <a:schemeClr val="lt1"/>
                    </a:solidFill>
                    <a:latin typeface="+mn-lt"/>
                    <a:ea typeface="+mn-ea"/>
                    <a:cs typeface="+mn-cs"/>
                  </a:defRPr>
                </a:pPr>
                <a:endParaRPr lang="en-US"/>
              </a:p>
            </c:txPr>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pivot!$I$7:$I$10</c:f>
              <c:strCache>
                <c:ptCount val="4"/>
                <c:pt idx="0">
                  <c:v>Instagram</c:v>
                </c:pt>
                <c:pt idx="1">
                  <c:v>YouTube</c:v>
                </c:pt>
                <c:pt idx="2">
                  <c:v>TikTok</c:v>
                </c:pt>
                <c:pt idx="3">
                  <c:v>Twitter</c:v>
                </c:pt>
              </c:strCache>
            </c:strRef>
          </c:cat>
          <c:val>
            <c:numRef>
              <c:f>pivot!$J$7:$J$10</c:f>
              <c:numCache>
                <c:formatCode>General</c:formatCode>
                <c:ptCount val="4"/>
                <c:pt idx="0">
                  <c:v>1316411.2960000001</c:v>
                </c:pt>
                <c:pt idx="1">
                  <c:v>973442</c:v>
                </c:pt>
                <c:pt idx="2">
                  <c:v>658219</c:v>
                </c:pt>
                <c:pt idx="3">
                  <c:v>342142</c:v>
                </c:pt>
              </c:numCache>
            </c:numRef>
          </c:val>
          <c:extLst>
            <c:ext xmlns:c16="http://schemas.microsoft.com/office/drawing/2014/chart" uri="{C3380CC4-5D6E-409C-BE32-E72D297353CC}">
              <c16:uniqueId val="{00000000-1201-44F9-A9E4-F1FC8E55B1E8}"/>
            </c:ext>
          </c:extLst>
        </c:ser>
        <c:dLbls>
          <c:showLegendKey val="0"/>
          <c:showVal val="0"/>
          <c:showCatName val="1"/>
          <c:showSerName val="0"/>
          <c:showPercent val="0"/>
          <c:showBubbleSize val="0"/>
        </c:dLbls>
        <c:gapWidth val="100"/>
        <c:overlap val="100"/>
        <c:axId val="1710674336"/>
        <c:axId val="1710670976"/>
      </c:barChart>
      <c:catAx>
        <c:axId val="17106743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1710670976"/>
        <c:crosses val="autoZero"/>
        <c:auto val="1"/>
        <c:lblAlgn val="ctr"/>
        <c:lblOffset val="100"/>
        <c:noMultiLvlLbl val="0"/>
      </c:catAx>
      <c:valAx>
        <c:axId val="1710670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171067433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influencer_marketing_roi_dataset 3.xlsx]pivot!PivotTable8</c:name>
    <c:fmtId val="44"/>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Sales by Campaign Duration days</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pivot!$C$61</c:f>
              <c:strCache>
                <c:ptCount val="1"/>
                <c:pt idx="0">
                  <c:v>Total</c:v>
                </c:pt>
              </c:strCache>
            </c:strRef>
          </c:tx>
          <c:spPr>
            <a:solidFill>
              <a:schemeClr val="accent1"/>
            </a:solidFill>
            <a:ln>
              <a:noFill/>
            </a:ln>
            <a:effectLst/>
          </c:spPr>
          <c:invertIfNegative val="0"/>
          <c:cat>
            <c:strRef>
              <c:f>pivot!$B$62:$B$68</c:f>
              <c:strCache>
                <c:ptCount val="6"/>
                <c:pt idx="0">
                  <c:v>1-5</c:v>
                </c:pt>
                <c:pt idx="1">
                  <c:v>6-10</c:v>
                </c:pt>
                <c:pt idx="2">
                  <c:v>11-15</c:v>
                </c:pt>
                <c:pt idx="3">
                  <c:v>16-20</c:v>
                </c:pt>
                <c:pt idx="4">
                  <c:v>21-25</c:v>
                </c:pt>
                <c:pt idx="5">
                  <c:v>26-30</c:v>
                </c:pt>
              </c:strCache>
            </c:strRef>
          </c:cat>
          <c:val>
            <c:numRef>
              <c:f>pivot!$C$62:$C$68</c:f>
              <c:numCache>
                <c:formatCode>General</c:formatCode>
                <c:ptCount val="6"/>
                <c:pt idx="0">
                  <c:v>522862.29599999997</c:v>
                </c:pt>
                <c:pt idx="1">
                  <c:v>565520</c:v>
                </c:pt>
                <c:pt idx="2">
                  <c:v>538177</c:v>
                </c:pt>
                <c:pt idx="3">
                  <c:v>589686</c:v>
                </c:pt>
                <c:pt idx="4">
                  <c:v>608095</c:v>
                </c:pt>
                <c:pt idx="5">
                  <c:v>465874</c:v>
                </c:pt>
              </c:numCache>
            </c:numRef>
          </c:val>
          <c:extLst>
            <c:ext xmlns:c16="http://schemas.microsoft.com/office/drawing/2014/chart" uri="{C3380CC4-5D6E-409C-BE32-E72D297353CC}">
              <c16:uniqueId val="{00000000-B8BD-448D-85A5-9285B6C1A70E}"/>
            </c:ext>
          </c:extLst>
        </c:ser>
        <c:dLbls>
          <c:showLegendKey val="0"/>
          <c:showVal val="0"/>
          <c:showCatName val="0"/>
          <c:showSerName val="0"/>
          <c:showPercent val="0"/>
          <c:showBubbleSize val="0"/>
        </c:dLbls>
        <c:gapWidth val="24"/>
        <c:axId val="867682592"/>
        <c:axId val="867683552"/>
      </c:barChart>
      <c:catAx>
        <c:axId val="867682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683552"/>
        <c:crosses val="autoZero"/>
        <c:auto val="1"/>
        <c:lblAlgn val="ctr"/>
        <c:lblOffset val="100"/>
        <c:noMultiLvlLbl val="0"/>
      </c:catAx>
      <c:valAx>
        <c:axId val="8676835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682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_xlchart.v2.4</cx:f>
      </cx:numDim>
    </cx:data>
  </cx:chartData>
  <cx:chart>
    <cx:title pos="t" align="ctr" overlay="0">
      <cx:tx>
        <cx:txData>
          <cx:v>Top 10 Sales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Top 10 Sales</a:t>
          </a:r>
        </a:p>
      </cx:txPr>
    </cx:title>
    <cx:plotArea>
      <cx:plotAreaRegion>
        <cx:series layoutId="funnel" uniqueId="{BD5539F5-5903-4437-9BC3-1F86828F1CD5}">
          <cx:tx>
            <cx:txData>
              <cx:f>_xlchart.v2.3</cx:f>
              <cx:v>TOP 10 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rich>
          <a:bodyPr spcFirstLastPara="1" vertOverflow="ellipsis" horzOverflow="overflow" wrap="square" lIns="0" tIns="0" rIns="0" bIns="0" anchor="ctr" anchorCtr="1"/>
          <a:lstStyle/>
          <a:p>
            <a:pPr rtl="0"/>
            <a:r>
              <a:rPr lang="en-US" sz="1600" b="1" i="0" baseline="0">
                <a:effectLst/>
              </a:rPr>
              <a:t>Top 10 Sales</a:t>
            </a:r>
            <a:endParaRPr lang="en-US" sz="1200" b="1">
              <a:effectLst/>
            </a:endParaRPr>
          </a:p>
        </cx:rich>
      </cx:tx>
    </cx:title>
    <cx:plotArea>
      <cx:plotAreaRegion>
        <cx:series layoutId="funnel" uniqueId="{317A0CD4-E75B-4089-96E7-5BB72A8A962D}">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_xlchart.v2.5</cx:f>
      </cx:strDim>
      <cx:numDim type="val">
        <cx:f>_xlchart.v2.7</cx:f>
      </cx:numDim>
    </cx:data>
  </cx:chartData>
  <cx:chart>
    <cx:title pos="t" align="ctr" overlay="0">
      <cx:tx>
        <cx:txData>
          <cx:v>Top 10 Sales</cx:v>
        </cx:txData>
      </cx:tx>
      <cx:txPr>
        <a:bodyPr spcFirstLastPara="1" vertOverflow="ellipsis" horzOverflow="overflow" wrap="square" lIns="0" tIns="0" rIns="0" bIns="0" anchor="ctr" anchorCtr="1"/>
        <a:lstStyle/>
        <a:p>
          <a:pPr algn="ctr" rtl="0">
            <a:defRPr sz="2400"/>
          </a:pPr>
          <a:r>
            <a:rPr lang="en-US" sz="2400" b="1" i="0" u="none" strike="noStrike" baseline="0">
              <a:solidFill>
                <a:sysClr val="windowText" lastClr="000000">
                  <a:lumMod val="65000"/>
                  <a:lumOff val="35000"/>
                </a:sysClr>
              </a:solidFill>
              <a:latin typeface="Calibri" panose="020F0502020204030204"/>
            </a:rPr>
            <a:t>Top 10 Sales</a:t>
          </a:r>
        </a:p>
      </cx:txPr>
    </cx:title>
    <cx:plotArea>
      <cx:plotAreaRegion>
        <cx:series layoutId="funnel" uniqueId="{BD5539F5-5903-4437-9BC3-1F86828F1CD5}">
          <cx:tx>
            <cx:txData>
              <cx:f>_xlchart.v2.6</cx:f>
              <cx:v>TOP 10 Sales</cx:v>
            </cx:txData>
          </cx:tx>
          <cx:dataLabels>
            <cx:spPr>
              <a:noFill/>
            </cx:spPr>
            <cx:txPr>
              <a:bodyPr spcFirstLastPara="1" vertOverflow="ellipsis" horzOverflow="overflow" wrap="square" lIns="0" tIns="0" rIns="0" bIns="0" anchor="ctr" anchorCtr="1"/>
              <a:lstStyle/>
              <a:p>
                <a:pPr algn="ctr" rtl="0">
                  <a:defRPr sz="1600">
                    <a:solidFill>
                      <a:schemeClr val="bg1"/>
                    </a:solidFill>
                  </a:defRPr>
                </a:pPr>
                <a:endParaRPr lang="en-US" sz="1600" b="0" i="0" u="none" strike="noStrike" baseline="0">
                  <a:solidFill>
                    <a:schemeClr val="bg1"/>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200"/>
            </a:pPr>
            <a:endParaRPr lang="en-US" sz="1200" b="0" i="0" u="none" strike="noStrike" baseline="0">
              <a:solidFill>
                <a:sysClr val="windowText" lastClr="000000">
                  <a:lumMod val="65000"/>
                  <a:lumOff val="35000"/>
                </a:sysClr>
              </a:solidFill>
              <a:latin typeface="Calibri" panose="020F0502020204030204"/>
            </a:endParaRPr>
          </a:p>
        </cx:txPr>
      </cx:axis>
    </cx:plotArea>
  </cx:chart>
  <cx:spPr>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solidFill>
        <a:srgbClr val="70AD47"/>
      </a:solid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_xlchart.v2.9</cx:f>
      </cx:numDim>
    </cx:data>
  </cx:chartData>
  <cx:chart>
    <cx:title pos="t" align="ctr" overlay="0">
      <cx:tx>
        <cx:rich>
          <a:bodyPr spcFirstLastPara="1" vertOverflow="ellipsis" horzOverflow="overflow" wrap="square" lIns="0" tIns="0" rIns="0" bIns="0" anchor="ctr" anchorCtr="1"/>
          <a:lstStyle/>
          <a:p>
            <a:pPr rtl="0">
              <a:defRPr sz="2400"/>
            </a:pPr>
            <a:r>
              <a:rPr lang="en-US" sz="2400" b="1" i="0" baseline="0">
                <a:effectLst/>
              </a:rPr>
              <a:t>Bottom 10 Sales</a:t>
            </a:r>
            <a:endParaRPr lang="en-US" sz="2400" b="1">
              <a:effectLst/>
            </a:endParaRPr>
          </a:p>
        </cx:rich>
      </cx:tx>
    </cx:title>
    <cx:plotArea>
      <cx:plotAreaRegion>
        <cx:series layoutId="funnel" uniqueId="{317A0CD4-E75B-4089-96E7-5BB72A8A962D}">
          <cx:dataLabels>
            <cx:txPr>
              <a:bodyPr spcFirstLastPara="1" vertOverflow="ellipsis" horzOverflow="overflow" wrap="square" lIns="0" tIns="0" rIns="0" bIns="0" anchor="ctr" anchorCtr="1"/>
              <a:lstStyle/>
              <a:p>
                <a:pPr algn="ctr" rtl="0">
                  <a:defRPr sz="1400">
                    <a:solidFill>
                      <a:schemeClr val="bg1"/>
                    </a:solidFill>
                  </a:defRPr>
                </a:pPr>
                <a:endParaRPr lang="en-US" sz="1400" b="0" i="0" u="none" strike="noStrike" baseline="0">
                  <a:solidFill>
                    <a:schemeClr val="bg1"/>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400"/>
            </a:pPr>
            <a:endParaRPr lang="en-US" sz="1400" b="0" i="0" u="none" strike="noStrike" baseline="0">
              <a:solidFill>
                <a:sysClr val="windowText" lastClr="000000">
                  <a:lumMod val="65000"/>
                  <a:lumOff val="35000"/>
                </a:sysClr>
              </a:solidFill>
              <a:latin typeface="Calibri" panose="020F0502020204030204"/>
            </a:endParaRPr>
          </a:p>
        </cx:txPr>
      </cx:axis>
    </cx:plotArea>
  </cx:chart>
  <cx:spPr>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5">
  <a:schemeClr val="accent2"/>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9.xml"/><Relationship Id="rId5" Type="http://schemas.openxmlformats.org/officeDocument/2006/relationships/chart" Target="../charts/chart5.xml"/><Relationship Id="rId10" Type="http://schemas.openxmlformats.org/officeDocument/2006/relationships/chart" Target="../charts/chart8.xml"/><Relationship Id="rId4" Type="http://schemas.openxmlformats.org/officeDocument/2006/relationships/chart" Target="../charts/chart4.xml"/><Relationship Id="rId9" Type="http://schemas.microsoft.com/office/2014/relationships/chartEx" Target="../charts/chartEx2.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13" Type="http://schemas.openxmlformats.org/officeDocument/2006/relationships/image" Target="../media/image3.png"/><Relationship Id="rId3" Type="http://schemas.openxmlformats.org/officeDocument/2006/relationships/chart" Target="../charts/chart10.xml"/><Relationship Id="rId7" Type="http://schemas.openxmlformats.org/officeDocument/2006/relationships/chart" Target="../charts/chart14.xml"/><Relationship Id="rId12" Type="http://schemas.openxmlformats.org/officeDocument/2006/relationships/hyperlink" Target="#influencer_mrktng_roi_cleaning!A1"/><Relationship Id="rId2" Type="http://schemas.openxmlformats.org/officeDocument/2006/relationships/image" Target="../media/image2.svg"/><Relationship Id="rId16" Type="http://schemas.openxmlformats.org/officeDocument/2006/relationships/chart" Target="../charts/chart18.xml"/><Relationship Id="rId1" Type="http://schemas.openxmlformats.org/officeDocument/2006/relationships/image" Target="../media/image1.png"/><Relationship Id="rId6" Type="http://schemas.openxmlformats.org/officeDocument/2006/relationships/chart" Target="../charts/chart13.xml"/><Relationship Id="rId11" Type="http://schemas.microsoft.com/office/2014/relationships/chartEx" Target="../charts/chartEx4.xml"/><Relationship Id="rId5" Type="http://schemas.openxmlformats.org/officeDocument/2006/relationships/chart" Target="../charts/chart12.xml"/><Relationship Id="rId15" Type="http://schemas.openxmlformats.org/officeDocument/2006/relationships/chart" Target="../charts/chart17.xml"/><Relationship Id="rId10" Type="http://schemas.microsoft.com/office/2014/relationships/chartEx" Target="../charts/chartEx3.xml"/><Relationship Id="rId4" Type="http://schemas.openxmlformats.org/officeDocument/2006/relationships/chart" Target="../charts/chart11.xml"/><Relationship Id="rId9" Type="http://schemas.openxmlformats.org/officeDocument/2006/relationships/chart" Target="../charts/chart16.xml"/><Relationship Id="rId1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0</xdr:col>
      <xdr:colOff>360946</xdr:colOff>
      <xdr:row>19</xdr:row>
      <xdr:rowOff>176078</xdr:rowOff>
    </xdr:from>
    <xdr:to>
      <xdr:col>4</xdr:col>
      <xdr:colOff>273151</xdr:colOff>
      <xdr:row>34</xdr:row>
      <xdr:rowOff>176078</xdr:rowOff>
    </xdr:to>
    <xdr:graphicFrame macro="">
      <xdr:nvGraphicFramePr>
        <xdr:cNvPr id="15" name="Chart 14">
          <a:extLst>
            <a:ext uri="{FF2B5EF4-FFF2-40B4-BE49-F238E27FC236}">
              <a16:creationId xmlns:a16="http://schemas.microsoft.com/office/drawing/2014/main" id="{BBDBE1F4-9E7A-4926-BA4E-567EF3E8D5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1820393</xdr:colOff>
      <xdr:row>19</xdr:row>
      <xdr:rowOff>176697</xdr:rowOff>
    </xdr:from>
    <xdr:to>
      <xdr:col>7</xdr:col>
      <xdr:colOff>620798</xdr:colOff>
      <xdr:row>29</xdr:row>
      <xdr:rowOff>118191</xdr:rowOff>
    </xdr:to>
    <xdr:graphicFrame macro="">
      <xdr:nvGraphicFramePr>
        <xdr:cNvPr id="7" name="Chart 6">
          <a:extLst>
            <a:ext uri="{FF2B5EF4-FFF2-40B4-BE49-F238E27FC236}">
              <a16:creationId xmlns:a16="http://schemas.microsoft.com/office/drawing/2014/main" id="{BBC58C60-7CDB-45D4-A703-05B44D92AD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1842462</xdr:colOff>
      <xdr:row>33</xdr:row>
      <xdr:rowOff>149087</xdr:rowOff>
    </xdr:from>
    <xdr:to>
      <xdr:col>7</xdr:col>
      <xdr:colOff>190500</xdr:colOff>
      <xdr:row>44</xdr:row>
      <xdr:rowOff>29294</xdr:rowOff>
    </xdr:to>
    <xdr:graphicFrame macro="">
      <xdr:nvGraphicFramePr>
        <xdr:cNvPr id="11" name="Chart 10">
          <a:extLst>
            <a:ext uri="{FF2B5EF4-FFF2-40B4-BE49-F238E27FC236}">
              <a16:creationId xmlns:a16="http://schemas.microsoft.com/office/drawing/2014/main" id="{98556A23-04C6-4CE2-941B-77EF7584E3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950948</xdr:colOff>
      <xdr:row>3</xdr:row>
      <xdr:rowOff>149383</xdr:rowOff>
    </xdr:from>
    <xdr:to>
      <xdr:col>14</xdr:col>
      <xdr:colOff>82978</xdr:colOff>
      <xdr:row>16</xdr:row>
      <xdr:rowOff>83364</xdr:rowOff>
    </xdr:to>
    <xdr:graphicFrame macro="">
      <xdr:nvGraphicFramePr>
        <xdr:cNvPr id="12" name="Chart 11">
          <a:extLst>
            <a:ext uri="{FF2B5EF4-FFF2-40B4-BE49-F238E27FC236}">
              <a16:creationId xmlns:a16="http://schemas.microsoft.com/office/drawing/2014/main" id="{F027F6D4-C4E5-466C-A9EF-6A6A2F366B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621466</xdr:colOff>
      <xdr:row>32</xdr:row>
      <xdr:rowOff>41412</xdr:rowOff>
    </xdr:from>
    <xdr:to>
      <xdr:col>18</xdr:col>
      <xdr:colOff>1018761</xdr:colOff>
      <xdr:row>40</xdr:row>
      <xdr:rowOff>11486</xdr:rowOff>
    </xdr:to>
    <xdr:graphicFrame macro="">
      <xdr:nvGraphicFramePr>
        <xdr:cNvPr id="3" name="Chart 2">
          <a:extLst>
            <a:ext uri="{FF2B5EF4-FFF2-40B4-BE49-F238E27FC236}">
              <a16:creationId xmlns:a16="http://schemas.microsoft.com/office/drawing/2014/main" id="{6DC2704E-AA67-4EF1-BD75-E66854034D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295528</xdr:colOff>
      <xdr:row>42</xdr:row>
      <xdr:rowOff>182216</xdr:rowOff>
    </xdr:from>
    <xdr:to>
      <xdr:col>18</xdr:col>
      <xdr:colOff>753718</xdr:colOff>
      <xdr:row>52</xdr:row>
      <xdr:rowOff>180843</xdr:rowOff>
    </xdr:to>
    <xdr:graphicFrame macro="">
      <xdr:nvGraphicFramePr>
        <xdr:cNvPr id="4" name="Chart 3">
          <a:extLst>
            <a:ext uri="{FF2B5EF4-FFF2-40B4-BE49-F238E27FC236}">
              <a16:creationId xmlns:a16="http://schemas.microsoft.com/office/drawing/2014/main" id="{563F8D40-E81D-483D-84E7-A1A4A755FD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380844</xdr:colOff>
      <xdr:row>19</xdr:row>
      <xdr:rowOff>67267</xdr:rowOff>
    </xdr:from>
    <xdr:to>
      <xdr:col>19</xdr:col>
      <xdr:colOff>140526</xdr:colOff>
      <xdr:row>29</xdr:row>
      <xdr:rowOff>176735</xdr:rowOff>
    </xdr:to>
    <xdr:graphicFrame macro="">
      <xdr:nvGraphicFramePr>
        <xdr:cNvPr id="18" name="Chart 17">
          <a:extLst>
            <a:ext uri="{FF2B5EF4-FFF2-40B4-BE49-F238E27FC236}">
              <a16:creationId xmlns:a16="http://schemas.microsoft.com/office/drawing/2014/main" id="{B4FDA42E-7A0F-47DD-AC08-04A6044FBD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60668</xdr:colOff>
      <xdr:row>38</xdr:row>
      <xdr:rowOff>163939</xdr:rowOff>
    </xdr:from>
    <xdr:to>
      <xdr:col>2</xdr:col>
      <xdr:colOff>775946</xdr:colOff>
      <xdr:row>48</xdr:row>
      <xdr:rowOff>94180</xdr:rowOff>
    </xdr:to>
    <mc:AlternateContent xmlns:mc="http://schemas.openxmlformats.org/markup-compatibility/2006" xmlns:a14="http://schemas.microsoft.com/office/drawing/2010/main">
      <mc:Choice Requires="a14">
        <xdr:graphicFrame macro="">
          <xdr:nvGraphicFramePr>
            <xdr:cNvPr id="28" name="campaign_type-new">
              <a:extLst>
                <a:ext uri="{FF2B5EF4-FFF2-40B4-BE49-F238E27FC236}">
                  <a16:creationId xmlns:a16="http://schemas.microsoft.com/office/drawing/2014/main" id="{9BCBA9D2-09FC-3A51-0502-39D1F71B65CD}"/>
                </a:ext>
              </a:extLst>
            </xdr:cNvPr>
            <xdr:cNvGraphicFramePr/>
          </xdr:nvGraphicFramePr>
          <xdr:xfrm>
            <a:off x="0" y="0"/>
            <a:ext cx="0" cy="0"/>
          </xdr:xfrm>
          <a:graphic>
            <a:graphicData uri="http://schemas.microsoft.com/office/drawing/2010/slicer">
              <sle:slicer xmlns:sle="http://schemas.microsoft.com/office/drawing/2010/slicer" name="campaign_type-new"/>
            </a:graphicData>
          </a:graphic>
        </xdr:graphicFrame>
      </mc:Choice>
      <mc:Fallback xmlns="">
        <xdr:sp macro="" textlink="">
          <xdr:nvSpPr>
            <xdr:cNvPr id="0" name=""/>
            <xdr:cNvSpPr>
              <a:spLocks noTextEdit="1"/>
            </xdr:cNvSpPr>
          </xdr:nvSpPr>
          <xdr:spPr>
            <a:xfrm>
              <a:off x="673581" y="7088200"/>
              <a:ext cx="1831963" cy="17524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892968</xdr:colOff>
      <xdr:row>21</xdr:row>
      <xdr:rowOff>146273</xdr:rowOff>
    </xdr:from>
    <xdr:to>
      <xdr:col>14</xdr:col>
      <xdr:colOff>410183</xdr:colOff>
      <xdr:row>34</xdr:row>
      <xdr:rowOff>71422</xdr:rowOff>
    </xdr:to>
    <mc:AlternateContent xmlns:mc="http://schemas.openxmlformats.org/markup-compatibility/2006">
      <mc:Choice xmlns:cx2="http://schemas.microsoft.com/office/drawing/2015/10/21/chartex" Requires="cx2">
        <xdr:graphicFrame macro="">
          <xdr:nvGraphicFramePr>
            <xdr:cNvPr id="35" name="Chart 34">
              <a:extLst>
                <a:ext uri="{FF2B5EF4-FFF2-40B4-BE49-F238E27FC236}">
                  <a16:creationId xmlns:a16="http://schemas.microsoft.com/office/drawing/2014/main" id="{21D058B5-6A4C-5FEC-6F70-2AEDC961D3F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5729108" y="3986753"/>
              <a:ext cx="3228155" cy="230258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306527</xdr:colOff>
      <xdr:row>39</xdr:row>
      <xdr:rowOff>16472</xdr:rowOff>
    </xdr:from>
    <xdr:to>
      <xdr:col>13</xdr:col>
      <xdr:colOff>1384183</xdr:colOff>
      <xdr:row>54</xdr:row>
      <xdr:rowOff>26337</xdr:rowOff>
    </xdr:to>
    <mc:AlternateContent xmlns:mc="http://schemas.openxmlformats.org/markup-compatibility/2006">
      <mc:Choice xmlns:cx2="http://schemas.microsoft.com/office/drawing/2015/10/21/chartex" Requires="cx2">
        <xdr:graphicFrame macro="">
          <xdr:nvGraphicFramePr>
            <xdr:cNvPr id="36" name="Chart 35">
              <a:extLst>
                <a:ext uri="{FF2B5EF4-FFF2-40B4-BE49-F238E27FC236}">
                  <a16:creationId xmlns:a16="http://schemas.microsoft.com/office/drawing/2014/main" id="{CA5DA6C6-A9B1-33C9-8E50-CC598D2C869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6156127" y="7148792"/>
              <a:ext cx="2144456" cy="275306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xdr:col>
      <xdr:colOff>274754</xdr:colOff>
      <xdr:row>45</xdr:row>
      <xdr:rowOff>118401</xdr:rowOff>
    </xdr:from>
    <xdr:to>
      <xdr:col>3</xdr:col>
      <xdr:colOff>736453</xdr:colOff>
      <xdr:row>59</xdr:row>
      <xdr:rowOff>39605</xdr:rowOff>
    </xdr:to>
    <mc:AlternateContent xmlns:mc="http://schemas.openxmlformats.org/markup-compatibility/2006" xmlns:a14="http://schemas.microsoft.com/office/drawing/2010/main">
      <mc:Choice Requires="a14">
        <xdr:graphicFrame macro="">
          <xdr:nvGraphicFramePr>
            <xdr:cNvPr id="5" name="campaign_id">
              <a:extLst>
                <a:ext uri="{FF2B5EF4-FFF2-40B4-BE49-F238E27FC236}">
                  <a16:creationId xmlns:a16="http://schemas.microsoft.com/office/drawing/2014/main" id="{7FBB9797-4140-26D9-48AF-C29EBEC02DC1}"/>
                </a:ext>
              </a:extLst>
            </xdr:cNvPr>
            <xdr:cNvGraphicFramePr/>
          </xdr:nvGraphicFramePr>
          <xdr:xfrm>
            <a:off x="0" y="0"/>
            <a:ext cx="0" cy="0"/>
          </xdr:xfrm>
          <a:graphic>
            <a:graphicData uri="http://schemas.microsoft.com/office/drawing/2010/slicer">
              <sle:slicer xmlns:sle="http://schemas.microsoft.com/office/drawing/2010/slicer" name="campaign_id"/>
            </a:graphicData>
          </a:graphic>
        </xdr:graphicFrame>
      </mc:Choice>
      <mc:Fallback xmlns="">
        <xdr:sp macro="" textlink="">
          <xdr:nvSpPr>
            <xdr:cNvPr id="0" name=""/>
            <xdr:cNvSpPr>
              <a:spLocks noTextEdit="1"/>
            </xdr:cNvSpPr>
          </xdr:nvSpPr>
          <xdr:spPr>
            <a:xfrm>
              <a:off x="2229450" y="8318184"/>
              <a:ext cx="1822772" cy="24722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586801</xdr:colOff>
      <xdr:row>47</xdr:row>
      <xdr:rowOff>62378</xdr:rowOff>
    </xdr:from>
    <xdr:to>
      <xdr:col>2</xdr:col>
      <xdr:colOff>679167</xdr:colOff>
      <xdr:row>55</xdr:row>
      <xdr:rowOff>17126</xdr:rowOff>
    </xdr:to>
    <mc:AlternateContent xmlns:mc="http://schemas.openxmlformats.org/markup-compatibility/2006" xmlns:a14="http://schemas.microsoft.com/office/drawing/2010/main">
      <mc:Choice Requires="a14">
        <xdr:graphicFrame macro="">
          <xdr:nvGraphicFramePr>
            <xdr:cNvPr id="6" name="platform">
              <a:extLst>
                <a:ext uri="{FF2B5EF4-FFF2-40B4-BE49-F238E27FC236}">
                  <a16:creationId xmlns:a16="http://schemas.microsoft.com/office/drawing/2014/main" id="{51B8431B-774D-BAA8-E484-948E36C22859}"/>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586801" y="8626595"/>
              <a:ext cx="1821964" cy="14124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222355</xdr:colOff>
      <xdr:row>37</xdr:row>
      <xdr:rowOff>160464</xdr:rowOff>
    </xdr:from>
    <xdr:to>
      <xdr:col>3</xdr:col>
      <xdr:colOff>681516</xdr:colOff>
      <xdr:row>49</xdr:row>
      <xdr:rowOff>162674</xdr:rowOff>
    </xdr:to>
    <mc:AlternateContent xmlns:mc="http://schemas.openxmlformats.org/markup-compatibility/2006" xmlns:a14="http://schemas.microsoft.com/office/drawing/2010/main">
      <mc:Choice Requires="a14">
        <xdr:graphicFrame macro="">
          <xdr:nvGraphicFramePr>
            <xdr:cNvPr id="8" name="influencer_category">
              <a:extLst>
                <a:ext uri="{FF2B5EF4-FFF2-40B4-BE49-F238E27FC236}">
                  <a16:creationId xmlns:a16="http://schemas.microsoft.com/office/drawing/2014/main" id="{FC899AB3-D187-496E-65B0-58518BD97710}"/>
                </a:ext>
              </a:extLst>
            </xdr:cNvPr>
            <xdr:cNvGraphicFramePr/>
          </xdr:nvGraphicFramePr>
          <xdr:xfrm>
            <a:off x="0" y="0"/>
            <a:ext cx="0" cy="0"/>
          </xdr:xfrm>
          <a:graphic>
            <a:graphicData uri="http://schemas.microsoft.com/office/drawing/2010/slicer">
              <sle:slicer xmlns:sle="http://schemas.microsoft.com/office/drawing/2010/slicer" name="influencer_category"/>
            </a:graphicData>
          </a:graphic>
        </xdr:graphicFrame>
      </mc:Choice>
      <mc:Fallback xmlns="">
        <xdr:sp macro="" textlink="">
          <xdr:nvSpPr>
            <xdr:cNvPr id="0" name=""/>
            <xdr:cNvSpPr>
              <a:spLocks noTextEdit="1"/>
            </xdr:cNvSpPr>
          </xdr:nvSpPr>
          <xdr:spPr>
            <a:xfrm>
              <a:off x="2177051" y="6902507"/>
              <a:ext cx="1820234" cy="21888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1148223</xdr:colOff>
      <xdr:row>44</xdr:row>
      <xdr:rowOff>152485</xdr:rowOff>
    </xdr:from>
    <xdr:to>
      <xdr:col>3</xdr:col>
      <xdr:colOff>65606</xdr:colOff>
      <xdr:row>53</xdr:row>
      <xdr:rowOff>42808</xdr:rowOff>
    </xdr:to>
    <mc:AlternateContent xmlns:mc="http://schemas.openxmlformats.org/markup-compatibility/2006" xmlns:tsle="http://schemas.microsoft.com/office/drawing/2012/timeslicer">
      <mc:Choice Requires="tsle">
        <xdr:graphicFrame macro="">
          <xdr:nvGraphicFramePr>
            <xdr:cNvPr id="9" name="start_date">
              <a:extLst>
                <a:ext uri="{FF2B5EF4-FFF2-40B4-BE49-F238E27FC236}">
                  <a16:creationId xmlns:a16="http://schemas.microsoft.com/office/drawing/2014/main" id="{8877ABA1-C588-B29C-369E-B62DA0ABBACE}"/>
                </a:ext>
              </a:extLst>
            </xdr:cNvPr>
            <xdr:cNvGraphicFramePr/>
          </xdr:nvGraphicFramePr>
          <xdr:xfrm>
            <a:off x="0" y="0"/>
            <a:ext cx="0" cy="0"/>
          </xdr:xfrm>
          <a:graphic>
            <a:graphicData uri="http://schemas.microsoft.com/office/drawing/2012/timeslicer">
              <tsle:timeslicer name="start_date"/>
            </a:graphicData>
          </a:graphic>
        </xdr:graphicFrame>
      </mc:Choice>
      <mc:Fallback xmlns="">
        <xdr:sp macro="" textlink="">
          <xdr:nvSpPr>
            <xdr:cNvPr id="0" name=""/>
            <xdr:cNvSpPr>
              <a:spLocks noTextEdit="1"/>
            </xdr:cNvSpPr>
          </xdr:nvSpPr>
          <xdr:spPr>
            <a:xfrm>
              <a:off x="1761136" y="8170050"/>
              <a:ext cx="1425621" cy="15302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6</xdr:col>
      <xdr:colOff>94831</xdr:colOff>
      <xdr:row>6</xdr:row>
      <xdr:rowOff>33373</xdr:rowOff>
    </xdr:from>
    <xdr:to>
      <xdr:col>8</xdr:col>
      <xdr:colOff>1076739</xdr:colOff>
      <xdr:row>15</xdr:row>
      <xdr:rowOff>115957</xdr:rowOff>
    </xdr:to>
    <xdr:graphicFrame macro="">
      <xdr:nvGraphicFramePr>
        <xdr:cNvPr id="14" name="Chart 13">
          <a:extLst>
            <a:ext uri="{FF2B5EF4-FFF2-40B4-BE49-F238E27FC236}">
              <a16:creationId xmlns:a16="http://schemas.microsoft.com/office/drawing/2014/main" id="{EE40380F-4131-D5EB-399B-3D520A4A19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41415</xdr:colOff>
      <xdr:row>63</xdr:row>
      <xdr:rowOff>99391</xdr:rowOff>
    </xdr:from>
    <xdr:to>
      <xdr:col>2</xdr:col>
      <xdr:colOff>1490870</xdr:colOff>
      <xdr:row>74</xdr:row>
      <xdr:rowOff>166480</xdr:rowOff>
    </xdr:to>
    <xdr:graphicFrame macro="">
      <xdr:nvGraphicFramePr>
        <xdr:cNvPr id="17" name="Chart 16">
          <a:extLst>
            <a:ext uri="{FF2B5EF4-FFF2-40B4-BE49-F238E27FC236}">
              <a16:creationId xmlns:a16="http://schemas.microsoft.com/office/drawing/2014/main" id="{E47D9139-4DDD-6DD4-953B-9A002C9C57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322629</xdr:colOff>
      <xdr:row>5</xdr:row>
      <xdr:rowOff>31810</xdr:rowOff>
    </xdr:from>
    <xdr:to>
      <xdr:col>7</xdr:col>
      <xdr:colOff>460375</xdr:colOff>
      <xdr:row>10</xdr:row>
      <xdr:rowOff>46464</xdr:rowOff>
    </xdr:to>
    <xdr:sp macro="" textlink="pivot!C3">
      <xdr:nvSpPr>
        <xdr:cNvPr id="2" name="TextBox 1">
          <a:extLst>
            <a:ext uri="{FF2B5EF4-FFF2-40B4-BE49-F238E27FC236}">
              <a16:creationId xmlns:a16="http://schemas.microsoft.com/office/drawing/2014/main" id="{B07616C4-71B2-938B-3332-9149A3ACDBE3}"/>
            </a:ext>
          </a:extLst>
        </xdr:cNvPr>
        <xdr:cNvSpPr txBox="1"/>
      </xdr:nvSpPr>
      <xdr:spPr>
        <a:xfrm>
          <a:off x="2516265" y="955446"/>
          <a:ext cx="1938837" cy="938291"/>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ctr"/>
        <a:lstStyle/>
        <a:p>
          <a:pPr algn="ctr"/>
          <a:fld id="{F4467333-C36D-4F27-B589-2DF330ECD6EF}" type="TxLink">
            <a:rPr lang="en-US" sz="1800" b="1" i="0" u="none" strike="noStrike" cap="none" spc="0">
              <a:ln w="0"/>
              <a:solidFill>
                <a:srgbClr val="002060"/>
              </a:solidFill>
              <a:effectLst>
                <a:outerShdw blurRad="38100" dist="19050" dir="2700000" algn="tl" rotWithShape="0">
                  <a:schemeClr val="dk1">
                    <a:alpha val="40000"/>
                  </a:schemeClr>
                </a:outerShdw>
              </a:effectLst>
              <a:latin typeface="Segoe UI" panose="020B0502040204020203" pitchFamily="34" charset="0"/>
              <a:ea typeface="Calibri"/>
              <a:cs typeface="Segoe UI" panose="020B0502040204020203" pitchFamily="34" charset="0"/>
            </a:rPr>
            <a:pPr algn="ctr"/>
            <a:t> 3,290,214.30 ₼ </a:t>
          </a:fld>
          <a:endParaRPr lang="en-US" sz="1400" b="1" i="0" u="none" strike="noStrike" cap="none" spc="0">
            <a:ln w="0"/>
            <a:solidFill>
              <a:srgbClr val="002060"/>
            </a:solidFill>
            <a:effectLst>
              <a:outerShdw blurRad="38100" dist="19050" dir="2700000" algn="tl" rotWithShape="0">
                <a:schemeClr val="dk1">
                  <a:alpha val="40000"/>
                </a:schemeClr>
              </a:outerShdw>
            </a:effectLst>
            <a:latin typeface="Segoe UI" panose="020B0502040204020203" pitchFamily="34" charset="0"/>
            <a:ea typeface="Calibri"/>
            <a:cs typeface="Segoe UI" panose="020B0502040204020203" pitchFamily="34" charset="0"/>
          </a:endParaRPr>
        </a:p>
        <a:p>
          <a:pPr algn="ctr"/>
          <a:r>
            <a:rPr lang="en-US" sz="1400" b="1" i="0" u="none" strike="noStrike" cap="none" spc="0">
              <a:ln w="0"/>
              <a:solidFill>
                <a:srgbClr val="002060"/>
              </a:solidFill>
              <a:effectLst>
                <a:outerShdw blurRad="38100" dist="19050" dir="2700000" algn="tl" rotWithShape="0">
                  <a:schemeClr val="dk1">
                    <a:alpha val="40000"/>
                  </a:schemeClr>
                </a:outerShdw>
              </a:effectLst>
              <a:latin typeface="Segoe UI" panose="020B0502040204020203" pitchFamily="34" charset="0"/>
              <a:ea typeface="Calibri"/>
              <a:cs typeface="Segoe UI" panose="020B0502040204020203" pitchFamily="34" charset="0"/>
            </a:rPr>
            <a:t>Total</a:t>
          </a:r>
          <a:r>
            <a:rPr lang="en-US" sz="1400" b="1" i="0" u="none" strike="noStrike" cap="none" spc="0" baseline="0">
              <a:ln w="0"/>
              <a:solidFill>
                <a:srgbClr val="002060"/>
              </a:solidFill>
              <a:effectLst>
                <a:outerShdw blurRad="38100" dist="19050" dir="2700000" algn="tl" rotWithShape="0">
                  <a:schemeClr val="dk1">
                    <a:alpha val="40000"/>
                  </a:schemeClr>
                </a:outerShdw>
              </a:effectLst>
              <a:latin typeface="Segoe UI" panose="020B0502040204020203" pitchFamily="34" charset="0"/>
              <a:ea typeface="Calibri"/>
              <a:cs typeface="Segoe UI" panose="020B0502040204020203" pitchFamily="34" charset="0"/>
            </a:rPr>
            <a:t> sales</a:t>
          </a:r>
          <a:endParaRPr lang="en-US" sz="1400" b="1" cap="none" spc="0">
            <a:ln w="0"/>
            <a:solidFill>
              <a:srgbClr val="002060"/>
            </a:solidFill>
            <a:effectLst>
              <a:outerShdw blurRad="38100" dist="19050" dir="2700000" algn="tl" rotWithShape="0">
                <a:schemeClr val="dk1">
                  <a:alpha val="40000"/>
                </a:schemeClr>
              </a:outerShdw>
            </a:effectLst>
            <a:latin typeface="Segoe UI" panose="020B0502040204020203" pitchFamily="34" charset="0"/>
            <a:cs typeface="Segoe UI" panose="020B0502040204020203" pitchFamily="34" charset="0"/>
          </a:endParaRPr>
        </a:p>
      </xdr:txBody>
    </xdr:sp>
    <xdr:clientData/>
  </xdr:twoCellAnchor>
  <xdr:twoCellAnchor>
    <xdr:from>
      <xdr:col>8</xdr:col>
      <xdr:colOff>433198</xdr:colOff>
      <xdr:row>5</xdr:row>
      <xdr:rowOff>50676</xdr:rowOff>
    </xdr:from>
    <xdr:to>
      <xdr:col>11</xdr:col>
      <xdr:colOff>478625</xdr:colOff>
      <xdr:row>10</xdr:row>
      <xdr:rowOff>62399</xdr:rowOff>
    </xdr:to>
    <xdr:sp macro="" textlink="pivot!C6">
      <xdr:nvSpPr>
        <xdr:cNvPr id="3" name="TextBox 2">
          <a:extLst>
            <a:ext uri="{FF2B5EF4-FFF2-40B4-BE49-F238E27FC236}">
              <a16:creationId xmlns:a16="http://schemas.microsoft.com/office/drawing/2014/main" id="{FC5E7026-2281-4EB3-A2BD-E7DC1E1ABE4F}"/>
            </a:ext>
          </a:extLst>
        </xdr:cNvPr>
        <xdr:cNvSpPr txBox="1"/>
      </xdr:nvSpPr>
      <xdr:spPr>
        <a:xfrm>
          <a:off x="5028289" y="974312"/>
          <a:ext cx="1846518" cy="935360"/>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square" rtlCol="0" anchor="ctr"/>
        <a:lstStyle/>
        <a:p>
          <a:pPr marL="0" indent="0" algn="ctr"/>
          <a:fld id="{639C8F3C-C91B-4FFD-ACF6-E473B8EEFEB1}" type="TxLink">
            <a:rPr lang="en-US" sz="2000" b="1" i="0" u="none" strike="noStrike" cap="none" spc="0">
              <a:ln w="0"/>
              <a:solidFill>
                <a:srgbClr val="002060"/>
              </a:solidFill>
              <a:effectLst>
                <a:outerShdw blurRad="38100" dist="19050" dir="2700000" algn="tl" rotWithShape="0">
                  <a:schemeClr val="dk1">
                    <a:alpha val="40000"/>
                  </a:schemeClr>
                </a:outerShdw>
              </a:effectLst>
              <a:latin typeface="Segoe UI" panose="020B0502040204020203" pitchFamily="34" charset="0"/>
              <a:ea typeface="Calibri"/>
              <a:cs typeface="Segoe UI" panose="020B0502040204020203" pitchFamily="34" charset="0"/>
            </a:rPr>
            <a:pPr marL="0" indent="0" algn="ctr"/>
            <a:t> 66,217,673   </a:t>
          </a:fld>
          <a:endParaRPr lang="en-US" sz="2000" b="1" i="0" u="none" strike="noStrike" cap="none" spc="0">
            <a:ln w="0"/>
            <a:solidFill>
              <a:srgbClr val="002060"/>
            </a:solidFill>
            <a:effectLst>
              <a:outerShdw blurRad="38100" dist="19050" dir="2700000" algn="tl" rotWithShape="0">
                <a:schemeClr val="dk1">
                  <a:alpha val="40000"/>
                </a:schemeClr>
              </a:outerShdw>
            </a:effectLst>
            <a:latin typeface="Segoe UI" panose="020B0502040204020203" pitchFamily="34" charset="0"/>
            <a:ea typeface="Calibri"/>
            <a:cs typeface="Segoe UI" panose="020B0502040204020203" pitchFamily="34" charset="0"/>
          </a:endParaRPr>
        </a:p>
        <a:p>
          <a:pPr marL="0" indent="0" algn="ctr"/>
          <a:r>
            <a:rPr lang="en-US" sz="1400" b="1" i="0" u="none" strike="noStrike" cap="none" spc="0">
              <a:ln w="0"/>
              <a:solidFill>
                <a:srgbClr val="002060"/>
              </a:solidFill>
              <a:effectLst>
                <a:outerShdw blurRad="38100" dist="19050" dir="2700000" algn="tl" rotWithShape="0">
                  <a:schemeClr val="dk1">
                    <a:alpha val="40000"/>
                  </a:schemeClr>
                </a:outerShdw>
              </a:effectLst>
              <a:latin typeface="Segoe UI" panose="020B0502040204020203" pitchFamily="34" charset="0"/>
              <a:ea typeface="Calibri"/>
              <a:cs typeface="Segoe UI" panose="020B0502040204020203" pitchFamily="34" charset="0"/>
            </a:rPr>
            <a:t>Total Engagement</a:t>
          </a:r>
        </a:p>
      </xdr:txBody>
    </xdr:sp>
    <xdr:clientData/>
  </xdr:twoCellAnchor>
  <xdr:twoCellAnchor>
    <xdr:from>
      <xdr:col>12</xdr:col>
      <xdr:colOff>422694</xdr:colOff>
      <xdr:row>5</xdr:row>
      <xdr:rowOff>59007</xdr:rowOff>
    </xdr:from>
    <xdr:to>
      <xdr:col>15</xdr:col>
      <xdr:colOff>221893</xdr:colOff>
      <xdr:row>10</xdr:row>
      <xdr:rowOff>70730</xdr:rowOff>
    </xdr:to>
    <xdr:sp macro="" textlink="pivot!D9">
      <xdr:nvSpPr>
        <xdr:cNvPr id="4" name="TextBox 3">
          <a:extLst>
            <a:ext uri="{FF2B5EF4-FFF2-40B4-BE49-F238E27FC236}">
              <a16:creationId xmlns:a16="http://schemas.microsoft.com/office/drawing/2014/main" id="{BC564672-B8AC-4625-AAC1-E3D059A1A555}"/>
            </a:ext>
          </a:extLst>
        </xdr:cNvPr>
        <xdr:cNvSpPr txBox="1"/>
      </xdr:nvSpPr>
      <xdr:spPr>
        <a:xfrm>
          <a:off x="7453222" y="993535"/>
          <a:ext cx="1610746" cy="946252"/>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ctr"/>
        <a:lstStyle/>
        <a:p>
          <a:pPr marL="0" indent="0" algn="ctr"/>
          <a:fld id="{F1466F39-0FA2-4A8C-B9A7-A22C354449EB}" type="TxLink">
            <a:rPr lang="en-US" sz="2000" b="1" i="0" u="none" strike="noStrike" cap="none" spc="0">
              <a:ln w="0"/>
              <a:solidFill>
                <a:srgbClr val="002060"/>
              </a:solidFill>
              <a:effectLst>
                <a:outerShdw blurRad="38100" dist="19050" dir="2700000" algn="tl" rotWithShape="0">
                  <a:schemeClr val="dk1">
                    <a:alpha val="40000"/>
                  </a:schemeClr>
                </a:outerShdw>
              </a:effectLst>
              <a:latin typeface="Segoe UI" panose="020B0502040204020203" pitchFamily="34" charset="0"/>
              <a:ea typeface="Calibri"/>
              <a:cs typeface="Segoe UI" panose="020B0502040204020203" pitchFamily="34" charset="0"/>
            </a:rPr>
            <a:pPr marL="0" indent="0" algn="ctr"/>
            <a:t> 2,457.22 ₼ </a:t>
          </a:fld>
          <a:endParaRPr lang="en-US" sz="2000" b="1" i="0" u="none" strike="noStrike" cap="none" spc="0">
            <a:ln w="0"/>
            <a:solidFill>
              <a:srgbClr val="002060"/>
            </a:solidFill>
            <a:effectLst>
              <a:outerShdw blurRad="38100" dist="19050" dir="2700000" algn="tl" rotWithShape="0">
                <a:schemeClr val="dk1">
                  <a:alpha val="40000"/>
                </a:schemeClr>
              </a:outerShdw>
            </a:effectLst>
            <a:latin typeface="Segoe UI" panose="020B0502040204020203" pitchFamily="34" charset="0"/>
            <a:ea typeface="Calibri"/>
            <a:cs typeface="Segoe UI" panose="020B0502040204020203" pitchFamily="34" charset="0"/>
          </a:endParaRPr>
        </a:p>
        <a:p>
          <a:pPr marL="0" indent="0" algn="ctr"/>
          <a:r>
            <a:rPr lang="en-US" sz="1600" b="1" i="0" u="none" strike="noStrike" cap="none" spc="0">
              <a:ln w="0"/>
              <a:solidFill>
                <a:srgbClr val="002060"/>
              </a:solidFill>
              <a:effectLst>
                <a:outerShdw blurRad="38100" dist="19050" dir="2700000" algn="tl" rotWithShape="0">
                  <a:schemeClr val="dk1">
                    <a:alpha val="40000"/>
                  </a:schemeClr>
                </a:outerShdw>
              </a:effectLst>
              <a:latin typeface="Segoe UI" panose="020B0502040204020203" pitchFamily="34" charset="0"/>
              <a:ea typeface="Calibri"/>
              <a:cs typeface="Segoe UI" panose="020B0502040204020203" pitchFamily="34" charset="0"/>
            </a:rPr>
            <a:t>Sales Per Day</a:t>
          </a:r>
          <a:endParaRPr lang="en-US" sz="2000" b="1" i="0" u="none" strike="noStrike" cap="none" spc="0">
            <a:ln w="0"/>
            <a:solidFill>
              <a:srgbClr val="002060"/>
            </a:solidFill>
            <a:effectLst>
              <a:outerShdw blurRad="38100" dist="19050" dir="2700000" algn="tl" rotWithShape="0">
                <a:schemeClr val="dk1">
                  <a:alpha val="40000"/>
                </a:schemeClr>
              </a:outerShdw>
            </a:effectLst>
            <a:latin typeface="Segoe UI" panose="020B0502040204020203" pitchFamily="34" charset="0"/>
            <a:ea typeface="Calibri"/>
            <a:cs typeface="Segoe UI" panose="020B0502040204020203" pitchFamily="34" charset="0"/>
          </a:endParaRPr>
        </a:p>
      </xdr:txBody>
    </xdr:sp>
    <xdr:clientData/>
  </xdr:twoCellAnchor>
  <xdr:twoCellAnchor>
    <xdr:from>
      <xdr:col>16</xdr:col>
      <xdr:colOff>165961</xdr:colOff>
      <xdr:row>5</xdr:row>
      <xdr:rowOff>53791</xdr:rowOff>
    </xdr:from>
    <xdr:to>
      <xdr:col>19</xdr:col>
      <xdr:colOff>70910</xdr:colOff>
      <xdr:row>10</xdr:row>
      <xdr:rowOff>57894</xdr:rowOff>
    </xdr:to>
    <xdr:sp macro="" textlink="pivot!B12">
      <xdr:nvSpPr>
        <xdr:cNvPr id="5" name="TextBox 4">
          <a:extLst>
            <a:ext uri="{FF2B5EF4-FFF2-40B4-BE49-F238E27FC236}">
              <a16:creationId xmlns:a16="http://schemas.microsoft.com/office/drawing/2014/main" id="{AD6F8339-5FD1-40BE-A2FD-6392A68BAD4D}"/>
            </a:ext>
          </a:extLst>
        </xdr:cNvPr>
        <xdr:cNvSpPr txBox="1"/>
      </xdr:nvSpPr>
      <xdr:spPr>
        <a:xfrm>
          <a:off x="9611886" y="988319"/>
          <a:ext cx="1716496" cy="938632"/>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square" rtlCol="0" anchor="ctr"/>
        <a:lstStyle/>
        <a:p>
          <a:pPr marL="0" indent="0" algn="ctr"/>
          <a:fld id="{47B4F963-13ED-4598-9272-4FB579993763}" type="TxLink">
            <a:rPr lang="en-US" sz="2000" b="1" i="0" u="none" strike="noStrike" cap="none" spc="0">
              <a:ln w="0"/>
              <a:solidFill>
                <a:srgbClr val="002060"/>
              </a:solidFill>
              <a:effectLst>
                <a:outerShdw blurRad="38100" dist="19050" dir="2700000" algn="tl" rotWithShape="0">
                  <a:schemeClr val="dk1">
                    <a:alpha val="40000"/>
                  </a:schemeClr>
                </a:outerShdw>
              </a:effectLst>
              <a:latin typeface="Segoe UI" panose="020B0502040204020203" pitchFamily="34" charset="0"/>
              <a:ea typeface="Calibri"/>
              <a:cs typeface="Segoe UI" panose="020B0502040204020203" pitchFamily="34" charset="0"/>
            </a:rPr>
            <a:pPr marL="0" indent="0" algn="ctr"/>
            <a:t> $49.69 </a:t>
          </a:fld>
          <a:endParaRPr lang="en-US" sz="2000" b="1" i="0" u="none" strike="noStrike" cap="none" spc="0">
            <a:ln w="0"/>
            <a:solidFill>
              <a:srgbClr val="002060"/>
            </a:solidFill>
            <a:effectLst>
              <a:outerShdw blurRad="38100" dist="19050" dir="2700000" algn="tl" rotWithShape="0">
                <a:schemeClr val="dk1">
                  <a:alpha val="40000"/>
                </a:schemeClr>
              </a:outerShdw>
            </a:effectLst>
            <a:latin typeface="Segoe UI" panose="020B0502040204020203" pitchFamily="34" charset="0"/>
            <a:ea typeface="Calibri"/>
            <a:cs typeface="Segoe UI" panose="020B0502040204020203" pitchFamily="34" charset="0"/>
          </a:endParaRPr>
        </a:p>
        <a:p>
          <a:pPr marL="0" indent="0" algn="ctr"/>
          <a:r>
            <a:rPr lang="en-US" sz="1400" b="1" i="0" u="none" strike="noStrike" cap="none" spc="0">
              <a:ln w="0"/>
              <a:solidFill>
                <a:srgbClr val="002060"/>
              </a:solidFill>
              <a:effectLst>
                <a:outerShdw blurRad="38100" dist="19050" dir="2700000" algn="tl" rotWithShape="0">
                  <a:schemeClr val="dk1">
                    <a:alpha val="40000"/>
                  </a:schemeClr>
                </a:outerShdw>
              </a:effectLst>
              <a:latin typeface="Segoe UI" panose="020B0502040204020203" pitchFamily="34" charset="0"/>
              <a:ea typeface="Calibri"/>
              <a:cs typeface="Segoe UI" panose="020B0502040204020203" pitchFamily="34" charset="0"/>
            </a:rPr>
            <a:t>Sales Per 1k engagement</a:t>
          </a:r>
        </a:p>
      </xdr:txBody>
    </xdr:sp>
    <xdr:clientData/>
  </xdr:twoCellAnchor>
  <xdr:twoCellAnchor>
    <xdr:from>
      <xdr:col>12</xdr:col>
      <xdr:colOff>545075</xdr:colOff>
      <xdr:row>0</xdr:row>
      <xdr:rowOff>164863</xdr:rowOff>
    </xdr:from>
    <xdr:to>
      <xdr:col>21</xdr:col>
      <xdr:colOff>530086</xdr:colOff>
      <xdr:row>3</xdr:row>
      <xdr:rowOff>87559</xdr:rowOff>
    </xdr:to>
    <xdr:sp macro="" textlink="">
      <xdr:nvSpPr>
        <xdr:cNvPr id="7" name="TextBox 6">
          <a:extLst>
            <a:ext uri="{FF2B5EF4-FFF2-40B4-BE49-F238E27FC236}">
              <a16:creationId xmlns:a16="http://schemas.microsoft.com/office/drawing/2014/main" id="{BD71BC1B-A6AB-C717-ABFD-B4C1B3BFCA6E}"/>
            </a:ext>
          </a:extLst>
        </xdr:cNvPr>
        <xdr:cNvSpPr txBox="1"/>
      </xdr:nvSpPr>
      <xdr:spPr>
        <a:xfrm>
          <a:off x="7711504" y="164863"/>
          <a:ext cx="5536725" cy="466982"/>
        </a:xfrm>
        <a:prstGeom prst="rect">
          <a:avLst/>
        </a:prstGeom>
        <a:solidFill>
          <a:schemeClr val="accent4"/>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solidFill>
                <a:schemeClr val="bg1"/>
              </a:solidFill>
              <a:effectLst>
                <a:glow rad="101600">
                  <a:schemeClr val="accent3">
                    <a:satMod val="175000"/>
                    <a:alpha val="40000"/>
                  </a:schemeClr>
                </a:glow>
              </a:effectLst>
            </a:rPr>
            <a:t>Marketing ROI</a:t>
          </a:r>
          <a:r>
            <a:rPr lang="en-US" sz="3200" b="1" baseline="0">
              <a:solidFill>
                <a:schemeClr val="bg1"/>
              </a:solidFill>
              <a:effectLst>
                <a:glow rad="101600">
                  <a:schemeClr val="accent3">
                    <a:satMod val="175000"/>
                    <a:alpha val="40000"/>
                  </a:schemeClr>
                </a:glow>
              </a:effectLst>
            </a:rPr>
            <a:t> Dashboard</a:t>
          </a:r>
          <a:endParaRPr lang="en-US" sz="3200" b="1">
            <a:solidFill>
              <a:schemeClr val="bg1"/>
            </a:solidFill>
            <a:effectLst>
              <a:glow rad="101600">
                <a:schemeClr val="accent3">
                  <a:satMod val="175000"/>
                  <a:alpha val="40000"/>
                </a:schemeClr>
              </a:glow>
            </a:effectLst>
          </a:endParaRPr>
        </a:p>
      </xdr:txBody>
    </xdr:sp>
    <xdr:clientData/>
  </xdr:twoCellAnchor>
  <xdr:twoCellAnchor editAs="oneCell">
    <xdr:from>
      <xdr:col>21</xdr:col>
      <xdr:colOff>11043</xdr:colOff>
      <xdr:row>1</xdr:row>
      <xdr:rowOff>22088</xdr:rowOff>
    </xdr:from>
    <xdr:to>
      <xdr:col>21</xdr:col>
      <xdr:colOff>441738</xdr:colOff>
      <xdr:row>3</xdr:row>
      <xdr:rowOff>77305</xdr:rowOff>
    </xdr:to>
    <xdr:pic>
      <xdr:nvPicPr>
        <xdr:cNvPr id="9" name="Graphic 8" descr="Presentation with bar chart with solid fill">
          <a:extLst>
            <a:ext uri="{FF2B5EF4-FFF2-40B4-BE49-F238E27FC236}">
              <a16:creationId xmlns:a16="http://schemas.microsoft.com/office/drawing/2014/main" id="{F532B64B-AAFF-461C-475F-097E84EB8B6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729186" y="203517"/>
          <a:ext cx="430695" cy="418074"/>
        </a:xfrm>
        <a:prstGeom prst="rect">
          <a:avLst/>
        </a:prstGeom>
      </xdr:spPr>
    </xdr:pic>
    <xdr:clientData/>
  </xdr:twoCellAnchor>
  <xdr:twoCellAnchor>
    <xdr:from>
      <xdr:col>0</xdr:col>
      <xdr:colOff>180836</xdr:colOff>
      <xdr:row>5</xdr:row>
      <xdr:rowOff>57148</xdr:rowOff>
    </xdr:from>
    <xdr:to>
      <xdr:col>3</xdr:col>
      <xdr:colOff>514350</xdr:colOff>
      <xdr:row>75</xdr:row>
      <xdr:rowOff>179293</xdr:rowOff>
    </xdr:to>
    <xdr:sp macro="" textlink="">
      <xdr:nvSpPr>
        <xdr:cNvPr id="10" name="Rectangle: Rounded Corners 9">
          <a:extLst>
            <a:ext uri="{FF2B5EF4-FFF2-40B4-BE49-F238E27FC236}">
              <a16:creationId xmlns:a16="http://schemas.microsoft.com/office/drawing/2014/main" id="{F95E6312-E3E7-AC6F-0FC7-231A6ED2ED7C}"/>
            </a:ext>
          </a:extLst>
        </xdr:cNvPr>
        <xdr:cNvSpPr/>
      </xdr:nvSpPr>
      <xdr:spPr>
        <a:xfrm>
          <a:off x="180836" y="953619"/>
          <a:ext cx="1935955" cy="12672733"/>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217368</xdr:colOff>
      <xdr:row>6</xdr:row>
      <xdr:rowOff>29629</xdr:rowOff>
    </xdr:from>
    <xdr:to>
      <xdr:col>3</xdr:col>
      <xdr:colOff>40672</xdr:colOff>
      <xdr:row>7</xdr:row>
      <xdr:rowOff>62760</xdr:rowOff>
    </xdr:to>
    <xdr:sp macro="" textlink="">
      <xdr:nvSpPr>
        <xdr:cNvPr id="11" name="TextBox 10">
          <a:extLst>
            <a:ext uri="{FF2B5EF4-FFF2-40B4-BE49-F238E27FC236}">
              <a16:creationId xmlns:a16="http://schemas.microsoft.com/office/drawing/2014/main" id="{7A5CF5C8-C1C5-7118-E6B9-0A4B71FCAC8B}"/>
            </a:ext>
          </a:extLst>
        </xdr:cNvPr>
        <xdr:cNvSpPr txBox="1"/>
      </xdr:nvSpPr>
      <xdr:spPr>
        <a:xfrm>
          <a:off x="607661" y="1144751"/>
          <a:ext cx="1049938" cy="21898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Filters</a:t>
          </a:r>
          <a:endParaRPr lang="en-US" sz="1600" b="1"/>
        </a:p>
      </xdr:txBody>
    </xdr:sp>
    <xdr:clientData/>
  </xdr:twoCellAnchor>
  <xdr:twoCellAnchor>
    <xdr:from>
      <xdr:col>4</xdr:col>
      <xdr:colOff>309217</xdr:colOff>
      <xdr:row>12</xdr:row>
      <xdr:rowOff>55217</xdr:rowOff>
    </xdr:from>
    <xdr:to>
      <xdr:col>18</xdr:col>
      <xdr:colOff>460375</xdr:colOff>
      <xdr:row>31</xdr:row>
      <xdr:rowOff>132522</xdr:rowOff>
    </xdr:to>
    <xdr:graphicFrame macro="">
      <xdr:nvGraphicFramePr>
        <xdr:cNvPr id="15" name="Chart 14">
          <a:extLst>
            <a:ext uri="{FF2B5EF4-FFF2-40B4-BE49-F238E27FC236}">
              <a16:creationId xmlns:a16="http://schemas.microsoft.com/office/drawing/2014/main" id="{3D46A34A-88E0-4EB1-BB9C-7973993D4E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579061</xdr:colOff>
      <xdr:row>12</xdr:row>
      <xdr:rowOff>29308</xdr:rowOff>
    </xdr:from>
    <xdr:to>
      <xdr:col>34</xdr:col>
      <xdr:colOff>468923</xdr:colOff>
      <xdr:row>31</xdr:row>
      <xdr:rowOff>133532</xdr:rowOff>
    </xdr:to>
    <xdr:graphicFrame macro="">
      <xdr:nvGraphicFramePr>
        <xdr:cNvPr id="16" name="Chart 15">
          <a:extLst>
            <a:ext uri="{FF2B5EF4-FFF2-40B4-BE49-F238E27FC236}">
              <a16:creationId xmlns:a16="http://schemas.microsoft.com/office/drawing/2014/main" id="{7A4C11D9-ED37-4C47-BEF0-4D10393EFB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285749</xdr:colOff>
      <xdr:row>33</xdr:row>
      <xdr:rowOff>86394</xdr:rowOff>
    </xdr:from>
    <xdr:to>
      <xdr:col>34</xdr:col>
      <xdr:colOff>526080</xdr:colOff>
      <xdr:row>48</xdr:row>
      <xdr:rowOff>42334</xdr:rowOff>
    </xdr:to>
    <xdr:graphicFrame macro="">
      <xdr:nvGraphicFramePr>
        <xdr:cNvPr id="18" name="Chart 17">
          <a:extLst>
            <a:ext uri="{FF2B5EF4-FFF2-40B4-BE49-F238E27FC236}">
              <a16:creationId xmlns:a16="http://schemas.microsoft.com/office/drawing/2014/main" id="{FF7F7A45-4E08-4755-ACA6-9F37837B40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521029</xdr:colOff>
      <xdr:row>49</xdr:row>
      <xdr:rowOff>8466</xdr:rowOff>
    </xdr:from>
    <xdr:to>
      <xdr:col>21</xdr:col>
      <xdr:colOff>243191</xdr:colOff>
      <xdr:row>75</xdr:row>
      <xdr:rowOff>138214</xdr:rowOff>
    </xdr:to>
    <xdr:graphicFrame macro="">
      <xdr:nvGraphicFramePr>
        <xdr:cNvPr id="20" name="Chart 19">
          <a:extLst>
            <a:ext uri="{FF2B5EF4-FFF2-40B4-BE49-F238E27FC236}">
              <a16:creationId xmlns:a16="http://schemas.microsoft.com/office/drawing/2014/main" id="{295DC5B8-4DC2-436A-AB1E-301A7D499B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478393</xdr:colOff>
      <xdr:row>49</xdr:row>
      <xdr:rowOff>76361</xdr:rowOff>
    </xdr:from>
    <xdr:to>
      <xdr:col>12</xdr:col>
      <xdr:colOff>426155</xdr:colOff>
      <xdr:row>75</xdr:row>
      <xdr:rowOff>0</xdr:rowOff>
    </xdr:to>
    <xdr:graphicFrame macro="">
      <xdr:nvGraphicFramePr>
        <xdr:cNvPr id="24" name="Chart 23">
          <a:extLst>
            <a:ext uri="{FF2B5EF4-FFF2-40B4-BE49-F238E27FC236}">
              <a16:creationId xmlns:a16="http://schemas.microsoft.com/office/drawing/2014/main" id="{E80DBC36-9DD5-4BD1-9099-D1C0151A4F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131860</xdr:colOff>
      <xdr:row>12</xdr:row>
      <xdr:rowOff>64341</xdr:rowOff>
    </xdr:from>
    <xdr:to>
      <xdr:col>26</xdr:col>
      <xdr:colOff>401735</xdr:colOff>
      <xdr:row>31</xdr:row>
      <xdr:rowOff>149900</xdr:rowOff>
    </xdr:to>
    <xdr:graphicFrame macro="">
      <xdr:nvGraphicFramePr>
        <xdr:cNvPr id="26" name="Chart 25">
          <a:extLst>
            <a:ext uri="{FF2B5EF4-FFF2-40B4-BE49-F238E27FC236}">
              <a16:creationId xmlns:a16="http://schemas.microsoft.com/office/drawing/2014/main" id="{F70FAE31-0E12-473A-AC56-55B6611220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367969</xdr:colOff>
      <xdr:row>33</xdr:row>
      <xdr:rowOff>91400</xdr:rowOff>
    </xdr:from>
    <xdr:to>
      <xdr:col>27</xdr:col>
      <xdr:colOff>159246</xdr:colOff>
      <xdr:row>48</xdr:row>
      <xdr:rowOff>70555</xdr:rowOff>
    </xdr:to>
    <xdr:graphicFrame macro="">
      <xdr:nvGraphicFramePr>
        <xdr:cNvPr id="28" name="Chart 27">
          <a:extLst>
            <a:ext uri="{FF2B5EF4-FFF2-40B4-BE49-F238E27FC236}">
              <a16:creationId xmlns:a16="http://schemas.microsoft.com/office/drawing/2014/main" id="{5F415198-A022-4E3C-B93D-DA90F186E2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61478</xdr:colOff>
      <xdr:row>8</xdr:row>
      <xdr:rowOff>108101</xdr:rowOff>
    </xdr:from>
    <xdr:to>
      <xdr:col>3</xdr:col>
      <xdr:colOff>180814</xdr:colOff>
      <xdr:row>18</xdr:row>
      <xdr:rowOff>5992</xdr:rowOff>
    </xdr:to>
    <mc:AlternateContent xmlns:mc="http://schemas.openxmlformats.org/markup-compatibility/2006" xmlns:a14="http://schemas.microsoft.com/office/drawing/2010/main">
      <mc:Choice Requires="a14">
        <xdr:graphicFrame macro="">
          <xdr:nvGraphicFramePr>
            <xdr:cNvPr id="12" name="campaign_type-new 1">
              <a:extLst>
                <a:ext uri="{FF2B5EF4-FFF2-40B4-BE49-F238E27FC236}">
                  <a16:creationId xmlns:a16="http://schemas.microsoft.com/office/drawing/2014/main" id="{33491037-68C2-4E62-853A-86614AA58172}"/>
                </a:ext>
              </a:extLst>
            </xdr:cNvPr>
            <xdr:cNvGraphicFramePr/>
          </xdr:nvGraphicFramePr>
          <xdr:xfrm>
            <a:off x="0" y="0"/>
            <a:ext cx="0" cy="0"/>
          </xdr:xfrm>
          <a:graphic>
            <a:graphicData uri="http://schemas.microsoft.com/office/drawing/2010/slicer">
              <sle:slicer xmlns:sle="http://schemas.microsoft.com/office/drawing/2010/slicer" name="campaign_type-new 1"/>
            </a:graphicData>
          </a:graphic>
        </xdr:graphicFrame>
      </mc:Choice>
      <mc:Fallback xmlns="">
        <xdr:sp macro="" textlink="">
          <xdr:nvSpPr>
            <xdr:cNvPr id="0" name=""/>
            <xdr:cNvSpPr>
              <a:spLocks noTextEdit="1"/>
            </xdr:cNvSpPr>
          </xdr:nvSpPr>
          <xdr:spPr>
            <a:xfrm>
              <a:off x="449666" y="1603346"/>
              <a:ext cx="1387809" cy="17669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354038</xdr:colOff>
      <xdr:row>49</xdr:row>
      <xdr:rowOff>72266</xdr:rowOff>
    </xdr:from>
    <xdr:to>
      <xdr:col>27</xdr:col>
      <xdr:colOff>389360</xdr:colOff>
      <xdr:row>75</xdr:row>
      <xdr:rowOff>97174</xdr:rowOff>
    </xdr:to>
    <mc:AlternateContent xmlns:mc="http://schemas.openxmlformats.org/markup-compatibility/2006">
      <mc:Choice xmlns:cx2="http://schemas.microsoft.com/office/drawing/2015/10/21/chartex" Requires="cx2">
        <xdr:graphicFrame macro="">
          <xdr:nvGraphicFramePr>
            <xdr:cNvPr id="13" name="Chart 12">
              <a:extLst>
                <a:ext uri="{FF2B5EF4-FFF2-40B4-BE49-F238E27FC236}">
                  <a16:creationId xmlns:a16="http://schemas.microsoft.com/office/drawing/2014/main" id="{735695C2-7F51-4263-A9FC-6F1D9D5D1A6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544258" y="9033386"/>
              <a:ext cx="3083322" cy="477978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28</xdr:col>
      <xdr:colOff>391579</xdr:colOff>
      <xdr:row>49</xdr:row>
      <xdr:rowOff>79035</xdr:rowOff>
    </xdr:from>
    <xdr:to>
      <xdr:col>34</xdr:col>
      <xdr:colOff>362628</xdr:colOff>
      <xdr:row>75</xdr:row>
      <xdr:rowOff>81063</xdr:rowOff>
    </xdr:to>
    <mc:AlternateContent xmlns:mc="http://schemas.openxmlformats.org/markup-compatibility/2006">
      <mc:Choice xmlns:cx2="http://schemas.microsoft.com/office/drawing/2015/10/21/chartex" Requires="cx2">
        <xdr:graphicFrame macro="">
          <xdr:nvGraphicFramePr>
            <xdr:cNvPr id="14" name="Chart 13">
              <a:extLst>
                <a:ext uri="{FF2B5EF4-FFF2-40B4-BE49-F238E27FC236}">
                  <a16:creationId xmlns:a16="http://schemas.microsoft.com/office/drawing/2014/main" id="{40CA5C2E-88F4-48B6-8A95-03108B1E9FF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7239399" y="9040155"/>
              <a:ext cx="3628649" cy="475690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31</xdr:col>
      <xdr:colOff>19132</xdr:colOff>
      <xdr:row>5</xdr:row>
      <xdr:rowOff>60923</xdr:rowOff>
    </xdr:from>
    <xdr:to>
      <xdr:col>33</xdr:col>
      <xdr:colOff>415209</xdr:colOff>
      <xdr:row>10</xdr:row>
      <xdr:rowOff>72646</xdr:rowOff>
    </xdr:to>
    <xdr:sp macro="" textlink="pivot!E3">
      <xdr:nvSpPr>
        <xdr:cNvPr id="17" name="TextBox 16">
          <a:extLst>
            <a:ext uri="{FF2B5EF4-FFF2-40B4-BE49-F238E27FC236}">
              <a16:creationId xmlns:a16="http://schemas.microsoft.com/office/drawing/2014/main" id="{A26300C9-67F0-4449-893B-A804322757F5}"/>
            </a:ext>
          </a:extLst>
        </xdr:cNvPr>
        <xdr:cNvSpPr txBox="1"/>
      </xdr:nvSpPr>
      <xdr:spPr>
        <a:xfrm>
          <a:off x="18617098" y="964991"/>
          <a:ext cx="1610111" cy="915791"/>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ctr"/>
        <a:lstStyle/>
        <a:p>
          <a:pPr marL="0" indent="0" algn="ctr"/>
          <a:fld id="{668C6AEB-49BB-4AEC-8AED-B93B07CAC103}" type="TxLink">
            <a:rPr lang="en-US" sz="20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marL="0" indent="0" algn="ctr"/>
            <a:t> 2,457.22 ₼ </a:t>
          </a:fld>
          <a:endParaRPr lang="en-US" sz="20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endParaRPr>
        </a:p>
        <a:p>
          <a:pPr marL="0" indent="0" algn="ctr"/>
          <a:r>
            <a:rPr lang="en-US" sz="11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Avg</a:t>
          </a:r>
          <a:r>
            <a:rPr lang="en-US" sz="1100" b="1" i="0" u="none" strike="noStrike" cap="none" spc="0" baseline="0">
              <a:ln w="0"/>
              <a:solidFill>
                <a:srgbClr val="000000"/>
              </a:solidFill>
              <a:effectLst>
                <a:outerShdw blurRad="38100" dist="19050" dir="2700000" algn="tl" rotWithShape="0">
                  <a:schemeClr val="dk1">
                    <a:alpha val="40000"/>
                  </a:schemeClr>
                </a:outerShdw>
              </a:effectLst>
              <a:latin typeface="Calibri"/>
              <a:ea typeface="Calibri"/>
              <a:cs typeface="Calibri"/>
            </a:rPr>
            <a:t> Sales per campaign</a:t>
          </a:r>
          <a:endParaRPr lang="en-US" sz="2000" b="1" i="0" u="none" strike="noStrike" cap="none" spc="0">
            <a:ln w="0"/>
            <a:solidFill>
              <a:srgbClr val="002060"/>
            </a:solidFill>
            <a:effectLst>
              <a:outerShdw blurRad="38100" dist="19050" dir="2700000" algn="tl" rotWithShape="0">
                <a:schemeClr val="dk1">
                  <a:alpha val="40000"/>
                </a:schemeClr>
              </a:outerShdw>
            </a:effectLst>
            <a:latin typeface="Segoe UI" panose="020B0502040204020203" pitchFamily="34" charset="0"/>
            <a:ea typeface="Calibri"/>
            <a:cs typeface="Segoe UI" panose="020B0502040204020203" pitchFamily="34" charset="0"/>
          </a:endParaRPr>
        </a:p>
      </xdr:txBody>
    </xdr:sp>
    <xdr:clientData/>
  </xdr:twoCellAnchor>
  <xdr:twoCellAnchor>
    <xdr:from>
      <xdr:col>20</xdr:col>
      <xdr:colOff>100167</xdr:colOff>
      <xdr:row>5</xdr:row>
      <xdr:rowOff>71979</xdr:rowOff>
    </xdr:from>
    <xdr:to>
      <xdr:col>23</xdr:col>
      <xdr:colOff>1631</xdr:colOff>
      <xdr:row>10</xdr:row>
      <xdr:rowOff>76082</xdr:rowOff>
    </xdr:to>
    <xdr:sp macro="" textlink="pivot!H13">
      <xdr:nvSpPr>
        <xdr:cNvPr id="19" name="TextBox 18">
          <a:extLst>
            <a:ext uri="{FF2B5EF4-FFF2-40B4-BE49-F238E27FC236}">
              <a16:creationId xmlns:a16="http://schemas.microsoft.com/office/drawing/2014/main" id="{E3659DDA-A347-476F-85A1-3CF14C2886AC}"/>
            </a:ext>
          </a:extLst>
        </xdr:cNvPr>
        <xdr:cNvSpPr txBox="1"/>
      </xdr:nvSpPr>
      <xdr:spPr>
        <a:xfrm>
          <a:off x="12072034" y="1003312"/>
          <a:ext cx="1730264" cy="935437"/>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square" rtlCol="0" anchor="ctr"/>
        <a:lstStyle/>
        <a:p>
          <a:pPr marL="0" indent="0" algn="ctr"/>
          <a:fld id="{7BE2868F-99B6-49DB-BA47-9C4A7635F2A0}" type="TxLink">
            <a:rPr lang="en-US" sz="20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marL="0" indent="0" algn="ctr"/>
            <a:t>Instagram</a:t>
          </a:fld>
          <a:endParaRPr lang="en-US" sz="20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endParaRPr>
        </a:p>
        <a:p>
          <a:pPr marL="0" indent="0" algn="ctr"/>
          <a:r>
            <a:rPr lang="en-US" sz="12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Best channel for sales</a:t>
          </a:r>
        </a:p>
      </xdr:txBody>
    </xdr:sp>
    <xdr:clientData/>
  </xdr:twoCellAnchor>
  <xdr:twoCellAnchor>
    <xdr:from>
      <xdr:col>23</xdr:col>
      <xdr:colOff>566793</xdr:colOff>
      <xdr:row>5</xdr:row>
      <xdr:rowOff>82823</xdr:rowOff>
    </xdr:from>
    <xdr:to>
      <xdr:col>26</xdr:col>
      <xdr:colOff>365991</xdr:colOff>
      <xdr:row>10</xdr:row>
      <xdr:rowOff>94546</xdr:rowOff>
    </xdr:to>
    <xdr:sp macro="" textlink="pivot!E6">
      <xdr:nvSpPr>
        <xdr:cNvPr id="21" name="TextBox 20">
          <a:extLst>
            <a:ext uri="{FF2B5EF4-FFF2-40B4-BE49-F238E27FC236}">
              <a16:creationId xmlns:a16="http://schemas.microsoft.com/office/drawing/2014/main" id="{70934864-5CB7-4075-AF43-D698317EE441}"/>
            </a:ext>
          </a:extLst>
        </xdr:cNvPr>
        <xdr:cNvSpPr txBox="1"/>
      </xdr:nvSpPr>
      <xdr:spPr>
        <a:xfrm>
          <a:off x="14367460" y="1014156"/>
          <a:ext cx="1627998" cy="943057"/>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ctr"/>
        <a:lstStyle/>
        <a:p>
          <a:pPr marL="0" indent="0" algn="ctr"/>
          <a:fld id="{334732D0-41EC-497E-8D3C-2494FB41552D}" type="TxLink">
            <a:rPr lang="en-US" sz="24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marL="0" indent="0" algn="ctr"/>
            <a:t>10%</a:t>
          </a:fld>
          <a:endParaRPr lang="en-US" sz="24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endParaRPr>
        </a:p>
        <a:p>
          <a:pPr marL="0" indent="0" algn="ctr"/>
          <a:r>
            <a:rPr lang="en-US" sz="14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Engagement Rate</a:t>
          </a:r>
          <a:endParaRPr lang="en-US" sz="4800" b="1" i="0" u="none" strike="noStrike" cap="none" spc="0">
            <a:ln w="0"/>
            <a:solidFill>
              <a:srgbClr val="002060"/>
            </a:solidFill>
            <a:effectLst>
              <a:outerShdw blurRad="38100" dist="19050" dir="2700000" algn="tl" rotWithShape="0">
                <a:schemeClr val="dk1">
                  <a:alpha val="40000"/>
                </a:schemeClr>
              </a:outerShdw>
            </a:effectLst>
            <a:latin typeface="Segoe UI" panose="020B0502040204020203" pitchFamily="34" charset="0"/>
            <a:ea typeface="Calibri"/>
            <a:cs typeface="Segoe UI" panose="020B0502040204020203" pitchFamily="34" charset="0"/>
          </a:endParaRPr>
        </a:p>
      </xdr:txBody>
    </xdr:sp>
    <xdr:clientData/>
  </xdr:twoCellAnchor>
  <xdr:twoCellAnchor>
    <xdr:from>
      <xdr:col>27</xdr:col>
      <xdr:colOff>268849</xdr:colOff>
      <xdr:row>5</xdr:row>
      <xdr:rowOff>69909</xdr:rowOff>
    </xdr:from>
    <xdr:to>
      <xdr:col>30</xdr:col>
      <xdr:colOff>170312</xdr:colOff>
      <xdr:row>10</xdr:row>
      <xdr:rowOff>74012</xdr:rowOff>
    </xdr:to>
    <xdr:sp macro="" textlink="pivot!P34">
      <xdr:nvSpPr>
        <xdr:cNvPr id="22" name="TextBox 21">
          <a:extLst>
            <a:ext uri="{FF2B5EF4-FFF2-40B4-BE49-F238E27FC236}">
              <a16:creationId xmlns:a16="http://schemas.microsoft.com/office/drawing/2014/main" id="{41E0DAEA-3673-449C-B557-405AC9D5F276}"/>
            </a:ext>
          </a:extLst>
        </xdr:cNvPr>
        <xdr:cNvSpPr txBox="1"/>
      </xdr:nvSpPr>
      <xdr:spPr>
        <a:xfrm>
          <a:off x="16438747" y="973977"/>
          <a:ext cx="1722514" cy="908171"/>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square" rtlCol="0" anchor="ctr"/>
        <a:lstStyle/>
        <a:p>
          <a:pPr marL="0" indent="0" algn="ctr"/>
          <a:fld id="{0108DFDD-99B3-4E1C-80F4-6A230314B3C3}" type="TxLink">
            <a:rPr lang="en-US" sz="20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marL="0" indent="0" algn="ctr"/>
            <a:t>Brand Awareness</a:t>
          </a:fld>
          <a:endParaRPr lang="en-US" sz="20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endParaRPr>
        </a:p>
        <a:p>
          <a:pPr marL="0" indent="0" algn="ctr"/>
          <a:r>
            <a:rPr lang="en-US" sz="11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Best Campaign</a:t>
          </a:r>
          <a:r>
            <a:rPr lang="en-US" sz="1100" b="1" i="0" u="none" strike="noStrike" cap="none" spc="0" baseline="0">
              <a:ln w="0"/>
              <a:solidFill>
                <a:srgbClr val="000000"/>
              </a:solidFill>
              <a:effectLst>
                <a:outerShdw blurRad="38100" dist="19050" dir="2700000" algn="tl" rotWithShape="0">
                  <a:schemeClr val="dk1">
                    <a:alpha val="40000"/>
                  </a:schemeClr>
                </a:outerShdw>
              </a:effectLst>
              <a:latin typeface="Calibri"/>
              <a:ea typeface="Calibri"/>
              <a:cs typeface="Calibri"/>
            </a:rPr>
            <a:t> Type</a:t>
          </a:r>
          <a:endParaRPr lang="en-US" sz="1400" b="1" i="0" u="none" strike="noStrike" cap="none" spc="0">
            <a:ln w="0"/>
            <a:solidFill>
              <a:srgbClr val="002060"/>
            </a:solidFill>
            <a:effectLst>
              <a:outerShdw blurRad="38100" dist="19050" dir="2700000" algn="tl" rotWithShape="0">
                <a:schemeClr val="dk1">
                  <a:alpha val="40000"/>
                </a:schemeClr>
              </a:outerShdw>
            </a:effectLst>
            <a:latin typeface="Segoe UI" panose="020B0502040204020203" pitchFamily="34" charset="0"/>
            <a:ea typeface="Calibri"/>
            <a:cs typeface="Segoe UI" panose="020B0502040204020203" pitchFamily="34" charset="0"/>
          </a:endParaRPr>
        </a:p>
      </xdr:txBody>
    </xdr:sp>
    <xdr:clientData/>
  </xdr:twoCellAnchor>
  <xdr:twoCellAnchor editAs="oneCell">
    <xdr:from>
      <xdr:col>1</xdr:col>
      <xdr:colOff>109675</xdr:colOff>
      <xdr:row>39</xdr:row>
      <xdr:rowOff>139392</xdr:rowOff>
    </xdr:from>
    <xdr:to>
      <xdr:col>3</xdr:col>
      <xdr:colOff>199035</xdr:colOff>
      <xdr:row>61</xdr:row>
      <xdr:rowOff>112059</xdr:rowOff>
    </xdr:to>
    <mc:AlternateContent xmlns:mc="http://schemas.openxmlformats.org/markup-compatibility/2006" xmlns:a14="http://schemas.microsoft.com/office/drawing/2010/main">
      <mc:Choice Requires="a14">
        <xdr:graphicFrame macro="">
          <xdr:nvGraphicFramePr>
            <xdr:cNvPr id="27" name="campaign_id 1">
              <a:extLst>
                <a:ext uri="{FF2B5EF4-FFF2-40B4-BE49-F238E27FC236}">
                  <a16:creationId xmlns:a16="http://schemas.microsoft.com/office/drawing/2014/main" id="{07B324D2-02AC-4B4A-BF6B-83D1C47FCA5F}"/>
                </a:ext>
              </a:extLst>
            </xdr:cNvPr>
            <xdr:cNvGraphicFramePr/>
          </xdr:nvGraphicFramePr>
          <xdr:xfrm>
            <a:off x="0" y="0"/>
            <a:ext cx="0" cy="0"/>
          </xdr:xfrm>
          <a:graphic>
            <a:graphicData uri="http://schemas.microsoft.com/office/drawing/2010/slicer">
              <sle:slicer xmlns:sle="http://schemas.microsoft.com/office/drawing/2010/slicer" name="campaign_id 1"/>
            </a:graphicData>
          </a:graphic>
        </xdr:graphicFrame>
      </mc:Choice>
      <mc:Fallback xmlns="">
        <xdr:sp macro="" textlink="">
          <xdr:nvSpPr>
            <xdr:cNvPr id="0" name=""/>
            <xdr:cNvSpPr>
              <a:spLocks noTextEdit="1"/>
            </xdr:cNvSpPr>
          </xdr:nvSpPr>
          <xdr:spPr>
            <a:xfrm>
              <a:off x="490675" y="7568892"/>
              <a:ext cx="1327610" cy="41636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95525</xdr:colOff>
      <xdr:row>31</xdr:row>
      <xdr:rowOff>63281</xdr:rowOff>
    </xdr:from>
    <xdr:to>
      <xdr:col>3</xdr:col>
      <xdr:colOff>183291</xdr:colOff>
      <xdr:row>39</xdr:row>
      <xdr:rowOff>4983</xdr:rowOff>
    </xdr:to>
    <mc:AlternateContent xmlns:mc="http://schemas.openxmlformats.org/markup-compatibility/2006" xmlns:a14="http://schemas.microsoft.com/office/drawing/2010/main">
      <mc:Choice Requires="a14">
        <xdr:graphicFrame macro="">
          <xdr:nvGraphicFramePr>
            <xdr:cNvPr id="29" name="platform 1">
              <a:extLst>
                <a:ext uri="{FF2B5EF4-FFF2-40B4-BE49-F238E27FC236}">
                  <a16:creationId xmlns:a16="http://schemas.microsoft.com/office/drawing/2014/main" id="{8DD1C791-40EB-40D7-8838-1F82D1048007}"/>
                </a:ext>
              </a:extLst>
            </xdr:cNvPr>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mlns="">
        <xdr:sp macro="" textlink="">
          <xdr:nvSpPr>
            <xdr:cNvPr id="0" name=""/>
            <xdr:cNvSpPr>
              <a:spLocks noTextEdit="1"/>
            </xdr:cNvSpPr>
          </xdr:nvSpPr>
          <xdr:spPr>
            <a:xfrm>
              <a:off x="476525" y="5968781"/>
              <a:ext cx="1326016" cy="14657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81795</xdr:colOff>
      <xdr:row>18</xdr:row>
      <xdr:rowOff>140633</xdr:rowOff>
    </xdr:from>
    <xdr:to>
      <xdr:col>3</xdr:col>
      <xdr:colOff>173235</xdr:colOff>
      <xdr:row>30</xdr:row>
      <xdr:rowOff>121436</xdr:rowOff>
    </xdr:to>
    <mc:AlternateContent xmlns:mc="http://schemas.openxmlformats.org/markup-compatibility/2006" xmlns:a14="http://schemas.microsoft.com/office/drawing/2010/main">
      <mc:Choice Requires="a14">
        <xdr:graphicFrame macro="">
          <xdr:nvGraphicFramePr>
            <xdr:cNvPr id="30" name="influencer_category 1">
              <a:extLst>
                <a:ext uri="{FF2B5EF4-FFF2-40B4-BE49-F238E27FC236}">
                  <a16:creationId xmlns:a16="http://schemas.microsoft.com/office/drawing/2014/main" id="{3D4AD775-B810-40C7-AFDC-2FBF5E78A8F2}"/>
                </a:ext>
              </a:extLst>
            </xdr:cNvPr>
            <xdr:cNvGraphicFramePr/>
          </xdr:nvGraphicFramePr>
          <xdr:xfrm>
            <a:off x="0" y="0"/>
            <a:ext cx="0" cy="0"/>
          </xdr:xfrm>
          <a:graphic>
            <a:graphicData uri="http://schemas.microsoft.com/office/drawing/2010/slicer">
              <sle:slicer xmlns:sle="http://schemas.microsoft.com/office/drawing/2010/slicer" name="influencer_category 1"/>
            </a:graphicData>
          </a:graphic>
        </xdr:graphicFrame>
      </mc:Choice>
      <mc:Fallback xmlns="">
        <xdr:sp macro="" textlink="">
          <xdr:nvSpPr>
            <xdr:cNvPr id="0" name=""/>
            <xdr:cNvSpPr>
              <a:spLocks noTextEdit="1"/>
            </xdr:cNvSpPr>
          </xdr:nvSpPr>
          <xdr:spPr>
            <a:xfrm>
              <a:off x="462795" y="3569633"/>
              <a:ext cx="1329690" cy="22668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137764</xdr:colOff>
      <xdr:row>62</xdr:row>
      <xdr:rowOff>177580</xdr:rowOff>
    </xdr:from>
    <xdr:to>
      <xdr:col>3</xdr:col>
      <xdr:colOff>143091</xdr:colOff>
      <xdr:row>71</xdr:row>
      <xdr:rowOff>13891</xdr:rowOff>
    </xdr:to>
    <mc:AlternateContent xmlns:mc="http://schemas.openxmlformats.org/markup-compatibility/2006" xmlns:tsle="http://schemas.microsoft.com/office/drawing/2012/timeslicer">
      <mc:Choice Requires="tsle">
        <xdr:graphicFrame macro="">
          <xdr:nvGraphicFramePr>
            <xdr:cNvPr id="32" name="start_date 2">
              <a:extLst>
                <a:ext uri="{FF2B5EF4-FFF2-40B4-BE49-F238E27FC236}">
                  <a16:creationId xmlns:a16="http://schemas.microsoft.com/office/drawing/2014/main" id="{B8D7FE56-EE40-490C-A40B-70D3B8B3DEF0}"/>
                </a:ext>
              </a:extLst>
            </xdr:cNvPr>
            <xdr:cNvGraphicFramePr/>
          </xdr:nvGraphicFramePr>
          <xdr:xfrm>
            <a:off x="0" y="0"/>
            <a:ext cx="0" cy="0"/>
          </xdr:xfrm>
          <a:graphic>
            <a:graphicData uri="http://schemas.microsoft.com/office/drawing/2012/timeslicer">
              <tsle:timeslicer name="start_date 2"/>
            </a:graphicData>
          </a:graphic>
        </xdr:graphicFrame>
      </mc:Choice>
      <mc:Fallback xmlns="">
        <xdr:sp macro="" textlink="">
          <xdr:nvSpPr>
            <xdr:cNvPr id="0" name=""/>
            <xdr:cNvSpPr>
              <a:spLocks noTextEdit="1"/>
            </xdr:cNvSpPr>
          </xdr:nvSpPr>
          <xdr:spPr>
            <a:xfrm>
              <a:off x="518764" y="11988580"/>
              <a:ext cx="1243577" cy="155081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34</xdr:col>
      <xdr:colOff>298175</xdr:colOff>
      <xdr:row>0</xdr:row>
      <xdr:rowOff>99392</xdr:rowOff>
    </xdr:from>
    <xdr:to>
      <xdr:col>35</xdr:col>
      <xdr:colOff>430697</xdr:colOff>
      <xdr:row>4</xdr:row>
      <xdr:rowOff>115957</xdr:rowOff>
    </xdr:to>
    <xdr:pic>
      <xdr:nvPicPr>
        <xdr:cNvPr id="34" name="Graphic 33" descr="Server with solid fill">
          <a:hlinkClick xmlns:r="http://schemas.openxmlformats.org/officeDocument/2006/relationships" r:id="rId12"/>
          <a:extLst>
            <a:ext uri="{FF2B5EF4-FFF2-40B4-BE49-F238E27FC236}">
              <a16:creationId xmlns:a16="http://schemas.microsoft.com/office/drawing/2014/main" id="{A07BD17C-EFC6-F151-D20A-3E0F35CF1CD4}"/>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0905305" y="99392"/>
          <a:ext cx="745435" cy="745435"/>
        </a:xfrm>
        <a:prstGeom prst="rect">
          <a:avLst/>
        </a:prstGeom>
      </xdr:spPr>
    </xdr:pic>
    <xdr:clientData/>
  </xdr:twoCellAnchor>
  <xdr:twoCellAnchor>
    <xdr:from>
      <xdr:col>4</xdr:col>
      <xdr:colOff>301198</xdr:colOff>
      <xdr:row>33</xdr:row>
      <xdr:rowOff>32545</xdr:rowOff>
    </xdr:from>
    <xdr:to>
      <xdr:col>11</xdr:col>
      <xdr:colOff>463652</xdr:colOff>
      <xdr:row>48</xdr:row>
      <xdr:rowOff>15089</xdr:rowOff>
    </xdr:to>
    <xdr:graphicFrame macro="">
      <xdr:nvGraphicFramePr>
        <xdr:cNvPr id="36" name="Chart 35">
          <a:extLst>
            <a:ext uri="{FF2B5EF4-FFF2-40B4-BE49-F238E27FC236}">
              <a16:creationId xmlns:a16="http://schemas.microsoft.com/office/drawing/2014/main" id="{0413FD17-6899-471A-9B17-4EAA7B220C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555644</xdr:colOff>
      <xdr:row>33</xdr:row>
      <xdr:rowOff>37885</xdr:rowOff>
    </xdr:from>
    <xdr:to>
      <xdr:col>19</xdr:col>
      <xdr:colOff>250844</xdr:colOff>
      <xdr:row>47</xdr:row>
      <xdr:rowOff>167899</xdr:rowOff>
    </xdr:to>
    <xdr:graphicFrame macro="">
      <xdr:nvGraphicFramePr>
        <xdr:cNvPr id="38" name="Chart 37">
          <a:extLst>
            <a:ext uri="{FF2B5EF4-FFF2-40B4-BE49-F238E27FC236}">
              <a16:creationId xmlns:a16="http://schemas.microsoft.com/office/drawing/2014/main" id="{5D6508B5-5026-490F-9BDD-ADF2B70849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lan" refreshedDate="46137.942424537039" createdVersion="8" refreshedVersion="8" minRefreshableVersion="3" recordCount="1339" xr:uid="{92CB35DD-BB7B-444A-841C-8259A1F5C8F9}">
  <cacheSource type="worksheet">
    <worksheetSource name="Table1"/>
  </cacheSource>
  <cacheFields count="15">
    <cacheField name="campaign_id" numFmtId="0">
      <sharedItems count="1336">
        <s v="CAMP100000"/>
        <s v="CAMP100001"/>
        <s v="CAMP100002"/>
        <s v="CAMP100003"/>
        <s v="CAMP100004"/>
        <s v="CAMP100005"/>
        <s v="CAMP100006"/>
        <s v="CAMP100007"/>
        <s v="CAMP100008"/>
        <s v="CAMP100009"/>
        <s v="CAMP100010"/>
        <s v="CAMP100011"/>
        <s v="CAMP100012"/>
        <s v="CAMP100013"/>
        <s v="CAMP100014"/>
        <s v="CAMP100015"/>
        <s v="CAMP100016"/>
        <s v="CAMP100017"/>
        <s v="CAMP100018"/>
        <s v="CAMP100019"/>
        <s v="CAMP100020"/>
        <s v="CAMP100021"/>
        <s v="CAMP100022"/>
        <s v="CAMP100023"/>
        <s v="CAMP100024"/>
        <s v="CAMP100025"/>
        <s v="CAMP100026"/>
        <s v="CAMP100027"/>
        <s v="CAMP100028"/>
        <s v="CAMP100030"/>
        <s v="CAMP100031"/>
        <s v="CAMP100032"/>
        <s v="CAMP100033"/>
        <s v="CAMP100034"/>
        <s v="CAMP100035"/>
        <s v="CAMP100036"/>
        <s v="CAMP100037"/>
        <s v="CAMP100038"/>
        <s v="CAMP100039"/>
        <s v="CAMP100040"/>
        <s v="CAMP100041"/>
        <s v="CAMP100042"/>
        <s v="CAMP100043"/>
        <s v="CAMP100044"/>
        <s v="CAMP100045"/>
        <s v="CAMP100046"/>
        <s v="CAMP100047"/>
        <s v="CAMP100048"/>
        <s v="CAMP100049"/>
        <s v="CAMP100050"/>
        <s v="CAMP100051"/>
        <s v="CAMP100052"/>
        <s v="CAMP100053"/>
        <s v="CAMP100054"/>
        <s v="CAMP100055"/>
        <s v="CAMP100056"/>
        <s v="CAMP100057"/>
        <s v="CAMP100058"/>
        <s v="CAMP100059"/>
        <s v="CAMP100060"/>
        <s v="CAMP100061"/>
        <s v="CAMP100062"/>
        <s v="CAMP100063"/>
        <s v="CAMP100064"/>
        <s v="CAMP100065"/>
        <s v="CAMP100066"/>
        <s v="CAMP100067"/>
        <s v="CAMP100068"/>
        <s v="CAMP100069"/>
        <s v="CAMP100070"/>
        <s v="CAMP100071"/>
        <s v="CAMP100072"/>
        <s v="CAMP100073"/>
        <s v="CAMP100074"/>
        <s v="CAMP100075"/>
        <s v="CAMP100076"/>
        <s v="CAMP100077"/>
        <s v="CAMP100078"/>
        <s v="CAMP100079"/>
        <s v="CAMP100080"/>
        <s v="CAMP100081"/>
        <s v="CAMP100082"/>
        <s v="CAMP100083"/>
        <s v="CAMP100084"/>
        <s v="CAMP100085"/>
        <s v="CAMP100086"/>
        <s v="CAMP100087"/>
        <s v="CAMP100088"/>
        <s v="CAMP100089"/>
        <s v="CAMP100090"/>
        <s v="CAMP100091"/>
        <s v="CAMP100092"/>
        <s v="CAMP100093"/>
        <s v="CAMP100094"/>
        <s v="CAMP100095"/>
        <s v="CAMP100096"/>
        <s v="CAMP100097"/>
        <s v="CAMP100098"/>
        <s v="CAMP100099"/>
        <s v="CAMP100100"/>
        <s v="CAMP100101"/>
        <s v="CAMP100102"/>
        <s v="CAMP100103"/>
        <s v="CAMP100104"/>
        <s v="CAMP100105"/>
        <s v="CAMP100106"/>
        <s v="CAMP100107"/>
        <s v="CAMP100108"/>
        <s v="CAMP100109"/>
        <s v="CAMP100110"/>
        <s v="CAMP100111"/>
        <s v="CAMP100112"/>
        <s v="CAMP100113"/>
        <s v="CAMP100114"/>
        <s v="CAMP100115"/>
        <s v="CAMP100116"/>
        <s v="CAMP100117"/>
        <s v="CAMP100118"/>
        <s v="CAMP100119"/>
        <s v="CAMP100120"/>
        <s v="CAMP100121"/>
        <s v="CAMP100122"/>
        <s v="CAMP100123"/>
        <s v="CAMP100124"/>
        <s v="CAMP100125"/>
        <s v="CAMP100126"/>
        <s v="CAMP100127"/>
        <s v="CAMP100128"/>
        <s v="CAMP100129"/>
        <s v="CAMP100130"/>
        <s v="CAMP100131"/>
        <s v="CAMP100132"/>
        <s v="CAMP100133"/>
        <s v="CAMP100134"/>
        <s v="CAMP100135"/>
        <s v="CAMP100136"/>
        <s v="CAMP100137"/>
        <s v="CAMP100138"/>
        <s v="CAMP100139"/>
        <s v="CAMP100140"/>
        <s v="CAMP100141"/>
        <s v="CAMP100142"/>
        <s v="CAMP100143"/>
        <s v="CAMP100144"/>
        <s v="CAMP100145"/>
        <s v="CAMP100146"/>
        <s v="CAMP100147"/>
        <s v="CAMP100148"/>
        <s v="CAMP100149"/>
        <s v="CAMP100150"/>
        <s v="CAMP100151"/>
        <s v="CAMP100152"/>
        <s v="CAMP100153"/>
        <s v="CAMP100154"/>
        <s v="CAMP100155"/>
        <s v="CAMP100156"/>
        <s v="CAMP100157"/>
        <s v="CAMP100158"/>
        <s v="CAMP100159"/>
        <s v="CAMP100160"/>
        <s v="CAMP100161"/>
        <s v="CAMP100162"/>
        <s v="CAMP100163"/>
        <s v="CAMP100164"/>
        <s v="CAMP100165"/>
        <s v="CAMP100166"/>
        <s v="CAMP100167"/>
        <s v="CAMP100168"/>
        <s v="CAMP100169"/>
        <s v="CAMP100170"/>
        <s v="CAMP100171"/>
        <s v="CAMP100172"/>
        <s v="CAMP100173"/>
        <s v="CAMP100174"/>
        <s v="CAMP100175"/>
        <s v="CAMP100176"/>
        <s v="CAMP100177"/>
        <s v="CAMP100178"/>
        <s v="CAMP100179"/>
        <s v="CAMP100180"/>
        <s v="CAMP100181"/>
        <s v="CAMP100182"/>
        <s v="CAMP100183"/>
        <s v="CAMP100184"/>
        <s v="CAMP100185"/>
        <s v="CAMP100186"/>
        <s v="CAMP100187"/>
        <s v="CAMP100188"/>
        <s v="CAMP100189"/>
        <s v="CAMP100190"/>
        <s v="CAMP100191"/>
        <s v="CAMP100192"/>
        <s v="CAMP100193"/>
        <s v="CAMP100194"/>
        <s v="CAMP100195"/>
        <s v="CAMP100196"/>
        <s v="CAMP100197"/>
        <s v="CAMP100198"/>
        <s v="CAMP100199"/>
        <s v="CAMP100200"/>
        <s v="CAMP100201"/>
        <s v="CAMP100202"/>
        <s v="CAMP100203"/>
        <s v="CAMP100204"/>
        <s v="CAMP100205"/>
        <s v="CAMP100206"/>
        <s v="CAMP100207"/>
        <s v="CAMP100208"/>
        <s v="CAMP100209"/>
        <s v="CAMP100210"/>
        <s v="CAMP100211"/>
        <s v="CAMP100212"/>
        <s v="CAMP100213"/>
        <s v="CAMP100214"/>
        <s v="CAMP100215"/>
        <s v="CAMP100216"/>
        <s v="CAMP100217"/>
        <s v="CAMP100218"/>
        <s v="CAMP100219"/>
        <s v="CAMP100220"/>
        <s v="CAMP100221"/>
        <s v="CAMP100222"/>
        <s v="CAMP100223"/>
        <s v="CAMP100224"/>
        <s v="CAMP100225"/>
        <s v="CAMP100226"/>
        <s v="CAMP100227"/>
        <s v="CAMP100228"/>
        <s v="CAMP100229"/>
        <s v="CAMP100230"/>
        <s v="CAMP100231"/>
        <s v="CAMP100232"/>
        <s v="CAMP100233"/>
        <s v="CAMP100234"/>
        <s v="CAMP100235"/>
        <s v="CAMP100236"/>
        <s v="CAMP100237"/>
        <s v="CAMP100238"/>
        <s v="CAMP100239"/>
        <s v="CAMP100240"/>
        <s v="CAMP100241"/>
        <s v="CAMP100242"/>
        <s v="CAMP100243"/>
        <s v="CAMP100244"/>
        <s v="CAMP100245"/>
        <s v="CAMP100246"/>
        <s v="CAMP100247"/>
        <s v="CAMP100248"/>
        <s v="CAMP100249"/>
        <s v="CAMP100250"/>
        <s v="CAMP100251"/>
        <s v="CAMP100252"/>
        <s v="CAMP100253"/>
        <s v="CAMP100254"/>
        <s v="CAMP100255"/>
        <s v="CAMP100256"/>
        <s v="CAMP100257"/>
        <s v="CAMP100258"/>
        <s v="CAMP100259"/>
        <s v="CAMP100260"/>
        <s v="CAMP100261"/>
        <s v="CAMP100262"/>
        <s v="CAMP100263"/>
        <s v="CAMP100264"/>
        <s v="CAMP100265"/>
        <s v="CAMP100266"/>
        <s v="CAMP100267"/>
        <s v="CAMP100268"/>
        <s v="CAMP100269"/>
        <s v="CAMP100270"/>
        <s v="CAMP100271"/>
        <s v="CAMP100272"/>
        <s v="CAMP100273"/>
        <s v="CAMP100274"/>
        <s v="CAMP100275"/>
        <s v="CAMP100276"/>
        <s v="CAMP100277"/>
        <s v="CAMP100278"/>
        <s v="CAMP100279"/>
        <s v="CAMP100280"/>
        <s v="CAMP100281"/>
        <s v="CAMP100282"/>
        <s v="CAMP100283"/>
        <s v="CAMP100284"/>
        <s v="CAMP100285"/>
        <s v="CAMP100286"/>
        <s v="CAMP100287"/>
        <s v="CAMP100288"/>
        <s v="CAMP100289"/>
        <s v="CAMP100290"/>
        <s v="CAMP100291"/>
        <s v="CAMP100292"/>
        <s v="CAMP100293"/>
        <s v="CAMP100294"/>
        <s v="CAMP100295"/>
        <s v="CAMP100296"/>
        <s v="CAMP100297"/>
        <s v="CAMP100298"/>
        <s v="CAMP100299"/>
        <s v="CAMP100300"/>
        <s v="CAMP100301"/>
        <s v="CAMP100302"/>
        <s v="CAMP100303"/>
        <s v="CAMP100304"/>
        <s v="CAMP100305"/>
        <s v="CAMP100306"/>
        <s v="CAMP100307"/>
        <s v="CAMP100308"/>
        <s v="CAMP100309"/>
        <s v="CAMP100310"/>
        <s v="CAMP100311"/>
        <s v="CAMP100312"/>
        <s v="CAMP100313"/>
        <s v="CAMP100314"/>
        <s v="CAMP100315"/>
        <s v="CAMP100316"/>
        <s v="CAMP100317"/>
        <s v="CAMP100318"/>
        <s v="CAMP100319"/>
        <s v="CAMP100320"/>
        <s v="CAMP100321"/>
        <s v="CAMP100322"/>
        <s v="CAMP100323"/>
        <s v="CAMP100324"/>
        <s v="CAMP100325"/>
        <s v="CAMP100326"/>
        <s v="CAMP100327"/>
        <s v="CAMP100328"/>
        <s v="CAMP100329"/>
        <s v="CAMP100330"/>
        <s v="CAMP100331"/>
        <s v="CAMP100332"/>
        <s v="CAMP100333"/>
        <s v="CAMP100334"/>
        <s v="CAMP100335"/>
        <s v="CAMP100336"/>
        <s v="CAMP100337"/>
        <s v="CAMP100338"/>
        <s v="CAMP100339"/>
        <s v="CAMP100340"/>
        <s v="CAMP100341"/>
        <s v="CAMP100342"/>
        <s v="CAMP100343"/>
        <s v="CAMP100344"/>
        <s v="CAMP100345"/>
        <s v="CAMP100346"/>
        <s v="CAMP100347"/>
        <s v="CAMP100348"/>
        <s v="CAMP100349"/>
        <s v="CAMP100350"/>
        <s v="CAMP100351"/>
        <s v="CAMP100352"/>
        <s v="CAMP100353"/>
        <s v="CAMP100354"/>
        <s v="CAMP100355"/>
        <s v="CAMP100356"/>
        <s v="CAMP100357"/>
        <s v="CAMP100358"/>
        <s v="CAMP100359"/>
        <s v="CAMP100360"/>
        <s v="CAMP100361"/>
        <s v="CAMP100362"/>
        <s v="CAMP100363"/>
        <s v="CAMP100364"/>
        <s v="CAMP100365"/>
        <s v="CAMP100366"/>
        <s v="CAMP100367"/>
        <s v="CAMP100368"/>
        <s v="CAMP100369"/>
        <s v="CAMP100370"/>
        <s v="CAMP100371"/>
        <s v="CAMP100372"/>
        <s v="CAMP100373"/>
        <s v="CAMP100374"/>
        <s v="CAMP100375"/>
        <s v="CAMP100376"/>
        <s v="CAMP100377"/>
        <s v="CAMP100378"/>
        <s v="CAMP100379"/>
        <s v="CAMP100380"/>
        <s v="CAMP100381"/>
        <s v="CAMP100382"/>
        <s v="CAMP100383"/>
        <s v="CAMP100384"/>
        <s v="CAMP100385"/>
        <s v="CAMP100386"/>
        <s v="CAMP100387"/>
        <s v="CAMP100388"/>
        <s v="CAMP100389"/>
        <s v="CAMP100390"/>
        <s v="CAMP100391"/>
        <s v="CAMP100392"/>
        <s v="CAMP100393"/>
        <s v="CAMP100394"/>
        <s v="CAMP100395"/>
        <s v="CAMP100396"/>
        <s v="CAMP100397"/>
        <s v="CAMP100398"/>
        <s v="CAMP100399"/>
        <s v="CAMP100400"/>
        <s v="CAMP100401"/>
        <s v="CAMP100402"/>
        <s v="CAMP100403"/>
        <s v="CAMP100404"/>
        <s v="CAMP100405"/>
        <s v="CAMP100406"/>
        <s v="CAMP100407"/>
        <s v="CAMP100408"/>
        <s v="CAMP100409"/>
        <s v="CAMP100410"/>
        <s v="CAMP100411"/>
        <s v="CAMP100412"/>
        <s v="CAMP100413"/>
        <s v="CAMP100414"/>
        <s v="CAMP100415"/>
        <s v="CAMP100416"/>
        <s v="CAMP100417"/>
        <s v="CAMP100418"/>
        <s v="CAMP100419"/>
        <s v="CAMP100420"/>
        <s v="CAMP100421"/>
        <s v="CAMP100422"/>
        <s v="CAMP100423"/>
        <s v="CAMP100424"/>
        <s v="CAMP100425"/>
        <s v="CAMP100426"/>
        <s v="CAMP100427"/>
        <s v="CAMP100428"/>
        <s v="CAMP100429"/>
        <s v="CAMP100430"/>
        <s v="CAMP100431"/>
        <s v="CAMP100432"/>
        <s v="CAMP100433"/>
        <s v="CAMP100434"/>
        <s v="CAMP100435"/>
        <s v="CAMP100436"/>
        <s v="CAMP100437"/>
        <s v="CAMP100438"/>
        <s v="CAMP100439"/>
        <s v="CAMP100440"/>
        <s v="CAMP100441"/>
        <s v="CAMP100442"/>
        <s v="CAMP100443"/>
        <s v="CAMP100444"/>
        <s v="CAMP100445"/>
        <s v="CAMP100446"/>
        <s v="CAMP100447"/>
        <s v="CAMP100448"/>
        <s v="CAMP100449"/>
        <s v="CAMP100450"/>
        <s v="CAMP100451"/>
        <s v="CAMP100452"/>
        <s v="CAMP100453"/>
        <s v="CAMP100454"/>
        <s v="CAMP100455"/>
        <s v="CAMP100456"/>
        <s v="CAMP100457"/>
        <s v="CAMP100458"/>
        <s v="CAMP100459"/>
        <s v="CAMP100460"/>
        <s v="CAMP100461"/>
        <s v="CAMP100462"/>
        <s v="CAMP100463"/>
        <s v="CAMP100464"/>
        <s v="CAMP100465"/>
        <s v="CAMP100466"/>
        <s v="CAMP100467"/>
        <s v="CAMP100468"/>
        <s v="CAMP100469"/>
        <s v="CAMP100470"/>
        <s v="CAMP100471"/>
        <s v="CAMP100472"/>
        <s v="CAMP100473"/>
        <s v="CAMP100474"/>
        <s v="CAMP100475"/>
        <s v="CAMP100476"/>
        <s v="CAMP100477"/>
        <s v="CAMP100478"/>
        <s v="CAMP100479"/>
        <s v="CAMP100480"/>
        <s v="CAMP100481"/>
        <s v="CAMP100482"/>
        <s v="CAMP100483"/>
        <s v="CAMP100484"/>
        <s v="CAMP100485"/>
        <s v="CAMP100486"/>
        <s v="CAMP100487"/>
        <s v="CAMP100488"/>
        <s v="CAMP100489"/>
        <s v="CAMP100490"/>
        <s v="CAMP100491"/>
        <s v="CAMP100492"/>
        <s v="CAMP100493"/>
        <s v="CAMP100494"/>
        <s v="CAMP100495"/>
        <s v="CAMP100496"/>
        <s v="CAMP100497"/>
        <s v="CAMP100498"/>
        <s v="CAMP100499"/>
        <s v="CAMP100500"/>
        <s v="CAMP100501"/>
        <s v="CAMP100502"/>
        <s v="CAMP100503"/>
        <s v="CAMP100504"/>
        <s v="CAMP100505"/>
        <s v="CAMP100506"/>
        <s v="CAMP100507"/>
        <s v="CAMP100508"/>
        <s v="CAMP100509"/>
        <s v="CAMP100510"/>
        <s v="CAMP100511"/>
        <s v="CAMP100512"/>
        <s v="CAMP100513"/>
        <s v="CAMP100514"/>
        <s v="CAMP100515"/>
        <s v="CAMP100516"/>
        <s v="CAMP100517"/>
        <s v="CAMP100518"/>
        <s v="CAMP100519"/>
        <s v="CAMP100520"/>
        <s v="CAMP100521"/>
        <s v="CAMP100522"/>
        <s v="CAMP100523"/>
        <s v="CAMP100524"/>
        <s v="CAMP100525"/>
        <s v="CAMP100526"/>
        <s v="CAMP100527"/>
        <s v="CAMP100528"/>
        <s v="CAMP100529"/>
        <s v="CAMP100530"/>
        <s v="CAMP100531"/>
        <s v="CAMP100532"/>
        <s v="CAMP100533"/>
        <s v="CAMP100534"/>
        <s v="CAMP100535"/>
        <s v="CAMP100536"/>
        <s v="CAMP100537"/>
        <s v="CAMP100538"/>
        <s v="CAMP100539"/>
        <s v="CAMP100540"/>
        <s v="CAMP100541"/>
        <s v="CAMP100542"/>
        <s v="CAMP100543"/>
        <s v="CAMP100544"/>
        <s v="CAMP100545"/>
        <s v="CAMP100546"/>
        <s v="CAMP100547"/>
        <s v="CAMP100548"/>
        <s v="CAMP100549"/>
        <s v="CAMP100550"/>
        <s v="CAMP100551"/>
        <s v="CAMP100552"/>
        <s v="CAMP100553"/>
        <s v="CAMP100554"/>
        <s v="CAMP100555"/>
        <s v="CAMP100556"/>
        <s v="CAMP100557"/>
        <s v="CAMP100558"/>
        <s v="CAMP100559"/>
        <s v="CAMP100560"/>
        <s v="CAMP100561"/>
        <s v="CAMP100562"/>
        <s v="CAMP100563"/>
        <s v="CAMP100564"/>
        <s v="CAMP100565"/>
        <s v="CAMP100566"/>
        <s v="CAMP100567"/>
        <s v="CAMP100568"/>
        <s v="CAMP100569"/>
        <s v="CAMP100570"/>
        <s v="CAMP100571"/>
        <s v="CAMP100572"/>
        <s v="CAMP100573"/>
        <s v="CAMP100574"/>
        <s v="CAMP100575"/>
        <s v="CAMP100576"/>
        <s v="CAMP100577"/>
        <s v="CAMP100578"/>
        <s v="CAMP100579"/>
        <s v="CAMP100580"/>
        <s v="CAMP100581"/>
        <s v="CAMP100582"/>
        <s v="CAMP100583"/>
        <s v="CAMP100584"/>
        <s v="CAMP100585"/>
        <s v="CAMP100586"/>
        <s v="CAMP100587"/>
        <s v="CAMP100588"/>
        <s v="CAMP100589"/>
        <s v="CAMP100590"/>
        <s v="CAMP100591"/>
        <s v="CAMP100592"/>
        <s v="CAMP100593"/>
        <s v="CAMP100594"/>
        <s v="CAMP100595"/>
        <s v="CAMP100596"/>
        <s v="CAMP100597"/>
        <s v="CAMP100598"/>
        <s v="CAMP100599"/>
        <s v="CAMP100600"/>
        <s v="CAMP100601"/>
        <s v="CAMP100602"/>
        <s v="CAMP100603"/>
        <s v="CAMP100604"/>
        <s v="CAMP100605"/>
        <s v="CAMP100606"/>
        <s v="CAMP100607"/>
        <s v="CAMP100608"/>
        <s v="CAMP100609"/>
        <s v="CAMP100610"/>
        <s v="CAMP100611"/>
        <s v="CAMP100612"/>
        <s v="CAMP100613"/>
        <s v="CAMP100614"/>
        <s v="CAMP100615"/>
        <s v="CAMP100616"/>
        <s v="CAMP100617"/>
        <s v="CAMP100618"/>
        <s v="CAMP100619"/>
        <s v="CAMP100620"/>
        <s v="CAMP100621"/>
        <s v="CAMP100622"/>
        <s v="CAMP100623"/>
        <s v="CAMP100624"/>
        <s v="CAMP100625"/>
        <s v="CAMP100626"/>
        <s v="CAMP100627"/>
        <s v="CAMP100628"/>
        <s v="CAMP100629"/>
        <s v="CAMP100630"/>
        <s v="CAMP100631"/>
        <s v="CAMP100632"/>
        <s v="CAMP100633"/>
        <s v="CAMP100634"/>
        <s v="CAMP100635"/>
        <s v="CAMP100636"/>
        <s v="CAMP100637"/>
        <s v="CAMP100638"/>
        <s v="CAMP100639"/>
        <s v="CAMP100640"/>
        <s v="CAMP100641"/>
        <s v="CAMP100642"/>
        <s v="CAMP100643"/>
        <s v="CAMP100644"/>
        <s v="CAMP100645"/>
        <s v="CAMP100646"/>
        <s v="CAMP100647"/>
        <s v="CAMP100648"/>
        <s v="CAMP100649"/>
        <s v="CAMP100650"/>
        <s v="CAMP100651"/>
        <s v="CAMP100652"/>
        <s v="CAMP100653"/>
        <s v="CAMP100654"/>
        <s v="CAMP100655"/>
        <s v="CAMP100656"/>
        <s v="CAMP100657"/>
        <s v="CAMP100658"/>
        <s v="CAMP100659"/>
        <s v="CAMP100660"/>
        <s v="CAMP100661"/>
        <s v="CAMP100662"/>
        <s v="CAMP100663"/>
        <s v="CAMP100664"/>
        <s v="CAMP100665"/>
        <s v="CAMP100666"/>
        <s v="CAMP100667"/>
        <s v="CAMP100668"/>
        <s v="CAMP100669"/>
        <s v="CAMP100670"/>
        <s v="CAMP100671"/>
        <s v="CAMP100672"/>
        <s v="CAMP100673"/>
        <s v="CAMP100674"/>
        <s v="CAMP100675"/>
        <s v="CAMP100676"/>
        <s v="CAMP100677"/>
        <s v="CAMP100678"/>
        <s v="CAMP100679"/>
        <s v="CAMP100680"/>
        <s v="CAMP100681"/>
        <s v="CAMP100682"/>
        <s v="CAMP100683"/>
        <s v="CAMP100684"/>
        <s v="CAMP100685"/>
        <s v="CAMP100686"/>
        <s v="CAMP100687"/>
        <s v="CAMP100688"/>
        <s v="CAMP100689"/>
        <s v="CAMP100690"/>
        <s v="CAMP100691"/>
        <s v="CAMP100692"/>
        <s v="CAMP100693"/>
        <s v="CAMP100694"/>
        <s v="CAMP100695"/>
        <s v="CAMP100696"/>
        <s v="CAMP100697"/>
        <s v="CAMP100698"/>
        <s v="CAMP100699"/>
        <s v="CAMP100700"/>
        <s v="CAMP100701"/>
        <s v="CAMP100702"/>
        <s v="CAMP100703"/>
        <s v="CAMP100704"/>
        <s v="CAMP100705"/>
        <s v="CAMP100706"/>
        <s v="CAMP100707"/>
        <s v="CAMP100708"/>
        <s v="CAMP100709"/>
        <s v="CAMP100710"/>
        <s v="CAMP100711"/>
        <s v="CAMP100712"/>
        <s v="CAMP100713"/>
        <s v="CAMP100714"/>
        <s v="CAMP100715"/>
        <s v="CAMP100716"/>
        <s v="CAMP100717"/>
        <s v="CAMP100718"/>
        <s v="CAMP100719"/>
        <s v="CAMP100720"/>
        <s v="CAMP100721"/>
        <s v="CAMP100722"/>
        <s v="CAMP100723"/>
        <s v="CAMP100724"/>
        <s v="CAMP100725"/>
        <s v="CAMP100726"/>
        <s v="CAMP100727"/>
        <s v="CAMP100728"/>
        <s v="CAMP100729"/>
        <s v="CAMP100730"/>
        <s v="CAMP100731"/>
        <s v="CAMP100732"/>
        <s v="CAMP100733"/>
        <s v="CAMP100734"/>
        <s v="CAMP100735"/>
        <s v="CAMP100736"/>
        <s v="CAMP100737"/>
        <s v="CAMP100738"/>
        <s v="CAMP100739"/>
        <s v="CAMP100740"/>
        <s v="CAMP100741"/>
        <s v="CAMP100742"/>
        <s v="CAMP100743"/>
        <s v="CAMP100744"/>
        <s v="CAMP100745"/>
        <s v="CAMP100746"/>
        <s v="CAMP100747"/>
        <s v="CAMP100748"/>
        <s v="CAMP100749"/>
        <s v="CAMP100750"/>
        <s v="CAMP100751"/>
        <s v="CAMP100752"/>
        <s v="CAMP100753"/>
        <s v="CAMP100754"/>
        <s v="CAMP100755"/>
        <s v="CAMP100756"/>
        <s v="CAMP100757"/>
        <s v="CAMP100758"/>
        <s v="CAMP100759"/>
        <s v="CAMP100760"/>
        <s v="CAMP100761"/>
        <s v="CAMP100762"/>
        <s v="CAMP100763"/>
        <s v="CAMP100764"/>
        <s v="CAMP100765"/>
        <s v="CAMP100766"/>
        <s v="CAMP100767"/>
        <s v="CAMP100768"/>
        <s v="CAMP100769"/>
        <s v="CAMP100770"/>
        <s v="CAMP100771"/>
        <s v="CAMP100772"/>
        <s v="CAMP100773"/>
        <s v="CAMP100774"/>
        <s v="CAMP100775"/>
        <s v="CAMP100776"/>
        <s v="CAMP100777"/>
        <s v="CAMP100778"/>
        <s v="CAMP100779"/>
        <s v="CAMP100780"/>
        <s v="CAMP100781"/>
        <s v="CAMP100782"/>
        <s v="CAMP100783"/>
        <s v="CAMP100784"/>
        <s v="CAMP100785"/>
        <s v="CAMP100786"/>
        <s v="CAMP100787"/>
        <s v="CAMP100788"/>
        <s v="CAMP100789"/>
        <s v="CAMP100790"/>
        <s v="CAMP100791"/>
        <s v="CAMP100792"/>
        <s v="CAMP100793"/>
        <s v="CAMP100794"/>
        <s v="CAMP100795"/>
        <s v="CAMP100796"/>
        <s v="CAMP100797"/>
        <s v="CAMP100798"/>
        <s v="CAMP100799"/>
        <s v="CAMP100800"/>
        <s v="CAMP100801"/>
        <s v="CAMP100802"/>
        <s v="CAMP100803"/>
        <s v="CAMP100804"/>
        <s v="CAMP100805"/>
        <s v="CAMP100806"/>
        <s v="CAMP100807"/>
        <s v="CAMP100808"/>
        <s v="CAMP100809"/>
        <s v="CAMP100810"/>
        <s v="CAMP100811"/>
        <s v="CAMP100812"/>
        <s v="CAMP100813"/>
        <s v="CAMP100814"/>
        <s v="CAMP100815"/>
        <s v="CAMP100816"/>
        <s v="CAMP100817"/>
        <s v="CAMP100818"/>
        <s v="CAMP100819"/>
        <s v="CAMP100820"/>
        <s v="CAMP100821"/>
        <s v="CAMP100822"/>
        <s v="CAMP100823"/>
        <s v="CAMP100824"/>
        <s v="CAMP100825"/>
        <s v="CAMP100826"/>
        <s v="CAMP100827"/>
        <s v="CAMP100828"/>
        <s v="CAMP100829"/>
        <s v="CAMP100830"/>
        <s v="CAMP100831"/>
        <s v="CAMP100832"/>
        <s v="CAMP100833"/>
        <s v="CAMP100834"/>
        <s v="CAMP100835"/>
        <s v="CAMP100836"/>
        <s v="CAMP100837"/>
        <s v="CAMP100838"/>
        <s v="CAMP100839"/>
        <s v="CAMP100840"/>
        <s v="CAMP100841"/>
        <s v="CAMP100842"/>
        <s v="CAMP100843"/>
        <s v="CAMP100844"/>
        <s v="CAMP100845"/>
        <s v="CAMP100846"/>
        <s v="CAMP100847"/>
        <s v="CAMP100848"/>
        <s v="CAMP100849"/>
        <s v="CAMP100850"/>
        <s v="CAMP100851"/>
        <s v="CAMP100852"/>
        <s v="CAMP100853"/>
        <s v="CAMP100854"/>
        <s v="CAMP100855"/>
        <s v="CAMP100856"/>
        <s v="CAMP100857"/>
        <s v="CAMP100858"/>
        <s v="CAMP100859"/>
        <s v="CAMP100860"/>
        <s v="CAMP100861"/>
        <s v="CAMP100862"/>
        <s v="CAMP100863"/>
        <s v="CAMP100864"/>
        <s v="CAMP100865"/>
        <s v="CAMP100866"/>
        <s v="CAMP100867"/>
        <s v="CAMP100868"/>
        <s v="CAMP100869"/>
        <s v="CAMP100870"/>
        <s v="CAMP100871"/>
        <s v="CAMP100872"/>
        <s v="CAMP100873"/>
        <s v="CAMP100874"/>
        <s v="CAMP100875"/>
        <s v="CAMP100876"/>
        <s v="CAMP100877"/>
        <s v="CAMP100878"/>
        <s v="CAMP100879"/>
        <s v="CAMP100880"/>
        <s v="CAMP100881"/>
        <s v="CAMP100882"/>
        <s v="CAMP100883"/>
        <s v="CAMP100884"/>
        <s v="CAMP100885"/>
        <s v="CAMP100886"/>
        <s v="CAMP100887"/>
        <s v="CAMP100888"/>
        <s v="CAMP100889"/>
        <s v="CAMP100890"/>
        <s v="CAMP100891"/>
        <s v="CAMP100892"/>
        <s v="CAMP100893"/>
        <s v="CAMP100894"/>
        <s v="CAMP100895"/>
        <s v="CAMP100896"/>
        <s v="CAMP100897"/>
        <s v="CAMP100898"/>
        <s v="CAMP100899"/>
        <s v="CAMP100900"/>
        <s v="CAMP100901"/>
        <s v="CAMP100902"/>
        <s v="CAMP100903"/>
        <s v="CAMP100904"/>
        <s v="CAMP100905"/>
        <s v="CAMP100906"/>
        <s v="CAMP100907"/>
        <s v="CAMP100908"/>
        <s v="CAMP100909"/>
        <s v="CAMP100910"/>
        <s v="CAMP100911"/>
        <s v="CAMP100912"/>
        <s v="CAMP100913"/>
        <s v="CAMP100914"/>
        <s v="CAMP100915"/>
        <s v="CAMP100916"/>
        <s v="CAMP100917"/>
        <s v="CAMP100918"/>
        <s v="CAMP100919"/>
        <s v="CAMP100920"/>
        <s v="CAMP100921"/>
        <s v="CAMP100922"/>
        <s v="CAMP100923"/>
        <s v="CAMP100924"/>
        <s v="CAMP100925"/>
        <s v="CAMP100926"/>
        <s v="CAMP100927"/>
        <s v="CAMP100928"/>
        <s v="CAMP100929"/>
        <s v="CAMP100930"/>
        <s v="CAMP100931"/>
        <s v="CAMP100932"/>
        <s v="CAMP100933"/>
        <s v="CAMP100934"/>
        <s v="CAMP100935"/>
        <s v="CAMP100936"/>
        <s v="CAMP100937"/>
        <s v="CAMP100938"/>
        <s v="CAMP100939"/>
        <s v="CAMP100940"/>
        <s v="CAMP100941"/>
        <s v="CAMP100942"/>
        <s v="CAMP100943"/>
        <s v="CAMP100944"/>
        <s v="CAMP100945"/>
        <s v="CAMP100946"/>
        <s v="CAMP100947"/>
        <s v="CAMP100948"/>
        <s v="CAMP100949"/>
        <s v="CAMP100950"/>
        <s v="CAMP100951"/>
        <s v="CAMP100952"/>
        <s v="CAMP100953"/>
        <s v="CAMP100954"/>
        <s v="CAMP100955"/>
        <s v="CAMP100956"/>
        <s v="CAMP100957"/>
        <s v="CAMP100958"/>
        <s v="CAMP100959"/>
        <s v="CAMP100960"/>
        <s v="CAMP100961"/>
        <s v="CAMP100962"/>
        <s v="CAMP100963"/>
        <s v="CAMP100964"/>
        <s v="CAMP100965"/>
        <s v="CAMP100966"/>
        <s v="CAMP100967"/>
        <s v="CAMP100968"/>
        <s v="CAMP100969"/>
        <s v="CAMP100970"/>
        <s v="CAMP100971"/>
        <s v="CAMP100972"/>
        <s v="CAMP100973"/>
        <s v="CAMP100974"/>
        <s v="CAMP100975"/>
        <s v="CAMP100976"/>
        <s v="CAMP100977"/>
        <s v="CAMP100978"/>
        <s v="CAMP100979"/>
        <s v="CAMP100980"/>
        <s v="CAMP100981"/>
        <s v="CAMP100982"/>
        <s v="CAMP100983"/>
        <s v="CAMP100984"/>
        <s v="CAMP100985"/>
        <s v="CAMP100986"/>
        <s v="CAMP100987"/>
        <s v="CAMP100988"/>
        <s v="CAMP100989"/>
        <s v="CAMP100990"/>
        <s v="CAMP100991"/>
        <s v="CAMP100992"/>
        <s v="CAMP100993"/>
        <s v="CAMP100994"/>
        <s v="CAMP100995"/>
        <s v="CAMP100996"/>
        <s v="CAMP100997"/>
        <s v="CAMP100998"/>
        <s v="CAMP100999"/>
        <s v="CAMP101000"/>
        <s v="CAMP101001"/>
        <s v="CAMP101002"/>
        <s v="CAMP101003"/>
        <s v="CAMP101004"/>
        <s v="CAMP101005"/>
        <s v="CAMP101006"/>
        <s v="CAMP101007"/>
        <s v="CAMP101008"/>
        <s v="CAMP101009"/>
        <s v="CAMP101010"/>
        <s v="CAMP101011"/>
        <s v="CAMP101012"/>
        <s v="CAMP101013"/>
        <s v="CAMP101014"/>
        <s v="CAMP101015"/>
        <s v="CAMP101016"/>
        <s v="CAMP101017"/>
        <s v="CAMP101018"/>
        <s v="CAMP101019"/>
        <s v="CAMP101020"/>
        <s v="CAMP101021"/>
        <s v="CAMP101022"/>
        <s v="CAMP101023"/>
        <s v="CAMP101024"/>
        <s v="CAMP101025"/>
        <s v="CAMP101026"/>
        <s v="CAMP101027"/>
        <s v="CAMP101028"/>
        <s v="CAMP101029"/>
        <s v="CAMP101030"/>
        <s v="CAMP101031"/>
        <s v="CAMP101032"/>
        <s v="CAMP101033"/>
        <s v="CAMP101034"/>
        <s v="CAMP101035"/>
        <s v="CAMP101036"/>
        <s v="CAMP101037"/>
        <s v="CAMP101038"/>
        <s v="CAMP101039"/>
        <s v="CAMP101040"/>
        <s v="CAMP101041"/>
        <s v="CAMP101042"/>
        <s v="CAMP101043"/>
        <s v="CAMP101044"/>
        <s v="CAMP101045"/>
        <s v="CAMP101046"/>
        <s v="CAMP101047"/>
        <s v="CAMP101048"/>
        <s v="CAMP101049"/>
        <s v="CAMP101050"/>
        <s v="CAMP101051"/>
        <s v="CAMP101052"/>
        <s v="CAMP101053"/>
        <s v="CAMP101054"/>
        <s v="CAMP101055"/>
        <s v="CAMP101056"/>
        <s v="CAMP101057"/>
        <s v="CAMP101058"/>
        <s v="CAMP101059"/>
        <s v="CAMP101060"/>
        <s v="CAMP101061"/>
        <s v="CAMP101062"/>
        <s v="CAMP101063"/>
        <s v="CAMP101064"/>
        <s v="CAMP101065"/>
        <s v="CAMP101066"/>
        <s v="CAMP101067"/>
        <s v="CAMP101068"/>
        <s v="CAMP101069"/>
        <s v="CAMP101070"/>
        <s v="CAMP101071"/>
        <s v="CAMP101072"/>
        <s v="CAMP101073"/>
        <s v="CAMP101074"/>
        <s v="CAMP101075"/>
        <s v="CAMP101076"/>
        <s v="CAMP101077"/>
        <s v="CAMP101078"/>
        <s v="CAMP101079"/>
        <s v="CAMP101080"/>
        <s v="CAMP101081"/>
        <s v="CAMP101082"/>
        <s v="CAMP101083"/>
        <s v="CAMP101084"/>
        <s v="CAMP101085"/>
        <s v="CAMP101086"/>
        <s v="CAMP101087"/>
        <s v="CAMP101088"/>
        <s v="CAMP101089"/>
        <s v="CAMP101090"/>
        <s v="CAMP101091"/>
        <s v="CAMP101092"/>
        <s v="CAMP101093"/>
        <s v="CAMP101094"/>
        <s v="CAMP101095"/>
        <s v="CAMP101096"/>
        <s v="CAMP101097"/>
        <s v="CAMP101098"/>
        <s v="CAMP101099"/>
        <s v="CAMP101100"/>
        <s v="CAMP101101"/>
        <s v="CAMP101102"/>
        <s v="CAMP101103"/>
        <s v="CAMP101104"/>
        <s v="CAMP101105"/>
        <s v="CAMP101106"/>
        <s v="CAMP101107"/>
        <s v="CAMP101108"/>
        <s v="CAMP101109"/>
        <s v="CAMP101110"/>
        <s v="CAMP101111"/>
        <s v="CAMP101112"/>
        <s v="CAMP101113"/>
        <s v="CAMP101114"/>
        <s v="CAMP101115"/>
        <s v="CAMP101116"/>
        <s v="CAMP101117"/>
        <s v="CAMP101118"/>
        <s v="CAMP101119"/>
        <s v="CAMP101120"/>
        <s v="CAMP101121"/>
        <s v="CAMP101122"/>
        <s v="CAMP101123"/>
        <s v="CAMP101124"/>
        <s v="CAMP101125"/>
        <s v="CAMP101126"/>
        <s v="CAMP101127"/>
        <s v="CAMP101128"/>
        <s v="CAMP101129"/>
        <s v="CAMP101130"/>
        <s v="CAMP101131"/>
        <s v="CAMP101132"/>
        <s v="CAMP101133"/>
        <s v="CAMP101134"/>
        <s v="CAMP101135"/>
        <s v="CAMP101136"/>
        <s v="CAMP101137"/>
        <s v="CAMP101138"/>
        <s v="CAMP101139"/>
        <s v="CAMP101140"/>
        <s v="CAMP101141"/>
        <s v="CAMP101142"/>
        <s v="CAMP101143"/>
        <s v="CAMP101144"/>
        <s v="CAMP101145"/>
        <s v="CAMP101146"/>
        <s v="CAMP101147"/>
        <s v="CAMP101148"/>
        <s v="CAMP101149"/>
        <s v="CAMP101150"/>
        <s v="CAMP101151"/>
        <s v="CAMP101152"/>
        <s v="CAMP101153"/>
        <s v="CAMP101154"/>
        <s v="CAMP101155"/>
        <s v="CAMP101156"/>
        <s v="CAMP101157"/>
        <s v="CAMP101158"/>
        <s v="CAMP101159"/>
        <s v="CAMP101160"/>
        <s v="CAMP101161"/>
        <s v="CAMP101162"/>
        <s v="CAMP101163"/>
        <s v="CAMP101164"/>
        <s v="CAMP101165"/>
        <s v="CAMP101166"/>
        <s v="CAMP101167"/>
        <s v="CAMP101168"/>
        <s v="CAMP101169"/>
        <s v="CAMP101170"/>
        <s v="CAMP101171"/>
        <s v="CAMP101172"/>
        <s v="CAMP101173"/>
        <s v="CAMP101174"/>
        <s v="CAMP101175"/>
        <s v="CAMP101176"/>
        <s v="CAMP101177"/>
        <s v="CAMP101178"/>
        <s v="CAMP101179"/>
        <s v="CAMP101180"/>
        <s v="CAMP101181"/>
        <s v="CAMP101182"/>
        <s v="CAMP101183"/>
        <s v="CAMP101184"/>
        <s v="CAMP101185"/>
        <s v="CAMP101186"/>
        <s v="CAMP101187"/>
        <s v="CAMP101188"/>
        <s v="CAMP101189"/>
        <s v="CAMP101190"/>
        <s v="CAMP101191"/>
        <s v="CAMP101192"/>
        <s v="CAMP101193"/>
        <s v="CAMP101194"/>
        <s v="CAMP101195"/>
        <s v="CAMP101196"/>
        <s v="CAMP101197"/>
        <s v="CAMP101198"/>
        <s v="CAMP101199"/>
        <s v="CAMP101200"/>
        <s v="CAMP101201"/>
        <s v="CAMP101202"/>
        <s v="CAMP101203"/>
        <s v="CAMP101204"/>
        <s v="CAMP101205"/>
        <s v="CAMP101206"/>
        <s v="CAMP101207"/>
        <s v="CAMP101208"/>
        <s v="CAMP101209"/>
        <s v="CAMP101210"/>
        <s v="CAMP101211"/>
        <s v="CAMP101212"/>
        <s v="CAMP101213"/>
        <s v="CAMP101214"/>
        <s v="CAMP101215"/>
        <s v="CAMP101216"/>
        <s v="CAMP101217"/>
        <s v="CAMP101218"/>
        <s v="CAMP101219"/>
        <s v="CAMP101220"/>
        <s v="CAMP101221"/>
        <s v="CAMP101222"/>
        <s v="CAMP101223"/>
        <s v="CAMP101224"/>
        <s v="CAMP101225"/>
        <s v="CAMP101226"/>
        <s v="CAMP101227"/>
        <s v="CAMP101228"/>
        <s v="CAMP101229"/>
        <s v="CAMP101230"/>
        <s v="CAMP101231"/>
        <s v="CAMP101232"/>
        <s v="CAMP101233"/>
        <s v="CAMP101234"/>
        <s v="CAMP101235"/>
        <s v="CAMP101236"/>
        <s v="CAMP101237"/>
        <s v="CAMP101238"/>
        <s v="CAMP101239"/>
        <s v="CAMP101240"/>
        <s v="CAMP101241"/>
        <s v="CAMP101242"/>
        <s v="CAMP101243"/>
        <s v="CAMP101244"/>
        <s v="CAMP101245"/>
        <s v="CAMP101246"/>
        <s v="CAMP101247"/>
        <s v="CAMP101248"/>
        <s v="CAMP101249"/>
        <s v="CAMP101250"/>
        <s v="CAMP101251"/>
        <s v="CAMP101252"/>
        <s v="CAMP101253"/>
        <s v="CAMP101254"/>
        <s v="CAMP101255"/>
        <s v="CAMP101256"/>
        <s v="CAMP101257"/>
        <s v="CAMP101258"/>
        <s v="CAMP101259"/>
        <s v="CAMP101260"/>
        <s v="CAMP101261"/>
        <s v="CAMP101262"/>
        <s v="CAMP101263"/>
        <s v="CAMP101264"/>
        <s v="CAMP101265"/>
        <s v="CAMP101266"/>
        <s v="CAMP101267"/>
        <s v="CAMP101268"/>
        <s v="CAMP101269"/>
        <s v="CAMP101270"/>
        <s v="CAMP101271"/>
        <s v="CAMP101272"/>
        <s v="CAMP101273"/>
        <s v="CAMP101274"/>
        <s v="CAMP101275"/>
        <s v="CAMP101276"/>
        <s v="CAMP101277"/>
        <s v="CAMP101278"/>
        <s v="CAMP101279"/>
        <s v="CAMP101280"/>
        <s v="CAMP101281"/>
        <s v="CAMP101282"/>
        <s v="CAMP101283"/>
        <s v="CAMP101284"/>
        <s v="CAMP101285"/>
        <s v="CAMP101286"/>
        <s v="CAMP101287"/>
        <s v="CAMP101288"/>
        <s v="CAMP101289"/>
        <s v="CAMP101290"/>
        <s v="CAMP101291"/>
        <s v="CAMP101292"/>
        <s v="CAMP101293"/>
        <s v="CAMP101294"/>
        <s v="CAMP101295"/>
        <s v="CAMP101296"/>
        <s v="CAMP101297"/>
        <s v="CAMP101298"/>
        <s v="CAMP101299"/>
        <s v="CAMP101300"/>
        <s v="CAMP101301"/>
        <s v="CAMP101302"/>
        <s v="CAMP101303"/>
        <s v="CAMP101304"/>
        <s v="CAMP101305"/>
        <s v="CAMP101306"/>
        <s v="CAMP101307"/>
        <s v="CAMP101308"/>
        <s v="CAMP101309"/>
        <s v="CAMP101310"/>
        <s v="CAMP101311"/>
        <s v="CAMP101312"/>
        <s v="CAMP101313"/>
        <s v="CAMP101314"/>
        <s v="CAMP101315"/>
        <s v="CAMP101316"/>
        <s v="CAMP101317"/>
        <s v="CAMP101318"/>
        <s v="CAMP101319"/>
        <s v="CAMP101320"/>
        <s v="CAMP101321"/>
        <s v="CAMP101322"/>
        <s v="CAMP101323"/>
        <s v="CAMP101324"/>
        <s v="CAMP101325"/>
        <s v="CAMP101326"/>
        <s v="CAMP101327"/>
        <s v="CAMP101328"/>
        <s v="CAMP101329"/>
        <s v="CAMP101330"/>
        <s v="CAMP101331"/>
        <s v="CAMP101332"/>
        <s v="CAMP101333"/>
        <s v="CAMP101334"/>
        <s v="CAMP101335"/>
        <s v="CAMP101336"/>
      </sharedItems>
    </cacheField>
    <cacheField name="platform" numFmtId="0">
      <sharedItems count="4">
        <s v="TikTok"/>
        <s v="YouTube"/>
        <s v="Instagram"/>
        <s v="Twitter"/>
      </sharedItems>
    </cacheField>
    <cacheField name="influencer_category" numFmtId="0">
      <sharedItems count="7">
        <s v="Fitness"/>
        <s v="Food"/>
        <s v="Travel"/>
        <s v="Beauty"/>
        <s v="Tech"/>
        <s v="Gaming"/>
        <s v="Fashion"/>
      </sharedItems>
    </cacheField>
    <cacheField name="campaign_type-new" numFmtId="0">
      <sharedItems count="5">
        <s v="Giveaway"/>
        <s v="Product Launch"/>
        <s v="Brand Awareness"/>
        <s v="Seasonal Sale"/>
        <s v="Event Promotion"/>
      </sharedItems>
    </cacheField>
    <cacheField name="start_date" numFmtId="173">
      <sharedItems containsSemiMixedTypes="0" containsNonDate="0" containsDate="1" containsString="0" minDate="2022-01-01T00:00:00" maxDate="2025-08-29T00:00:00" count="1336">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2-01-30T00:00:00"/>
      </sharedItems>
      <fieldGroup par="14"/>
    </cacheField>
    <cacheField name="engagements" numFmtId="0">
      <sharedItems containsSemiMixedTypes="0" containsString="0" containsNumber="1" containsInteger="1" minValue="116" maxValue="99769"/>
    </cacheField>
    <cacheField name="estimated_reach" numFmtId="0">
      <sharedItems containsSemiMixedTypes="0" containsString="0" containsNumber="1" containsInteger="1" minValue="1082" maxValue="998467"/>
    </cacheField>
    <cacheField name="product_sales" numFmtId="165">
      <sharedItems containsSemiMixedTypes="0" containsString="0" containsNumber="1" minValue="1.296" maxValue="4994"/>
    </cacheField>
    <cacheField name="campaign_duration_days" numFmtId="0">
      <sharedItems containsSemiMixedTypes="0" containsString="0" containsNumber="1" containsInteger="1" minValue="1" maxValue="29" count="29">
        <n v="14"/>
        <n v="13"/>
        <n v="5"/>
        <n v="20"/>
        <n v="28"/>
        <n v="27"/>
        <n v="17"/>
        <n v="1"/>
        <n v="18"/>
        <n v="7"/>
        <n v="19"/>
        <n v="9"/>
        <n v="21"/>
        <n v="23"/>
        <n v="11"/>
        <n v="25"/>
        <n v="26"/>
        <n v="22"/>
        <n v="8"/>
        <n v="6"/>
        <n v="10"/>
        <n v="24"/>
        <n v="2"/>
        <n v="15"/>
        <n v="12"/>
        <n v="3"/>
        <n v="4"/>
        <n v="16"/>
        <n v="29"/>
      </sharedItems>
      <fieldGroup base="8">
        <rangePr startNum="1" endNum="29" groupInterval="5"/>
        <groupItems count="8">
          <s v="&lt;1"/>
          <s v="1-5"/>
          <s v="6-10"/>
          <s v="11-15"/>
          <s v="16-20"/>
          <s v="21-25"/>
          <s v="26-30"/>
          <s v="&gt;31"/>
        </groupItems>
      </fieldGroup>
    </cacheField>
    <cacheField name="end_date" numFmtId="166">
      <sharedItems containsSemiMixedTypes="0" containsNonDate="0" containsDate="1" containsString="0" minDate="2022-01-08T00:00:00" maxDate="2025-09-21T00:00:00"/>
    </cacheField>
    <cacheField name="Average engagement %" numFmtId="0">
      <sharedItems containsSemiMixedTypes="0" containsString="0" containsNumber="1" minValue="1.7981501530300703E-2" maxValue="4223.0443974630016"/>
    </cacheField>
    <cacheField name="AVG Conversion rate %" numFmtId="0">
      <sharedItems containsSemiMixedTypes="0" containsString="0" containsNumber="1" minValue="2.840582262552178E-4" maxValue="149.78858350951373"/>
    </cacheField>
    <cacheField name="Months (start_date)" numFmtId="0" databaseField="0">
      <fieldGroup base="4">
        <rangePr groupBy="months" startDate="2022-01-01T00:00:00" endDate="2025-08-29T00:00:00"/>
        <groupItems count="14">
          <s v="&lt;01.01.2022"/>
          <s v="yan"/>
          <s v="fev"/>
          <s v="mar"/>
          <s v="apr"/>
          <s v="may"/>
          <s v="iyn"/>
          <s v="iyl"/>
          <s v="avq"/>
          <s v="sen"/>
          <s v="okt"/>
          <s v="noy"/>
          <s v="dek"/>
          <s v="&gt;29.08.2025"/>
        </groupItems>
      </fieldGroup>
    </cacheField>
    <cacheField name="Quarters (start_date)" numFmtId="0" databaseField="0">
      <fieldGroup base="4">
        <rangePr groupBy="quarters" startDate="2022-01-01T00:00:00" endDate="2025-08-29T00:00:00"/>
        <groupItems count="6">
          <s v="&lt;01.01.2022"/>
          <s v="Qtr1"/>
          <s v="Qtr2"/>
          <s v="Qtr3"/>
          <s v="Qtr4"/>
          <s v="&gt;29.08.2025"/>
        </groupItems>
      </fieldGroup>
    </cacheField>
    <cacheField name="Years (start_date)" numFmtId="0" databaseField="0">
      <fieldGroup base="4">
        <rangePr groupBy="years" startDate="2022-01-01T00:00:00" endDate="2025-08-29T00:00:00"/>
        <groupItems count="6">
          <s v="&lt;01.01.2022"/>
          <s v="2022"/>
          <s v="2023"/>
          <s v="2024"/>
          <s v="2025"/>
          <s v="&gt;29.08.2025"/>
        </groupItems>
      </fieldGroup>
    </cacheField>
  </cacheFields>
  <extLst>
    <ext xmlns:x14="http://schemas.microsoft.com/office/spreadsheetml/2009/9/main" uri="{725AE2AE-9491-48be-B2B4-4EB974FC3084}">
      <x14:pivotCacheDefinition pivotCacheId="9607301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9">
  <r>
    <x v="0"/>
    <x v="0"/>
    <x v="0"/>
    <x v="0"/>
    <x v="0"/>
    <n v="79900"/>
    <n v="1892"/>
    <n v="2834"/>
    <x v="0"/>
    <d v="2022-01-15T00:00:00"/>
    <n v="4223.0443974630016"/>
    <n v="149.78858350951373"/>
  </r>
  <r>
    <x v="1"/>
    <x v="1"/>
    <x v="1"/>
    <x v="1"/>
    <x v="1"/>
    <n v="47985"/>
    <n v="437228"/>
    <n v="165"/>
    <x v="1"/>
    <d v="2022-01-15T00:00:00"/>
    <n v="10.974823204369345"/>
    <n v="3.7737747811210628E-2"/>
  </r>
  <r>
    <x v="2"/>
    <x v="0"/>
    <x v="2"/>
    <x v="2"/>
    <x v="2"/>
    <n v="13875"/>
    <n v="982513"/>
    <n v="2539"/>
    <x v="2"/>
    <d v="2022-01-08T00:00:00"/>
    <n v="1.412195054925482"/>
    <n v="0.25841897257339091"/>
  </r>
  <r>
    <x v="3"/>
    <x v="1"/>
    <x v="1"/>
    <x v="2"/>
    <x v="3"/>
    <n v="41200"/>
    <n v="213400"/>
    <n v="100"/>
    <x v="3"/>
    <d v="2022-01-24T00:00:00"/>
    <n v="19.306466729147143"/>
    <n v="4.6860356138706656E-2"/>
  </r>
  <r>
    <x v="4"/>
    <x v="2"/>
    <x v="1"/>
    <x v="0"/>
    <x v="4"/>
    <n v="96998"/>
    <n v="42501"/>
    <n v="550"/>
    <x v="4"/>
    <d v="2022-02-02T00:00:00"/>
    <n v="228.2252182301593"/>
    <n v="1.2940871979482838"/>
  </r>
  <r>
    <x v="5"/>
    <x v="3"/>
    <x v="3"/>
    <x v="2"/>
    <x v="5"/>
    <n v="76687"/>
    <n v="443289"/>
    <n v="2338"/>
    <x v="5"/>
    <d v="2022-02-02T00:00:00"/>
    <n v="17.299549503822561"/>
    <n v="0.52742116316894849"/>
  </r>
  <r>
    <x v="6"/>
    <x v="0"/>
    <x v="4"/>
    <x v="3"/>
    <x v="6"/>
    <n v="8878"/>
    <n v="116825"/>
    <n v="1027"/>
    <x v="6"/>
    <d v="2022-01-24T00:00:00"/>
    <n v="7.5994008131821094"/>
    <n v="0.87909265996148089"/>
  </r>
  <r>
    <x v="7"/>
    <x v="0"/>
    <x v="5"/>
    <x v="2"/>
    <x v="7"/>
    <n v="74092"/>
    <n v="644094"/>
    <n v="121"/>
    <x v="1"/>
    <d v="2022-01-21T00:00:00"/>
    <n v="11.503289892469111"/>
    <n v="1.8786077808518632E-2"/>
  </r>
  <r>
    <x v="8"/>
    <x v="2"/>
    <x v="2"/>
    <x v="4"/>
    <x v="8"/>
    <n v="84035"/>
    <n v="66087"/>
    <n v="3405"/>
    <x v="0"/>
    <d v="2022-01-23T00:00:00"/>
    <n v="127.15814002753945"/>
    <n v="5.1522992419083939"/>
  </r>
  <r>
    <x v="9"/>
    <x v="1"/>
    <x v="1"/>
    <x v="4"/>
    <x v="9"/>
    <n v="74906"/>
    <n v="258767"/>
    <n v="1149"/>
    <x v="7"/>
    <d v="2022-01-11T00:00:00"/>
    <n v="28.947276893885231"/>
    <n v="0.44402879810795043"/>
  </r>
  <r>
    <x v="10"/>
    <x v="2"/>
    <x v="4"/>
    <x v="4"/>
    <x v="10"/>
    <n v="15117"/>
    <n v="926004"/>
    <n v="2657"/>
    <x v="8"/>
    <d v="2022-01-29T00:00:00"/>
    <n v="1.6324983477393185"/>
    <n v="0.28693180591012563"/>
  </r>
  <r>
    <x v="11"/>
    <x v="3"/>
    <x v="0"/>
    <x v="3"/>
    <x v="11"/>
    <n v="87945"/>
    <n v="992541"/>
    <n v="2901"/>
    <x v="9"/>
    <d v="2022-01-19T00:00:00"/>
    <n v="8.8605911493832501"/>
    <n v="0.29228011739565418"/>
  </r>
  <r>
    <x v="12"/>
    <x v="1"/>
    <x v="2"/>
    <x v="1"/>
    <x v="12"/>
    <n v="59591"/>
    <n v="343970"/>
    <n v="1906"/>
    <x v="10"/>
    <d v="2022-02-01T00:00:00"/>
    <n v="17.32447597174172"/>
    <n v="0.55411809169404302"/>
  </r>
  <r>
    <x v="13"/>
    <x v="0"/>
    <x v="6"/>
    <x v="1"/>
    <x v="13"/>
    <n v="71678"/>
    <n v="696891"/>
    <n v="2935"/>
    <x v="11"/>
    <d v="2022-01-23T00:00:00"/>
    <n v="10.285396137990016"/>
    <n v="0.42115624968610588"/>
  </r>
  <r>
    <x v="14"/>
    <x v="1"/>
    <x v="4"/>
    <x v="1"/>
    <x v="14"/>
    <n v="65588"/>
    <n v="420535"/>
    <n v="279"/>
    <x v="12"/>
    <d v="2022-02-05T00:00:00"/>
    <n v="15.596323730486167"/>
    <n v="6.6344061730890413E-2"/>
  </r>
  <r>
    <x v="15"/>
    <x v="2"/>
    <x v="4"/>
    <x v="3"/>
    <x v="15"/>
    <n v="51368"/>
    <n v="905867"/>
    <n v="2297"/>
    <x v="13"/>
    <d v="2022-02-08T00:00:00"/>
    <n v="5.6705896119408257"/>
    <n v="0.25356923256946107"/>
  </r>
  <r>
    <x v="16"/>
    <x v="1"/>
    <x v="5"/>
    <x v="2"/>
    <x v="16"/>
    <n v="14300"/>
    <n v="719281"/>
    <n v="3530"/>
    <x v="14"/>
    <d v="2022-01-28T00:00:00"/>
    <n v="1.9880964463123592"/>
    <n v="0.49076786401976419"/>
  </r>
  <r>
    <x v="16"/>
    <x v="1"/>
    <x v="5"/>
    <x v="2"/>
    <x v="16"/>
    <n v="14300"/>
    <n v="719281"/>
    <n v="3530"/>
    <x v="14"/>
    <d v="2022-01-28T00:00:00"/>
    <n v="1.9880964463123592"/>
    <n v="0.49076786401976419"/>
  </r>
  <r>
    <x v="17"/>
    <x v="2"/>
    <x v="0"/>
    <x v="0"/>
    <x v="17"/>
    <n v="66262"/>
    <n v="130779"/>
    <n v="4080"/>
    <x v="15"/>
    <d v="2022-02-12T00:00:00"/>
    <n v="50.667156041872161"/>
    <n v="3.1197669350583808"/>
  </r>
  <r>
    <x v="18"/>
    <x v="0"/>
    <x v="1"/>
    <x v="2"/>
    <x v="18"/>
    <n v="5542"/>
    <n v="362628"/>
    <n v="1083"/>
    <x v="8"/>
    <d v="2022-02-06T00:00:00"/>
    <n v="1.528287942464454"/>
    <n v="0.29865316522717494"/>
  </r>
  <r>
    <x v="19"/>
    <x v="1"/>
    <x v="6"/>
    <x v="1"/>
    <x v="19"/>
    <n v="94041"/>
    <n v="941739"/>
    <n v="881"/>
    <x v="16"/>
    <d v="2022-02-15T00:00:00"/>
    <n v="9.9858878096797525"/>
    <n v="9.3550336133472231E-2"/>
  </r>
  <r>
    <x v="20"/>
    <x v="0"/>
    <x v="5"/>
    <x v="2"/>
    <x v="20"/>
    <n v="65086"/>
    <n v="886509"/>
    <n v="2489"/>
    <x v="17"/>
    <d v="2022-02-12T00:00:00"/>
    <n v="7.3418318370146274"/>
    <n v="0.28076421107963934"/>
  </r>
  <r>
    <x v="21"/>
    <x v="2"/>
    <x v="2"/>
    <x v="1"/>
    <x v="21"/>
    <n v="62078"/>
    <n v="100019"/>
    <n v="2377"/>
    <x v="18"/>
    <d v="2022-01-30T00:00:00"/>
    <n v="62.066207420590089"/>
    <n v="2.3765484557933996"/>
  </r>
  <r>
    <x v="22"/>
    <x v="3"/>
    <x v="5"/>
    <x v="2"/>
    <x v="22"/>
    <n v="77601"/>
    <n v="596436"/>
    <n v="2704"/>
    <x v="19"/>
    <d v="2022-01-29T00:00:00"/>
    <n v="13.010784057300365"/>
    <n v="0.45335962282625458"/>
  </r>
  <r>
    <x v="23"/>
    <x v="0"/>
    <x v="5"/>
    <x v="3"/>
    <x v="23"/>
    <n v="29510"/>
    <n v="183606"/>
    <n v="1242"/>
    <x v="17"/>
    <d v="2022-02-15T00:00:00"/>
    <n v="16.072459505680641"/>
    <n v="0.67644848207574915"/>
  </r>
  <r>
    <x v="24"/>
    <x v="0"/>
    <x v="2"/>
    <x v="0"/>
    <x v="24"/>
    <n v="54251"/>
    <n v="745065"/>
    <n v="4573"/>
    <x v="3"/>
    <d v="2022-02-14T00:00:00"/>
    <n v="7.2813781347936093"/>
    <n v="0.61377195278264318"/>
  </r>
  <r>
    <x v="25"/>
    <x v="2"/>
    <x v="0"/>
    <x v="1"/>
    <x v="25"/>
    <n v="42835"/>
    <n v="243034"/>
    <n v="18"/>
    <x v="10"/>
    <d v="2022-02-14T00:00:00"/>
    <n v="17.625105952253595"/>
    <n v="7.4063711250277739E-3"/>
  </r>
  <r>
    <x v="26"/>
    <x v="1"/>
    <x v="0"/>
    <x v="3"/>
    <x v="26"/>
    <n v="94908"/>
    <n v="818370"/>
    <n v="3006"/>
    <x v="20"/>
    <d v="2022-02-06T00:00:00"/>
    <n v="11.597199310825177"/>
    <n v="0.36731551743099083"/>
  </r>
  <r>
    <x v="27"/>
    <x v="2"/>
    <x v="0"/>
    <x v="1"/>
    <x v="27"/>
    <n v="64540"/>
    <n v="342198"/>
    <n v="2199"/>
    <x v="13"/>
    <d v="2022-02-20T00:00:00"/>
    <n v="18.8604258353351"/>
    <n v="0.6426104185296232"/>
  </r>
  <r>
    <x v="28"/>
    <x v="2"/>
    <x v="4"/>
    <x v="1"/>
    <x v="28"/>
    <n v="42387"/>
    <n v="767627"/>
    <n v="3108"/>
    <x v="21"/>
    <d v="2022-02-22T00:00:00"/>
    <n v="5.5218224476210453"/>
    <n v="0.40488414294963571"/>
  </r>
  <r>
    <x v="29"/>
    <x v="0"/>
    <x v="6"/>
    <x v="3"/>
    <x v="29"/>
    <n v="25884"/>
    <n v="377896"/>
    <n v="1177"/>
    <x v="20"/>
    <d v="2022-02-10T00:00:00"/>
    <n v="6.8495035671189957"/>
    <n v="0.31146135444672607"/>
  </r>
  <r>
    <x v="30"/>
    <x v="3"/>
    <x v="3"/>
    <x v="2"/>
    <x v="30"/>
    <n v="67139"/>
    <n v="384668"/>
    <n v="2988"/>
    <x v="0"/>
    <d v="2022-02-15T00:00:00"/>
    <n v="17.453752326681709"/>
    <n v="0.77677373735273014"/>
  </r>
  <r>
    <x v="31"/>
    <x v="2"/>
    <x v="5"/>
    <x v="1"/>
    <x v="31"/>
    <n v="53051"/>
    <n v="742569"/>
    <n v="4786"/>
    <x v="5"/>
    <d v="2022-03-01T00:00:00"/>
    <n v="7.1442519146368886"/>
    <n v="0.64451922986281407"/>
  </r>
  <r>
    <x v="32"/>
    <x v="2"/>
    <x v="0"/>
    <x v="4"/>
    <x v="32"/>
    <n v="16152"/>
    <n v="533092"/>
    <n v="4390"/>
    <x v="6"/>
    <d v="2022-02-20T00:00:00"/>
    <n v="3.0298710166350276"/>
    <n v="0.82349763267878706"/>
  </r>
  <r>
    <x v="33"/>
    <x v="1"/>
    <x v="3"/>
    <x v="4"/>
    <x v="33"/>
    <n v="56221"/>
    <n v="65176"/>
    <n v="2644"/>
    <x v="2"/>
    <d v="2022-02-09T00:00:00"/>
    <n v="86.260279857616297"/>
    <n v="4.0567079906714127"/>
  </r>
  <r>
    <x v="34"/>
    <x v="2"/>
    <x v="2"/>
    <x v="0"/>
    <x v="34"/>
    <n v="51945"/>
    <n v="870753"/>
    <n v="2188"/>
    <x v="18"/>
    <d v="2022-02-13T00:00:00"/>
    <n v="5.965526389228633"/>
    <n v="0.25127676849807007"/>
  </r>
  <r>
    <x v="35"/>
    <x v="2"/>
    <x v="0"/>
    <x v="4"/>
    <x v="35"/>
    <n v="91998"/>
    <n v="370665"/>
    <n v="1502"/>
    <x v="1"/>
    <d v="2022-02-19T00:00:00"/>
    <n v="24.81971591598883"/>
    <n v="0.40521764935993415"/>
  </r>
  <r>
    <x v="36"/>
    <x v="1"/>
    <x v="6"/>
    <x v="3"/>
    <x v="36"/>
    <n v="95253"/>
    <n v="193054"/>
    <n v="994"/>
    <x v="9"/>
    <d v="2022-02-14T00:00:00"/>
    <n v="49.340081013602408"/>
    <n v="0.51488184652998636"/>
  </r>
  <r>
    <x v="37"/>
    <x v="2"/>
    <x v="6"/>
    <x v="0"/>
    <x v="37"/>
    <n v="18633"/>
    <n v="562636"/>
    <n v="4930"/>
    <x v="19"/>
    <d v="2022-02-14T00:00:00"/>
    <n v="3.3117326299774632"/>
    <n v="0.87623259087580596"/>
  </r>
  <r>
    <x v="38"/>
    <x v="1"/>
    <x v="5"/>
    <x v="3"/>
    <x v="38"/>
    <n v="11377"/>
    <n v="943036"/>
    <n v="3012"/>
    <x v="22"/>
    <d v="2022-02-11T00:00:00"/>
    <n v="1.2064226604286581"/>
    <n v="0.31939395738868931"/>
  </r>
  <r>
    <x v="39"/>
    <x v="1"/>
    <x v="1"/>
    <x v="0"/>
    <x v="39"/>
    <n v="70726"/>
    <n v="590195"/>
    <n v="1474"/>
    <x v="1"/>
    <d v="2022-02-23T00:00:00"/>
    <n v="11.983496979811758"/>
    <n v="0.24974796465574936"/>
  </r>
  <r>
    <x v="40"/>
    <x v="0"/>
    <x v="5"/>
    <x v="3"/>
    <x v="40"/>
    <n v="56156"/>
    <n v="787107"/>
    <n v="3403"/>
    <x v="19"/>
    <d v="2022-02-17T00:00:00"/>
    <n v="7.1344810807171077"/>
    <n v="0.43234274374386206"/>
  </r>
  <r>
    <x v="41"/>
    <x v="0"/>
    <x v="3"/>
    <x v="3"/>
    <x v="41"/>
    <n v="45946"/>
    <n v="744577"/>
    <n v="244"/>
    <x v="10"/>
    <d v="2022-03-03T00:00:00"/>
    <n v="6.1707519840123988"/>
    <n v="3.2770284335938392E-2"/>
  </r>
  <r>
    <x v="42"/>
    <x v="2"/>
    <x v="0"/>
    <x v="0"/>
    <x v="42"/>
    <n v="76982"/>
    <n v="819061"/>
    <n v="3039"/>
    <x v="13"/>
    <d v="2022-03-08T00:00:00"/>
    <n v="9.3988115659273248"/>
    <n v="0.37103463600391179"/>
  </r>
  <r>
    <x v="43"/>
    <x v="0"/>
    <x v="6"/>
    <x v="0"/>
    <x v="43"/>
    <n v="22508"/>
    <n v="729703"/>
    <n v="2746"/>
    <x v="13"/>
    <d v="2022-03-09T00:00:00"/>
    <n v="3.0845426152832043"/>
    <n v="0.37631748807391502"/>
  </r>
  <r>
    <x v="44"/>
    <x v="0"/>
    <x v="6"/>
    <x v="2"/>
    <x v="44"/>
    <n v="8010"/>
    <n v="545063"/>
    <n v="2024"/>
    <x v="0"/>
    <d v="2022-03-01T00:00:00"/>
    <n v="1.4695548954891453"/>
    <n v="0.37133322203121477"/>
  </r>
  <r>
    <x v="45"/>
    <x v="2"/>
    <x v="3"/>
    <x v="0"/>
    <x v="45"/>
    <n v="46553"/>
    <n v="590453"/>
    <n v="3497"/>
    <x v="13"/>
    <d v="2022-03-11T00:00:00"/>
    <n v="7.8842854554045783"/>
    <n v="0.59225713138895053"/>
  </r>
  <r>
    <x v="46"/>
    <x v="2"/>
    <x v="1"/>
    <x v="2"/>
    <x v="46"/>
    <n v="55128"/>
    <n v="835097"/>
    <n v="1885"/>
    <x v="3"/>
    <d v="2022-03-09T00:00:00"/>
    <n v="6.6013888206998699"/>
    <n v="0.2257222813637218"/>
  </r>
  <r>
    <x v="47"/>
    <x v="1"/>
    <x v="0"/>
    <x v="1"/>
    <x v="47"/>
    <n v="5209"/>
    <n v="610655"/>
    <n v="4501"/>
    <x v="13"/>
    <d v="2022-03-13T00:00:00"/>
    <n v="0.85301848015655324"/>
    <n v="0.73707740049618853"/>
  </r>
  <r>
    <x v="48"/>
    <x v="2"/>
    <x v="6"/>
    <x v="1"/>
    <x v="48"/>
    <n v="74484"/>
    <n v="901061"/>
    <n v="2887"/>
    <x v="23"/>
    <d v="2022-03-06T00:00:00"/>
    <n v="8.2662550038232716"/>
    <n v="0.32040006170503438"/>
  </r>
  <r>
    <x v="49"/>
    <x v="2"/>
    <x v="1"/>
    <x v="0"/>
    <x v="49"/>
    <n v="79322"/>
    <n v="805572"/>
    <n v="4879"/>
    <x v="2"/>
    <d v="2022-02-25T00:00:00"/>
    <n v="9.8466679576747964"/>
    <n v="0.60565660176868119"/>
  </r>
  <r>
    <x v="50"/>
    <x v="2"/>
    <x v="1"/>
    <x v="3"/>
    <x v="50"/>
    <n v="68391"/>
    <n v="446138"/>
    <n v="1200"/>
    <x v="23"/>
    <d v="2022-03-08T00:00:00"/>
    <n v="15.329561705122629"/>
    <n v="0.26897507049388308"/>
  </r>
  <r>
    <x v="51"/>
    <x v="0"/>
    <x v="4"/>
    <x v="2"/>
    <x v="51"/>
    <n v="92192"/>
    <n v="570185"/>
    <n v="4154"/>
    <x v="24"/>
    <d v="2022-03-06T00:00:00"/>
    <n v="16.168787323412577"/>
    <n v="0.72853547532818297"/>
  </r>
  <r>
    <x v="52"/>
    <x v="1"/>
    <x v="5"/>
    <x v="3"/>
    <x v="52"/>
    <n v="37594"/>
    <n v="200808"/>
    <n v="191"/>
    <x v="20"/>
    <d v="2022-03-05T00:00:00"/>
    <n v="18.721365682642126"/>
    <n v="9.5115732440938613E-2"/>
  </r>
  <r>
    <x v="53"/>
    <x v="0"/>
    <x v="3"/>
    <x v="0"/>
    <x v="53"/>
    <n v="47307"/>
    <n v="714802"/>
    <n v="1182"/>
    <x v="20"/>
    <d v="2022-03-06T00:00:00"/>
    <n v="6.6181963676654521"/>
    <n v="0.16536047744690138"/>
  </r>
  <r>
    <x v="54"/>
    <x v="0"/>
    <x v="4"/>
    <x v="4"/>
    <x v="54"/>
    <n v="68348"/>
    <n v="293838"/>
    <n v="439"/>
    <x v="9"/>
    <d v="2022-03-04T00:00:00"/>
    <n v="23.260436022570261"/>
    <n v="0.14940205147053817"/>
  </r>
  <r>
    <x v="55"/>
    <x v="1"/>
    <x v="5"/>
    <x v="2"/>
    <x v="55"/>
    <n v="52889"/>
    <n v="456134"/>
    <n v="1740"/>
    <x v="25"/>
    <d v="2022-03-01T00:00:00"/>
    <n v="11.595057592724945"/>
    <n v="0.38146684965382982"/>
  </r>
  <r>
    <x v="56"/>
    <x v="1"/>
    <x v="4"/>
    <x v="1"/>
    <x v="56"/>
    <n v="33777"/>
    <n v="85832"/>
    <n v="2230"/>
    <x v="0"/>
    <d v="2022-03-13T00:00:00"/>
    <n v="39.352455960480945"/>
    <n v="2.5980986112405633"/>
  </r>
  <r>
    <x v="57"/>
    <x v="2"/>
    <x v="1"/>
    <x v="4"/>
    <x v="57"/>
    <n v="73657"/>
    <n v="510496"/>
    <n v="4732"/>
    <x v="6"/>
    <d v="2022-03-17T00:00:00"/>
    <n v="14.428516579953612"/>
    <n v="0.92694164107064503"/>
  </r>
  <r>
    <x v="58"/>
    <x v="2"/>
    <x v="3"/>
    <x v="3"/>
    <x v="58"/>
    <n v="39557"/>
    <n v="773895"/>
    <n v="2235"/>
    <x v="20"/>
    <d v="2022-03-11T00:00:00"/>
    <n v="5.1114169234844518"/>
    <n v="0.28879886806349703"/>
  </r>
  <r>
    <x v="59"/>
    <x v="1"/>
    <x v="1"/>
    <x v="1"/>
    <x v="59"/>
    <n v="90065"/>
    <n v="871443"/>
    <n v="1674"/>
    <x v="0"/>
    <d v="2022-03-16T00:00:00"/>
    <n v="10.335156745765357"/>
    <n v="0.19209518006341206"/>
  </r>
  <r>
    <x v="60"/>
    <x v="1"/>
    <x v="0"/>
    <x v="4"/>
    <x v="60"/>
    <n v="16051"/>
    <n v="272426"/>
    <n v="3565"/>
    <x v="6"/>
    <d v="2022-03-20T00:00:00"/>
    <n v="5.8918752248316979"/>
    <n v="1.3086122469955144"/>
  </r>
  <r>
    <x v="61"/>
    <x v="1"/>
    <x v="0"/>
    <x v="0"/>
    <x v="61"/>
    <n v="58473"/>
    <n v="579913"/>
    <n v="3515"/>
    <x v="11"/>
    <d v="2022-03-13T00:00:00"/>
    <n v="10.083064183765496"/>
    <n v="0.60612540156885597"/>
  </r>
  <r>
    <x v="62"/>
    <x v="0"/>
    <x v="1"/>
    <x v="3"/>
    <x v="62"/>
    <n v="35574"/>
    <n v="914958"/>
    <n v="1735"/>
    <x v="16"/>
    <d v="2022-03-31T00:00:00"/>
    <n v="3.888047320204862"/>
    <n v="0.18962619049180401"/>
  </r>
  <r>
    <x v="63"/>
    <x v="1"/>
    <x v="1"/>
    <x v="1"/>
    <x v="63"/>
    <n v="9817"/>
    <n v="54246"/>
    <n v="2163"/>
    <x v="15"/>
    <d v="2022-03-31T00:00:00"/>
    <n v="18.0971868893559"/>
    <n v="3.9873907753567082"/>
  </r>
  <r>
    <x v="64"/>
    <x v="1"/>
    <x v="4"/>
    <x v="2"/>
    <x v="64"/>
    <n v="25168"/>
    <n v="645095"/>
    <n v="4764"/>
    <x v="23"/>
    <d v="2022-03-22T00:00:00"/>
    <n v="3.9014408730497059"/>
    <n v="0.73849588045171644"/>
  </r>
  <r>
    <x v="65"/>
    <x v="1"/>
    <x v="6"/>
    <x v="3"/>
    <x v="65"/>
    <n v="35285"/>
    <n v="592582"/>
    <n v="941"/>
    <x v="0"/>
    <d v="2022-03-22T00:00:00"/>
    <n v="5.9544501857970706"/>
    <n v="0.15879658848901923"/>
  </r>
  <r>
    <x v="66"/>
    <x v="2"/>
    <x v="2"/>
    <x v="4"/>
    <x v="66"/>
    <n v="20821"/>
    <n v="20266"/>
    <n v="2303"/>
    <x v="16"/>
    <d v="2022-04-04T00:00:00"/>
    <n v="102.73857692687261"/>
    <n v="11.363860653310965"/>
  </r>
  <r>
    <x v="67"/>
    <x v="2"/>
    <x v="3"/>
    <x v="0"/>
    <x v="67"/>
    <n v="14954"/>
    <n v="694205"/>
    <n v="1416"/>
    <x v="18"/>
    <d v="2022-03-18T00:00:00"/>
    <n v="2.1541187401416009"/>
    <n v="0.20397433034910437"/>
  </r>
  <r>
    <x v="68"/>
    <x v="1"/>
    <x v="6"/>
    <x v="2"/>
    <x v="68"/>
    <n v="13862"/>
    <n v="917266"/>
    <n v="632"/>
    <x v="20"/>
    <d v="2022-03-21T00:00:00"/>
    <n v="1.5112301120939837"/>
    <n v="6.8900406207141662E-2"/>
  </r>
  <r>
    <x v="69"/>
    <x v="2"/>
    <x v="3"/>
    <x v="0"/>
    <x v="69"/>
    <n v="60577"/>
    <n v="967742"/>
    <n v="4136"/>
    <x v="4"/>
    <d v="2022-04-09T00:00:00"/>
    <n v="6.2596229160251387"/>
    <n v="0.42738663817422412"/>
  </r>
  <r>
    <x v="70"/>
    <x v="1"/>
    <x v="4"/>
    <x v="4"/>
    <x v="70"/>
    <n v="1283"/>
    <n v="253347"/>
    <n v="1321"/>
    <x v="21"/>
    <d v="2022-04-06T00:00:00"/>
    <n v="0.50642004839212618"/>
    <n v="0.52141923922525235"/>
  </r>
  <r>
    <x v="71"/>
    <x v="0"/>
    <x v="3"/>
    <x v="4"/>
    <x v="71"/>
    <n v="81839"/>
    <n v="402126"/>
    <n v="3989"/>
    <x v="23"/>
    <d v="2022-03-29T00:00:00"/>
    <n v="20.351581345150525"/>
    <n v="0.99197763884951473"/>
  </r>
  <r>
    <x v="72"/>
    <x v="2"/>
    <x v="3"/>
    <x v="3"/>
    <x v="72"/>
    <n v="59145"/>
    <n v="296370"/>
    <n v="3863"/>
    <x v="19"/>
    <d v="2022-03-21T00:00:00"/>
    <n v="19.956473327259843"/>
    <n v="1.3034382697304046"/>
  </r>
  <r>
    <x v="73"/>
    <x v="2"/>
    <x v="5"/>
    <x v="3"/>
    <x v="73"/>
    <n v="58854"/>
    <n v="954193"/>
    <n v="4775"/>
    <x v="22"/>
    <d v="2022-03-18T00:00:00"/>
    <n v="6.1679345792727469"/>
    <n v="0.50042287042558475"/>
  </r>
  <r>
    <x v="74"/>
    <x v="2"/>
    <x v="3"/>
    <x v="3"/>
    <x v="74"/>
    <n v="67907"/>
    <n v="20559"/>
    <n v="4249"/>
    <x v="21"/>
    <d v="2022-04-10T00:00:00"/>
    <n v="330.30303030303031"/>
    <n v="20.667347633639768"/>
  </r>
  <r>
    <x v="75"/>
    <x v="2"/>
    <x v="4"/>
    <x v="0"/>
    <x v="75"/>
    <n v="546"/>
    <n v="706942"/>
    <n v="4983"/>
    <x v="26"/>
    <d v="2022-03-22T00:00:00"/>
    <n v="7.7234058805389985E-2"/>
    <n v="0.70486687733930087"/>
  </r>
  <r>
    <x v="76"/>
    <x v="1"/>
    <x v="2"/>
    <x v="0"/>
    <x v="76"/>
    <n v="40307"/>
    <n v="99522"/>
    <n v="913"/>
    <x v="10"/>
    <d v="2022-04-07T00:00:00"/>
    <n v="40.500592833745301"/>
    <n v="0.91738510078173663"/>
  </r>
  <r>
    <x v="77"/>
    <x v="1"/>
    <x v="1"/>
    <x v="1"/>
    <x v="77"/>
    <n v="36062"/>
    <n v="514556"/>
    <n v="2687"/>
    <x v="9"/>
    <d v="2022-03-27T00:00:00"/>
    <n v="7.0083722665754546"/>
    <n v="0.52219777827874903"/>
  </r>
  <r>
    <x v="78"/>
    <x v="0"/>
    <x v="6"/>
    <x v="0"/>
    <x v="78"/>
    <n v="83172"/>
    <n v="966560"/>
    <n v="632"/>
    <x v="25"/>
    <d v="2022-03-24T00:00:00"/>
    <n v="8.6049495116702523"/>
    <n v="6.5386525409700386E-2"/>
  </r>
  <r>
    <x v="79"/>
    <x v="1"/>
    <x v="2"/>
    <x v="0"/>
    <x v="79"/>
    <n v="44128"/>
    <n v="862711"/>
    <n v="974"/>
    <x v="12"/>
    <d v="2022-04-12T00:00:00"/>
    <n v="5.1150385239089342"/>
    <n v="0.11289991665806973"/>
  </r>
  <r>
    <x v="80"/>
    <x v="1"/>
    <x v="1"/>
    <x v="4"/>
    <x v="80"/>
    <n v="35056"/>
    <n v="246712"/>
    <n v="3141"/>
    <x v="0"/>
    <d v="2022-04-06T00:00:00"/>
    <n v="14.209280456564741"/>
    <n v="1.2731443950841466"/>
  </r>
  <r>
    <x v="81"/>
    <x v="0"/>
    <x v="5"/>
    <x v="3"/>
    <x v="81"/>
    <n v="62613"/>
    <n v="63546"/>
    <n v="588"/>
    <x v="16"/>
    <d v="2022-04-19T00:00:00"/>
    <n v="98.531772259465583"/>
    <n v="0.92531394580304038"/>
  </r>
  <r>
    <x v="82"/>
    <x v="2"/>
    <x v="4"/>
    <x v="2"/>
    <x v="82"/>
    <n v="14424"/>
    <n v="765026"/>
    <n v="3459"/>
    <x v="16"/>
    <d v="2022-04-20T00:00:00"/>
    <n v="1.8854261162365722"/>
    <n v="0.45214149584458568"/>
  </r>
  <r>
    <x v="82"/>
    <x v="2"/>
    <x v="4"/>
    <x v="2"/>
    <x v="82"/>
    <n v="14424"/>
    <n v="765026"/>
    <n v="3459"/>
    <x v="16"/>
    <d v="2022-04-20T00:00:00"/>
    <n v="1.8854261162365722"/>
    <n v="0.45214149584458568"/>
  </r>
  <r>
    <x v="83"/>
    <x v="2"/>
    <x v="3"/>
    <x v="1"/>
    <x v="83"/>
    <n v="12046"/>
    <n v="271294"/>
    <n v="125"/>
    <x v="11"/>
    <d v="2022-04-04T00:00:00"/>
    <n v="4.4402014051176959"/>
    <n v="4.6075475314603348E-2"/>
  </r>
  <r>
    <x v="84"/>
    <x v="2"/>
    <x v="4"/>
    <x v="1"/>
    <x v="84"/>
    <n v="80889"/>
    <n v="745299"/>
    <n v="3313"/>
    <x v="9"/>
    <d v="2022-04-03T00:00:00"/>
    <n v="10.853228033312805"/>
    <n v="0.44451958207377174"/>
  </r>
  <r>
    <x v="85"/>
    <x v="0"/>
    <x v="5"/>
    <x v="1"/>
    <x v="85"/>
    <n v="50173"/>
    <n v="124085"/>
    <n v="3188"/>
    <x v="16"/>
    <d v="2022-04-23T00:00:00"/>
    <n v="40.43437965910465"/>
    <n v="2.5692065922553091"/>
  </r>
  <r>
    <x v="86"/>
    <x v="1"/>
    <x v="6"/>
    <x v="3"/>
    <x v="86"/>
    <n v="60999"/>
    <n v="373067"/>
    <n v="3862"/>
    <x v="8"/>
    <d v="2022-04-16T00:00:00"/>
    <n v="16.3506823171173"/>
    <n v="1.035202791991787"/>
  </r>
  <r>
    <x v="87"/>
    <x v="2"/>
    <x v="1"/>
    <x v="1"/>
    <x v="87"/>
    <n v="22050"/>
    <n v="887799"/>
    <n v="3933"/>
    <x v="21"/>
    <d v="2022-04-23T00:00:00"/>
    <n v="2.4836702902346137"/>
    <n v="0.4430056803398067"/>
  </r>
  <r>
    <x v="88"/>
    <x v="1"/>
    <x v="5"/>
    <x v="1"/>
    <x v="88"/>
    <n v="21563"/>
    <n v="132334"/>
    <n v="4015"/>
    <x v="26"/>
    <d v="2022-04-04T00:00:00"/>
    <n v="16.294376350748863"/>
    <n v="3.0339897532002356"/>
  </r>
  <r>
    <x v="89"/>
    <x v="2"/>
    <x v="2"/>
    <x v="2"/>
    <x v="89"/>
    <n v="79681"/>
    <n v="683092"/>
    <n v="1737"/>
    <x v="14"/>
    <d v="2022-04-12T00:00:00"/>
    <n v="11.664753795974773"/>
    <n v="0.25428492794528407"/>
  </r>
  <r>
    <x v="90"/>
    <x v="1"/>
    <x v="0"/>
    <x v="0"/>
    <x v="90"/>
    <n v="96799"/>
    <n v="943218"/>
    <n v="4148"/>
    <x v="15"/>
    <d v="2022-04-27T00:00:00"/>
    <n v="10.26263281659171"/>
    <n v="0.43977108155272698"/>
  </r>
  <r>
    <x v="91"/>
    <x v="1"/>
    <x v="4"/>
    <x v="4"/>
    <x v="91"/>
    <n v="98154"/>
    <n v="262533"/>
    <n v="413"/>
    <x v="2"/>
    <d v="2022-04-08T00:00:00"/>
    <n v="37.38729988230051"/>
    <n v="0.15731355677191056"/>
  </r>
  <r>
    <x v="92"/>
    <x v="2"/>
    <x v="4"/>
    <x v="2"/>
    <x v="92"/>
    <n v="79052"/>
    <n v="301115"/>
    <n v="86"/>
    <x v="13"/>
    <d v="2022-04-27T00:00:00"/>
    <n v="26.253092672234864"/>
    <n v="2.8560516746093684E-2"/>
  </r>
  <r>
    <x v="93"/>
    <x v="2"/>
    <x v="1"/>
    <x v="3"/>
    <x v="93"/>
    <n v="36067"/>
    <n v="542774"/>
    <n v="1810"/>
    <x v="27"/>
    <d v="2022-04-21T00:00:00"/>
    <n v="6.6449387774653905"/>
    <n v="0.33347212652043023"/>
  </r>
  <r>
    <x v="94"/>
    <x v="1"/>
    <x v="1"/>
    <x v="3"/>
    <x v="94"/>
    <n v="19670"/>
    <n v="299556"/>
    <n v="741"/>
    <x v="7"/>
    <d v="2022-04-07T00:00:00"/>
    <n v="6.5663849163428543"/>
    <n v="0.24736610183070945"/>
  </r>
  <r>
    <x v="95"/>
    <x v="2"/>
    <x v="1"/>
    <x v="4"/>
    <x v="95"/>
    <n v="73939"/>
    <n v="645587"/>
    <n v="3946"/>
    <x v="15"/>
    <d v="2022-05-02T00:00:00"/>
    <n v="11.452987746035777"/>
    <n v="0.61122668207383357"/>
  </r>
  <r>
    <x v="96"/>
    <x v="2"/>
    <x v="2"/>
    <x v="0"/>
    <x v="96"/>
    <n v="732"/>
    <n v="396542"/>
    <n v="2299"/>
    <x v="7"/>
    <d v="2022-04-09T00:00:00"/>
    <n v="0.18459583095863744"/>
    <n v="0.57976204286052924"/>
  </r>
  <r>
    <x v="97"/>
    <x v="2"/>
    <x v="6"/>
    <x v="2"/>
    <x v="97"/>
    <n v="35084"/>
    <n v="792744"/>
    <n v="3170"/>
    <x v="19"/>
    <d v="2022-04-15T00:00:00"/>
    <n v="4.4256405598780937"/>
    <n v="0.39987688333181964"/>
  </r>
  <r>
    <x v="98"/>
    <x v="3"/>
    <x v="3"/>
    <x v="1"/>
    <x v="98"/>
    <n v="20282"/>
    <n v="842018"/>
    <n v="390"/>
    <x v="22"/>
    <d v="2022-04-12T00:00:00"/>
    <n v="2.4087371053825453"/>
    <n v="4.6317299630174176E-2"/>
  </r>
  <r>
    <x v="99"/>
    <x v="3"/>
    <x v="2"/>
    <x v="2"/>
    <x v="99"/>
    <n v="20391"/>
    <n v="28608"/>
    <n v="4131"/>
    <x v="22"/>
    <d v="2022-04-13T00:00:00"/>
    <n v="71.277265100671144"/>
    <n v="14.440016778523489"/>
  </r>
  <r>
    <x v="100"/>
    <x v="1"/>
    <x v="1"/>
    <x v="4"/>
    <x v="100"/>
    <n v="95236"/>
    <n v="677630"/>
    <n v="4290"/>
    <x v="23"/>
    <d v="2022-04-27T00:00:00"/>
    <n v="14.05427740802503"/>
    <n v="0.63308885379927105"/>
  </r>
  <r>
    <x v="101"/>
    <x v="2"/>
    <x v="6"/>
    <x v="2"/>
    <x v="101"/>
    <n v="3271"/>
    <n v="851811"/>
    <n v="226"/>
    <x v="2"/>
    <d v="2022-04-18T00:00:00"/>
    <n v="0.38400537208371338"/>
    <n v="2.6531707150999458E-2"/>
  </r>
  <r>
    <x v="102"/>
    <x v="3"/>
    <x v="6"/>
    <x v="4"/>
    <x v="102"/>
    <n v="9199"/>
    <n v="583288"/>
    <n v="2352"/>
    <x v="28"/>
    <d v="2022-05-13T00:00:00"/>
    <n v="1.5770939913044673"/>
    <n v="0.40323133683531975"/>
  </r>
  <r>
    <x v="103"/>
    <x v="0"/>
    <x v="3"/>
    <x v="3"/>
    <x v="103"/>
    <n v="3274"/>
    <n v="408103"/>
    <n v="4454"/>
    <x v="28"/>
    <d v="2022-05-14T00:00:00"/>
    <n v="0.80224845198393535"/>
    <n v="1.0913911439023971"/>
  </r>
  <r>
    <x v="104"/>
    <x v="0"/>
    <x v="5"/>
    <x v="2"/>
    <x v="104"/>
    <n v="53947"/>
    <n v="507079"/>
    <n v="105"/>
    <x v="13"/>
    <d v="2022-05-09T00:00:00"/>
    <n v="10.638776206468814"/>
    <n v="2.070683266315505E-2"/>
  </r>
  <r>
    <x v="105"/>
    <x v="1"/>
    <x v="1"/>
    <x v="2"/>
    <x v="105"/>
    <n v="78470"/>
    <n v="301569"/>
    <n v="1084"/>
    <x v="23"/>
    <d v="2022-05-02T00:00:00"/>
    <n v="26.020579038296376"/>
    <n v="0.35945339209268856"/>
  </r>
  <r>
    <x v="106"/>
    <x v="2"/>
    <x v="3"/>
    <x v="1"/>
    <x v="106"/>
    <n v="5648"/>
    <n v="261544"/>
    <n v="256"/>
    <x v="8"/>
    <d v="2022-05-06T00:00:00"/>
    <n v="2.1594836815220382"/>
    <n v="9.7880280182302021E-2"/>
  </r>
  <r>
    <x v="107"/>
    <x v="2"/>
    <x v="1"/>
    <x v="2"/>
    <x v="107"/>
    <n v="94160"/>
    <n v="398210"/>
    <n v="3156"/>
    <x v="13"/>
    <d v="2022-05-12T00:00:00"/>
    <n v="23.645815022224454"/>
    <n v="0.79254664624193261"/>
  </r>
  <r>
    <x v="108"/>
    <x v="3"/>
    <x v="1"/>
    <x v="2"/>
    <x v="108"/>
    <n v="96502"/>
    <n v="72882"/>
    <n v="891"/>
    <x v="17"/>
    <d v="2022-05-12T00:00:00"/>
    <n v="132.40855080815567"/>
    <n v="1.2225240800197581"/>
  </r>
  <r>
    <x v="109"/>
    <x v="1"/>
    <x v="5"/>
    <x v="3"/>
    <x v="109"/>
    <n v="13046"/>
    <n v="738786"/>
    <n v="1193"/>
    <x v="25"/>
    <d v="2022-04-24T00:00:00"/>
    <n v="1.7658699542221969"/>
    <n v="0.16148113256071447"/>
  </r>
  <r>
    <x v="110"/>
    <x v="2"/>
    <x v="6"/>
    <x v="0"/>
    <x v="110"/>
    <n v="22169"/>
    <n v="307019"/>
    <n v="4477"/>
    <x v="22"/>
    <d v="2022-04-24T00:00:00"/>
    <n v="7.220725753129285"/>
    <n v="1.4582159410329654"/>
  </r>
  <r>
    <x v="111"/>
    <x v="2"/>
    <x v="4"/>
    <x v="2"/>
    <x v="111"/>
    <n v="38884"/>
    <n v="642465"/>
    <n v="3860"/>
    <x v="25"/>
    <d v="2022-04-26T00:00:00"/>
    <n v="6.0523141338438666"/>
    <n v="0.60081093911730599"/>
  </r>
  <r>
    <x v="112"/>
    <x v="1"/>
    <x v="2"/>
    <x v="1"/>
    <x v="112"/>
    <n v="26444"/>
    <n v="293480"/>
    <n v="978"/>
    <x v="17"/>
    <d v="2022-05-16T00:00:00"/>
    <n v="9.0104947526236874"/>
    <n v="0.33324246967425381"/>
  </r>
  <r>
    <x v="113"/>
    <x v="2"/>
    <x v="2"/>
    <x v="4"/>
    <x v="113"/>
    <n v="77597"/>
    <n v="3432"/>
    <n v="4321"/>
    <x v="5"/>
    <d v="2022-05-22T00:00:00"/>
    <n v="2260.9848484848485"/>
    <n v="125.90326340326341"/>
  </r>
  <r>
    <x v="114"/>
    <x v="0"/>
    <x v="2"/>
    <x v="2"/>
    <x v="114"/>
    <n v="82376"/>
    <n v="749141"/>
    <n v="73"/>
    <x v="3"/>
    <d v="2022-05-16T00:00:00"/>
    <n v="10.996060821661075"/>
    <n v="9.7444940271591059E-3"/>
  </r>
  <r>
    <x v="115"/>
    <x v="0"/>
    <x v="4"/>
    <x v="2"/>
    <x v="115"/>
    <n v="76710"/>
    <n v="954399"/>
    <n v="3098"/>
    <x v="28"/>
    <d v="2022-05-26T00:00:00"/>
    <n v="8.0375188993282674"/>
    <n v="0.32460218420178566"/>
  </r>
  <r>
    <x v="116"/>
    <x v="0"/>
    <x v="0"/>
    <x v="1"/>
    <x v="116"/>
    <n v="42809"/>
    <n v="225396"/>
    <n v="4877"/>
    <x v="25"/>
    <d v="2022-05-01T00:00:00"/>
    <n v="18.992794903192603"/>
    <n v="2.1637473602016009"/>
  </r>
  <r>
    <x v="117"/>
    <x v="1"/>
    <x v="1"/>
    <x v="0"/>
    <x v="117"/>
    <n v="88590"/>
    <n v="21663"/>
    <n v="559"/>
    <x v="22"/>
    <d v="2022-05-01T00:00:00"/>
    <n v="408.9461293449661"/>
    <n v="2.5804366892858792"/>
  </r>
  <r>
    <x v="118"/>
    <x v="1"/>
    <x v="6"/>
    <x v="4"/>
    <x v="118"/>
    <n v="6793"/>
    <n v="64476"/>
    <n v="3283"/>
    <x v="28"/>
    <d v="2022-05-29T00:00:00"/>
    <n v="10.535703207395001"/>
    <n v="5.0918171102425713"/>
  </r>
  <r>
    <x v="119"/>
    <x v="1"/>
    <x v="0"/>
    <x v="3"/>
    <x v="119"/>
    <n v="87175"/>
    <n v="178177"/>
    <n v="3371"/>
    <x v="27"/>
    <d v="2022-05-17T00:00:00"/>
    <n v="48.926067898774818"/>
    <n v="1.8919389146747334"/>
  </r>
  <r>
    <x v="120"/>
    <x v="1"/>
    <x v="0"/>
    <x v="3"/>
    <x v="120"/>
    <n v="60722"/>
    <n v="838775"/>
    <n v="248"/>
    <x v="20"/>
    <d v="2022-05-12T00:00:00"/>
    <n v="7.2393669339214926"/>
    <n v="2.9566927960418467E-2"/>
  </r>
  <r>
    <x v="121"/>
    <x v="2"/>
    <x v="2"/>
    <x v="4"/>
    <x v="121"/>
    <n v="53738"/>
    <n v="723951"/>
    <n v="1855"/>
    <x v="17"/>
    <d v="2022-05-25T00:00:00"/>
    <n v="7.4228780677145281"/>
    <n v="0.25623281133667886"/>
  </r>
  <r>
    <x v="122"/>
    <x v="1"/>
    <x v="1"/>
    <x v="4"/>
    <x v="122"/>
    <n v="89356"/>
    <n v="956081"/>
    <n v="2373"/>
    <x v="5"/>
    <d v="2022-05-31T00:00:00"/>
    <n v="9.3460700505501109"/>
    <n v="0.24820072776260588"/>
  </r>
  <r>
    <x v="123"/>
    <x v="2"/>
    <x v="0"/>
    <x v="0"/>
    <x v="123"/>
    <n v="99357"/>
    <n v="958664"/>
    <n v="607"/>
    <x v="4"/>
    <d v="2022-06-02T00:00:00"/>
    <n v="10.364110887651982"/>
    <n v="6.3317283219146647E-2"/>
  </r>
  <r>
    <x v="124"/>
    <x v="1"/>
    <x v="6"/>
    <x v="2"/>
    <x v="124"/>
    <n v="32820"/>
    <n v="627719"/>
    <n v="1211"/>
    <x v="5"/>
    <d v="2022-06-02T00:00:00"/>
    <n v="5.2284541331391914"/>
    <n v="0.19292071770967584"/>
  </r>
  <r>
    <x v="125"/>
    <x v="2"/>
    <x v="2"/>
    <x v="1"/>
    <x v="125"/>
    <n v="52163"/>
    <n v="305713"/>
    <n v="4520"/>
    <x v="13"/>
    <d v="2022-05-30T00:00:00"/>
    <n v="17.062735310569064"/>
    <n v="1.4785108909336535"/>
  </r>
  <r>
    <x v="126"/>
    <x v="2"/>
    <x v="3"/>
    <x v="1"/>
    <x v="126"/>
    <n v="38333"/>
    <n v="156332"/>
    <n v="3394"/>
    <x v="18"/>
    <d v="2022-05-16T00:00:00"/>
    <n v="24.520251771870122"/>
    <n v="2.1710206483637386"/>
  </r>
  <r>
    <x v="127"/>
    <x v="2"/>
    <x v="0"/>
    <x v="2"/>
    <x v="127"/>
    <n v="20172"/>
    <n v="722186"/>
    <n v="923"/>
    <x v="13"/>
    <d v="2022-06-01T00:00:00"/>
    <n v="2.7931862428792584"/>
    <n v="0.12780640998302376"/>
  </r>
  <r>
    <x v="128"/>
    <x v="1"/>
    <x v="6"/>
    <x v="3"/>
    <x v="128"/>
    <n v="29556"/>
    <n v="473989"/>
    <n v="3825"/>
    <x v="22"/>
    <d v="2022-05-12T00:00:00"/>
    <n v="6.2355877457071784"/>
    <n v="0.80698075271789016"/>
  </r>
  <r>
    <x v="129"/>
    <x v="2"/>
    <x v="5"/>
    <x v="0"/>
    <x v="129"/>
    <n v="79731"/>
    <n v="66162"/>
    <n v="4922"/>
    <x v="0"/>
    <d v="2022-05-25T00:00:00"/>
    <n v="120.50875124693934"/>
    <n v="7.439315619237628"/>
  </r>
  <r>
    <x v="130"/>
    <x v="3"/>
    <x v="1"/>
    <x v="3"/>
    <x v="130"/>
    <n v="80601"/>
    <n v="71798"/>
    <n v="1833"/>
    <x v="19"/>
    <d v="2022-05-18T00:00:00"/>
    <n v="112.26078720855735"/>
    <n v="2.5529959051784172"/>
  </r>
  <r>
    <x v="131"/>
    <x v="1"/>
    <x v="1"/>
    <x v="3"/>
    <x v="131"/>
    <n v="72957"/>
    <n v="618852"/>
    <n v="1938"/>
    <x v="2"/>
    <d v="2022-05-18T00:00:00"/>
    <n v="11.789086889918753"/>
    <n v="0.31316049717864691"/>
  </r>
  <r>
    <x v="132"/>
    <x v="2"/>
    <x v="6"/>
    <x v="4"/>
    <x v="132"/>
    <n v="47967"/>
    <n v="670002"/>
    <n v="1575"/>
    <x v="20"/>
    <d v="2022-05-24T00:00:00"/>
    <n v="7.1592323605004156"/>
    <n v="0.23507392515246225"/>
  </r>
  <r>
    <x v="133"/>
    <x v="1"/>
    <x v="1"/>
    <x v="1"/>
    <x v="133"/>
    <n v="82189"/>
    <n v="220943"/>
    <n v="3501"/>
    <x v="25"/>
    <d v="2022-05-18T00:00:00"/>
    <n v="37.199187120660085"/>
    <n v="1.5845715863367476"/>
  </r>
  <r>
    <x v="134"/>
    <x v="2"/>
    <x v="5"/>
    <x v="3"/>
    <x v="134"/>
    <n v="54965"/>
    <n v="331179"/>
    <n v="4152"/>
    <x v="22"/>
    <d v="2022-05-18T00:00:00"/>
    <n v="16.596764891493724"/>
    <n v="1.2537026804235776"/>
  </r>
  <r>
    <x v="135"/>
    <x v="3"/>
    <x v="4"/>
    <x v="0"/>
    <x v="135"/>
    <n v="12342"/>
    <n v="120893"/>
    <n v="3250"/>
    <x v="17"/>
    <d v="2022-06-08T00:00:00"/>
    <n v="10.209027817987808"/>
    <n v="2.6883276947383221"/>
  </r>
  <r>
    <x v="136"/>
    <x v="1"/>
    <x v="0"/>
    <x v="1"/>
    <x v="136"/>
    <n v="76631"/>
    <n v="926767"/>
    <n v="2678"/>
    <x v="5"/>
    <d v="2022-06-14T00:00:00"/>
    <n v="8.2686371008031134"/>
    <n v="0.28896151891467869"/>
  </r>
  <r>
    <x v="137"/>
    <x v="0"/>
    <x v="0"/>
    <x v="4"/>
    <x v="137"/>
    <n v="67121"/>
    <n v="124644"/>
    <n v="922"/>
    <x v="14"/>
    <d v="2022-05-30T00:00:00"/>
    <n v="53.85016527069093"/>
    <n v="0.73970668463784861"/>
  </r>
  <r>
    <x v="138"/>
    <x v="2"/>
    <x v="2"/>
    <x v="0"/>
    <x v="138"/>
    <n v="33853"/>
    <n v="508137"/>
    <n v="1107"/>
    <x v="22"/>
    <d v="2022-05-22T00:00:00"/>
    <n v="6.6621796877613715"/>
    <n v="0.21785463369130764"/>
  </r>
  <r>
    <x v="139"/>
    <x v="1"/>
    <x v="1"/>
    <x v="1"/>
    <x v="139"/>
    <n v="69473"/>
    <n v="521689"/>
    <n v="1858"/>
    <x v="0"/>
    <d v="2022-06-04T00:00:00"/>
    <n v="13.316937869113591"/>
    <n v="0.35615088683104301"/>
  </r>
  <r>
    <x v="140"/>
    <x v="1"/>
    <x v="4"/>
    <x v="3"/>
    <x v="140"/>
    <n v="47358"/>
    <n v="425137"/>
    <n v="4559"/>
    <x v="0"/>
    <d v="2022-06-05T00:00:00"/>
    <n v="11.139467983261866"/>
    <n v="1.0723602038872175"/>
  </r>
  <r>
    <x v="141"/>
    <x v="3"/>
    <x v="0"/>
    <x v="1"/>
    <x v="141"/>
    <n v="41519"/>
    <n v="605437"/>
    <n v="3526"/>
    <x v="1"/>
    <d v="2022-06-05T00:00:00"/>
    <n v="6.8576912213822405"/>
    <n v="0.58238924941818893"/>
  </r>
  <r>
    <x v="142"/>
    <x v="1"/>
    <x v="3"/>
    <x v="0"/>
    <x v="142"/>
    <n v="32146"/>
    <n v="184608"/>
    <n v="3105"/>
    <x v="6"/>
    <d v="2022-06-10T00:00:00"/>
    <n v="17.413113191194316"/>
    <n v="1.6819422776911077"/>
  </r>
  <r>
    <x v="143"/>
    <x v="1"/>
    <x v="0"/>
    <x v="2"/>
    <x v="143"/>
    <n v="11672"/>
    <n v="976241"/>
    <n v="2650"/>
    <x v="24"/>
    <d v="2022-06-06T00:00:00"/>
    <n v="1.1956064127607835"/>
    <n v="0.27144936547430398"/>
  </r>
  <r>
    <x v="144"/>
    <x v="2"/>
    <x v="5"/>
    <x v="4"/>
    <x v="144"/>
    <n v="60284"/>
    <n v="214132"/>
    <n v="4994"/>
    <x v="15"/>
    <d v="2022-06-20T00:00:00"/>
    <n v="28.152728223712476"/>
    <n v="2.3322063026544373"/>
  </r>
  <r>
    <x v="145"/>
    <x v="2"/>
    <x v="1"/>
    <x v="0"/>
    <x v="145"/>
    <n v="42016"/>
    <n v="736295"/>
    <n v="4074"/>
    <x v="0"/>
    <d v="2022-06-10T00:00:00"/>
    <n v="5.7064084368357788"/>
    <n v="0.55331083329372055"/>
  </r>
  <r>
    <x v="146"/>
    <x v="1"/>
    <x v="1"/>
    <x v="4"/>
    <x v="146"/>
    <n v="77632"/>
    <n v="294778"/>
    <n v="4533"/>
    <x v="24"/>
    <d v="2022-06-09T00:00:00"/>
    <n v="26.335750971917847"/>
    <n v="1.5377674046231402"/>
  </r>
  <r>
    <x v="147"/>
    <x v="1"/>
    <x v="6"/>
    <x v="2"/>
    <x v="147"/>
    <n v="26076"/>
    <n v="72827"/>
    <n v="2222"/>
    <x v="8"/>
    <d v="2022-06-16T00:00:00"/>
    <n v="35.805401842723164"/>
    <n v="3.0510662254383676"/>
  </r>
  <r>
    <x v="148"/>
    <x v="2"/>
    <x v="1"/>
    <x v="0"/>
    <x v="148"/>
    <n v="6682"/>
    <n v="7138"/>
    <n v="3132"/>
    <x v="21"/>
    <d v="2022-06-23T00:00:00"/>
    <n v="93.611655926029698"/>
    <n v="43.877836929111794"/>
  </r>
  <r>
    <x v="149"/>
    <x v="0"/>
    <x v="3"/>
    <x v="1"/>
    <x v="149"/>
    <n v="76646"/>
    <n v="587474"/>
    <n v="4078"/>
    <x v="21"/>
    <d v="2022-06-24T00:00:00"/>
    <n v="13.046705045670107"/>
    <n v="0.69415837977510497"/>
  </r>
  <r>
    <x v="150"/>
    <x v="0"/>
    <x v="0"/>
    <x v="4"/>
    <x v="150"/>
    <n v="25808"/>
    <n v="967446"/>
    <n v="1184"/>
    <x v="15"/>
    <d v="2022-06-26T00:00:00"/>
    <n v="2.6676424317222875"/>
    <n v="0.12238409172191524"/>
  </r>
  <r>
    <x v="151"/>
    <x v="2"/>
    <x v="6"/>
    <x v="1"/>
    <x v="151"/>
    <n v="83880"/>
    <n v="669320"/>
    <n v="568"/>
    <x v="11"/>
    <d v="2022-06-11T00:00:00"/>
    <n v="12.532122153827766"/>
    <n v="8.4862248251957206E-2"/>
  </r>
  <r>
    <x v="152"/>
    <x v="1"/>
    <x v="6"/>
    <x v="0"/>
    <x v="152"/>
    <n v="50680"/>
    <n v="668727"/>
    <n v="405"/>
    <x v="18"/>
    <d v="2022-06-11T00:00:00"/>
    <n v="7.5785784034441557"/>
    <n v="6.0562830572116873E-2"/>
  </r>
  <r>
    <x v="153"/>
    <x v="2"/>
    <x v="0"/>
    <x v="0"/>
    <x v="153"/>
    <n v="78141"/>
    <n v="221022"/>
    <n v="4071"/>
    <x v="15"/>
    <d v="2022-06-29T00:00:00"/>
    <n v="35.354399109590901"/>
    <n v="1.8418980915926924"/>
  </r>
  <r>
    <x v="154"/>
    <x v="1"/>
    <x v="1"/>
    <x v="3"/>
    <x v="154"/>
    <n v="11406"/>
    <n v="605139"/>
    <n v="2970"/>
    <x v="12"/>
    <d v="2022-06-26T00:00:00"/>
    <n v="1.8848562065905521"/>
    <n v="0.49079632943836049"/>
  </r>
  <r>
    <x v="155"/>
    <x v="2"/>
    <x v="2"/>
    <x v="4"/>
    <x v="155"/>
    <n v="81723"/>
    <n v="37180"/>
    <n v="4812"/>
    <x v="16"/>
    <d v="2022-07-02T00:00:00"/>
    <n v="219.80365788058097"/>
    <n v="12.942442173211404"/>
  </r>
  <r>
    <x v="156"/>
    <x v="1"/>
    <x v="1"/>
    <x v="1"/>
    <x v="156"/>
    <n v="81229"/>
    <n v="27419"/>
    <n v="4989"/>
    <x v="21"/>
    <d v="2022-07-01T00:00:00"/>
    <n v="296.25077501002954"/>
    <n v="18.195411940625114"/>
  </r>
  <r>
    <x v="157"/>
    <x v="0"/>
    <x v="2"/>
    <x v="2"/>
    <x v="157"/>
    <n v="46995"/>
    <n v="170162"/>
    <n v="844"/>
    <x v="12"/>
    <d v="2022-06-29T00:00:00"/>
    <n v="27.617799508703474"/>
    <n v="0.49599793138303494"/>
  </r>
  <r>
    <x v="158"/>
    <x v="0"/>
    <x v="5"/>
    <x v="0"/>
    <x v="158"/>
    <n v="19889"/>
    <n v="558826"/>
    <n v="2104"/>
    <x v="23"/>
    <d v="2022-06-24T00:00:00"/>
    <n v="3.5590684756972655"/>
    <n v="0.37650359861566929"/>
  </r>
  <r>
    <x v="159"/>
    <x v="2"/>
    <x v="4"/>
    <x v="1"/>
    <x v="159"/>
    <n v="87601"/>
    <n v="66153"/>
    <n v="2917"/>
    <x v="18"/>
    <d v="2022-06-18T00:00:00"/>
    <n v="132.42181004640756"/>
    <n v="4.4094750049128537"/>
  </r>
  <r>
    <x v="160"/>
    <x v="3"/>
    <x v="0"/>
    <x v="3"/>
    <x v="160"/>
    <n v="9299"/>
    <n v="854551"/>
    <n v="3738"/>
    <x v="0"/>
    <d v="2022-06-25T00:00:00"/>
    <n v="1.0881737895105148"/>
    <n v="0.4374226933208199"/>
  </r>
  <r>
    <x v="161"/>
    <x v="2"/>
    <x v="6"/>
    <x v="3"/>
    <x v="161"/>
    <n v="27628"/>
    <n v="906738"/>
    <n v="4217"/>
    <x v="4"/>
    <d v="2022-07-10T00:00:00"/>
    <n v="3.046966157809643"/>
    <n v="0.46507370376007179"/>
  </r>
  <r>
    <x v="162"/>
    <x v="2"/>
    <x v="2"/>
    <x v="2"/>
    <x v="162"/>
    <n v="25558"/>
    <n v="382324"/>
    <n v="4647"/>
    <x v="13"/>
    <d v="2022-07-06T00:00:00"/>
    <n v="6.6849059959615404"/>
    <n v="1.2154612318347791"/>
  </r>
  <r>
    <x v="163"/>
    <x v="1"/>
    <x v="3"/>
    <x v="1"/>
    <x v="163"/>
    <n v="1253"/>
    <n v="691130"/>
    <n v="3796"/>
    <x v="28"/>
    <d v="2022-07-13T00:00:00"/>
    <n v="0.18129729573307482"/>
    <n v="0.54924543862949082"/>
  </r>
  <r>
    <x v="164"/>
    <x v="2"/>
    <x v="2"/>
    <x v="2"/>
    <x v="164"/>
    <n v="82098"/>
    <n v="185352"/>
    <n v="4941"/>
    <x v="20"/>
    <d v="2022-06-25T00:00:00"/>
    <n v="44.293020846821186"/>
    <n v="2.6657387025767187"/>
  </r>
  <r>
    <x v="165"/>
    <x v="0"/>
    <x v="0"/>
    <x v="0"/>
    <x v="165"/>
    <n v="61530"/>
    <n v="444357"/>
    <n v="290"/>
    <x v="8"/>
    <d v="2022-07-04T00:00:00"/>
    <n v="13.846974392211667"/>
    <n v="6.5262840463861271E-2"/>
  </r>
  <r>
    <x v="166"/>
    <x v="0"/>
    <x v="0"/>
    <x v="0"/>
    <x v="166"/>
    <n v="75971"/>
    <n v="819661"/>
    <n v="1655"/>
    <x v="11"/>
    <d v="2022-06-26T00:00:00"/>
    <n v="9.2685878674232391"/>
    <n v="0.20191274197503603"/>
  </r>
  <r>
    <x v="167"/>
    <x v="2"/>
    <x v="1"/>
    <x v="0"/>
    <x v="167"/>
    <n v="34487"/>
    <n v="614203"/>
    <n v="4115"/>
    <x v="16"/>
    <d v="2022-07-14T00:00:00"/>
    <n v="5.6149188460492701"/>
    <n v="0.66997393369944469"/>
  </r>
  <r>
    <x v="168"/>
    <x v="3"/>
    <x v="5"/>
    <x v="1"/>
    <x v="168"/>
    <n v="62164"/>
    <n v="465628"/>
    <n v="480"/>
    <x v="27"/>
    <d v="2022-07-05T00:00:00"/>
    <n v="13.350571701014543"/>
    <n v="0.10308658414012904"/>
  </r>
  <r>
    <x v="169"/>
    <x v="2"/>
    <x v="0"/>
    <x v="4"/>
    <x v="169"/>
    <n v="8820"/>
    <n v="55149"/>
    <n v="2671"/>
    <x v="0"/>
    <d v="2022-07-04T00:00:00"/>
    <n v="15.993037045096012"/>
    <n v="4.8432428511849714"/>
  </r>
  <r>
    <x v="170"/>
    <x v="1"/>
    <x v="5"/>
    <x v="3"/>
    <x v="170"/>
    <n v="92560"/>
    <n v="254593"/>
    <n v="1218"/>
    <x v="21"/>
    <d v="2022-07-15T00:00:00"/>
    <n v="36.356066349035522"/>
    <n v="0.47841063972693676"/>
  </r>
  <r>
    <x v="171"/>
    <x v="2"/>
    <x v="1"/>
    <x v="4"/>
    <x v="171"/>
    <n v="47635"/>
    <n v="35767"/>
    <n v="3369"/>
    <x v="22"/>
    <d v="2022-06-24T00:00:00"/>
    <n v="133.18142421785444"/>
    <n v="9.4192971174546365"/>
  </r>
  <r>
    <x v="172"/>
    <x v="3"/>
    <x v="4"/>
    <x v="2"/>
    <x v="172"/>
    <n v="6604"/>
    <n v="218881"/>
    <n v="3240"/>
    <x v="11"/>
    <d v="2022-07-02T00:00:00"/>
    <n v="3.0171645780127103"/>
    <n v="1.480256395027435"/>
  </r>
  <r>
    <x v="173"/>
    <x v="2"/>
    <x v="4"/>
    <x v="4"/>
    <x v="173"/>
    <n v="56529"/>
    <n v="600073"/>
    <n v="647"/>
    <x v="20"/>
    <d v="2022-07-04T00:00:00"/>
    <n v="9.4203538569474041"/>
    <n v="0.10782021520714978"/>
  </r>
  <r>
    <x v="174"/>
    <x v="2"/>
    <x v="0"/>
    <x v="1"/>
    <x v="174"/>
    <n v="30556"/>
    <n v="847073"/>
    <n v="354"/>
    <x v="16"/>
    <d v="2022-07-21T00:00:00"/>
    <n v="3.6072451842993458"/>
    <n v="4.1790967248395358E-2"/>
  </r>
  <r>
    <x v="175"/>
    <x v="1"/>
    <x v="5"/>
    <x v="0"/>
    <x v="175"/>
    <n v="78424"/>
    <n v="787561"/>
    <n v="2763"/>
    <x v="9"/>
    <d v="2022-07-03T00:00:00"/>
    <n v="9.9578318377878041"/>
    <n v="0.35082996745648909"/>
  </r>
  <r>
    <x v="175"/>
    <x v="1"/>
    <x v="5"/>
    <x v="0"/>
    <x v="175"/>
    <n v="78424"/>
    <n v="787561"/>
    <n v="2763"/>
    <x v="9"/>
    <d v="2022-07-03T00:00:00"/>
    <n v="9.9578318377878041"/>
    <n v="0.35082996745648909"/>
  </r>
  <r>
    <x v="176"/>
    <x v="3"/>
    <x v="1"/>
    <x v="4"/>
    <x v="176"/>
    <n v="24777"/>
    <n v="733699"/>
    <n v="530"/>
    <x v="10"/>
    <d v="2022-07-16T00:00:00"/>
    <n v="3.3769979242168793"/>
    <n v="7.22367074236165E-2"/>
  </r>
  <r>
    <x v="177"/>
    <x v="0"/>
    <x v="5"/>
    <x v="4"/>
    <x v="177"/>
    <n v="78232"/>
    <n v="767977"/>
    <n v="4419"/>
    <x v="13"/>
    <d v="2022-07-21T00:00:00"/>
    <n v="10.18676340567491"/>
    <n v="0.57540785726655874"/>
  </r>
  <r>
    <x v="178"/>
    <x v="0"/>
    <x v="5"/>
    <x v="0"/>
    <x v="178"/>
    <n v="95296"/>
    <n v="990787"/>
    <n v="3853"/>
    <x v="26"/>
    <d v="2022-07-03T00:00:00"/>
    <n v="9.6182125926157678"/>
    <n v="0.38888277702472884"/>
  </r>
  <r>
    <x v="179"/>
    <x v="0"/>
    <x v="1"/>
    <x v="1"/>
    <x v="179"/>
    <n v="82532"/>
    <n v="366404"/>
    <n v="3760"/>
    <x v="26"/>
    <d v="2022-07-04T00:00:00"/>
    <n v="22.524863265684871"/>
    <n v="1.0261896704184452"/>
  </r>
  <r>
    <x v="180"/>
    <x v="0"/>
    <x v="2"/>
    <x v="2"/>
    <x v="180"/>
    <n v="52056"/>
    <n v="775667"/>
    <n v="258"/>
    <x v="8"/>
    <d v="2022-07-19T00:00:00"/>
    <n v="6.7111273265460571"/>
    <n v="3.326169606287234E-2"/>
  </r>
  <r>
    <x v="181"/>
    <x v="1"/>
    <x v="0"/>
    <x v="2"/>
    <x v="181"/>
    <n v="22279"/>
    <n v="437966"/>
    <n v="2212"/>
    <x v="25"/>
    <d v="2022-07-05T00:00:00"/>
    <n v="5.0869245557874354"/>
    <n v="0.50506203677911066"/>
  </r>
  <r>
    <x v="182"/>
    <x v="2"/>
    <x v="2"/>
    <x v="1"/>
    <x v="182"/>
    <n v="32086"/>
    <n v="270006"/>
    <n v="209"/>
    <x v="9"/>
    <d v="2022-07-10T00:00:00"/>
    <n v="11.883439627267542"/>
    <n v="7.7405687281023386E-2"/>
  </r>
  <r>
    <x v="183"/>
    <x v="0"/>
    <x v="5"/>
    <x v="1"/>
    <x v="183"/>
    <n v="75917"/>
    <n v="230305"/>
    <n v="764"/>
    <x v="24"/>
    <d v="2022-07-16T00:00:00"/>
    <n v="32.963678600117234"/>
    <n v="0.33173400490653698"/>
  </r>
  <r>
    <x v="184"/>
    <x v="1"/>
    <x v="0"/>
    <x v="2"/>
    <x v="184"/>
    <n v="10250"/>
    <n v="753987"/>
    <n v="1999"/>
    <x v="23"/>
    <d v="2022-07-20T00:00:00"/>
    <n v="1.3594398842420359"/>
    <n v="0.26512393449754434"/>
  </r>
  <r>
    <x v="185"/>
    <x v="2"/>
    <x v="0"/>
    <x v="0"/>
    <x v="185"/>
    <n v="69109"/>
    <n v="555703"/>
    <n v="3652"/>
    <x v="11"/>
    <d v="2022-07-15T00:00:00"/>
    <n v="12.436319400831019"/>
    <n v="0.65718558294628604"/>
  </r>
  <r>
    <x v="186"/>
    <x v="2"/>
    <x v="5"/>
    <x v="0"/>
    <x v="186"/>
    <n v="48510"/>
    <n v="716487"/>
    <n v="230"/>
    <x v="22"/>
    <d v="2022-07-09T00:00:00"/>
    <n v="6.7705345665727359"/>
    <n v="3.2101070919639853E-2"/>
  </r>
  <r>
    <x v="187"/>
    <x v="0"/>
    <x v="0"/>
    <x v="1"/>
    <x v="187"/>
    <n v="13599"/>
    <n v="146277"/>
    <n v="4280"/>
    <x v="1"/>
    <d v="2022-07-21T00:00:00"/>
    <n v="9.296745216267766"/>
    <n v="2.9259555500864796"/>
  </r>
  <r>
    <x v="188"/>
    <x v="2"/>
    <x v="2"/>
    <x v="2"/>
    <x v="188"/>
    <n v="62433"/>
    <n v="622157"/>
    <n v="4450"/>
    <x v="24"/>
    <d v="2022-07-21T00:00:00"/>
    <n v="10.034926875370687"/>
    <n v="0.71525354532698338"/>
  </r>
  <r>
    <x v="189"/>
    <x v="3"/>
    <x v="6"/>
    <x v="4"/>
    <x v="189"/>
    <n v="34275"/>
    <n v="547688"/>
    <n v="4438"/>
    <x v="11"/>
    <d v="2022-07-19T00:00:00"/>
    <n v="6.2581250639049975"/>
    <n v="0.81031536203093735"/>
  </r>
  <r>
    <x v="190"/>
    <x v="2"/>
    <x v="2"/>
    <x v="0"/>
    <x v="190"/>
    <n v="63346"/>
    <n v="517968"/>
    <n v="4928"/>
    <x v="3"/>
    <d v="2022-07-31T00:00:00"/>
    <n v="12.229713032465327"/>
    <n v="0.9514101257220523"/>
  </r>
  <r>
    <x v="191"/>
    <x v="2"/>
    <x v="3"/>
    <x v="0"/>
    <x v="191"/>
    <n v="68695"/>
    <n v="223052"/>
    <n v="4613"/>
    <x v="27"/>
    <d v="2022-07-28T00:00:00"/>
    <n v="30.797751197030287"/>
    <n v="2.0681276114986642"/>
  </r>
  <r>
    <x v="192"/>
    <x v="0"/>
    <x v="3"/>
    <x v="3"/>
    <x v="192"/>
    <n v="88981"/>
    <n v="976804"/>
    <n v="96"/>
    <x v="18"/>
    <d v="2022-07-21T00:00:00"/>
    <n v="9.1094016814017955"/>
    <n v="9.8279695824341415E-3"/>
  </r>
  <r>
    <x v="193"/>
    <x v="2"/>
    <x v="3"/>
    <x v="1"/>
    <x v="193"/>
    <n v="54285"/>
    <n v="201623"/>
    <n v="1317"/>
    <x v="4"/>
    <d v="2022-08-11T00:00:00"/>
    <n v="26.924011645496794"/>
    <n v="0.65319928777966807"/>
  </r>
  <r>
    <x v="194"/>
    <x v="2"/>
    <x v="0"/>
    <x v="0"/>
    <x v="194"/>
    <n v="18041"/>
    <n v="154470"/>
    <n v="149"/>
    <x v="17"/>
    <d v="2022-08-06T00:00:00"/>
    <n v="11.679290477115298"/>
    <n v="9.6458859325435353E-2"/>
  </r>
  <r>
    <x v="195"/>
    <x v="1"/>
    <x v="0"/>
    <x v="3"/>
    <x v="195"/>
    <n v="96145"/>
    <n v="397284"/>
    <n v="3036"/>
    <x v="13"/>
    <d v="2022-08-08T00:00:00"/>
    <n v="24.200571883086155"/>
    <n v="0.76418884223880146"/>
  </r>
  <r>
    <x v="196"/>
    <x v="0"/>
    <x v="2"/>
    <x v="4"/>
    <x v="196"/>
    <n v="6927"/>
    <n v="489774"/>
    <n v="3374"/>
    <x v="21"/>
    <d v="2022-08-10T00:00:00"/>
    <n v="1.4143257910791507"/>
    <n v="0.68888916112329357"/>
  </r>
  <r>
    <x v="197"/>
    <x v="2"/>
    <x v="5"/>
    <x v="1"/>
    <x v="197"/>
    <n v="62545"/>
    <n v="794680"/>
    <n v="103"/>
    <x v="18"/>
    <d v="2022-07-26T00:00:00"/>
    <n v="7.8704635828257912"/>
    <n v="1.296119192630996E-2"/>
  </r>
  <r>
    <x v="198"/>
    <x v="2"/>
    <x v="2"/>
    <x v="0"/>
    <x v="198"/>
    <n v="48106"/>
    <n v="783710"/>
    <n v="1981"/>
    <x v="19"/>
    <d v="2022-07-25T00:00:00"/>
    <n v="6.1382399101708538"/>
    <n v="0.25277207130188467"/>
  </r>
  <r>
    <x v="199"/>
    <x v="0"/>
    <x v="6"/>
    <x v="0"/>
    <x v="199"/>
    <n v="5992"/>
    <n v="453153"/>
    <n v="2475"/>
    <x v="22"/>
    <d v="2022-07-22T00:00:00"/>
    <n v="1.3222907053467592"/>
    <n v="0.54617314681796214"/>
  </r>
  <r>
    <x v="200"/>
    <x v="3"/>
    <x v="2"/>
    <x v="3"/>
    <x v="200"/>
    <n v="94388"/>
    <n v="279693"/>
    <n v="4094"/>
    <x v="12"/>
    <d v="2022-08-11T00:00:00"/>
    <n v="33.747001176289722"/>
    <n v="1.4637477519995137"/>
  </r>
  <r>
    <x v="201"/>
    <x v="1"/>
    <x v="1"/>
    <x v="1"/>
    <x v="201"/>
    <n v="89711"/>
    <n v="149206"/>
    <n v="2865"/>
    <x v="25"/>
    <d v="2022-07-25T00:00:00"/>
    <n v="60.125598166293578"/>
    <n v="1.9201640684690964"/>
  </r>
  <r>
    <x v="202"/>
    <x v="2"/>
    <x v="5"/>
    <x v="4"/>
    <x v="202"/>
    <n v="82752"/>
    <n v="556106"/>
    <n v="4653"/>
    <x v="6"/>
    <d v="2022-08-09T00:00:00"/>
    <n v="14.880616285384441"/>
    <n v="0.83671098675432376"/>
  </r>
  <r>
    <x v="203"/>
    <x v="2"/>
    <x v="1"/>
    <x v="1"/>
    <x v="203"/>
    <n v="62376"/>
    <n v="933053"/>
    <n v="1495"/>
    <x v="9"/>
    <d v="2022-07-31T00:00:00"/>
    <n v="6.6851507899336902"/>
    <n v="0.16022669666139008"/>
  </r>
  <r>
    <x v="204"/>
    <x v="2"/>
    <x v="3"/>
    <x v="4"/>
    <x v="204"/>
    <n v="38880"/>
    <n v="209435"/>
    <n v="1344"/>
    <x v="24"/>
    <d v="2022-08-06T00:00:00"/>
    <n v="18.564232339389307"/>
    <n v="0.64172655000358103"/>
  </r>
  <r>
    <x v="205"/>
    <x v="2"/>
    <x v="5"/>
    <x v="1"/>
    <x v="205"/>
    <n v="41618"/>
    <n v="543745"/>
    <n v="1439"/>
    <x v="3"/>
    <d v="2022-08-15T00:00:00"/>
    <n v="7.6539554386707014"/>
    <n v="0.26464611168838337"/>
  </r>
  <r>
    <x v="206"/>
    <x v="1"/>
    <x v="1"/>
    <x v="0"/>
    <x v="206"/>
    <n v="89985"/>
    <n v="396847"/>
    <n v="2696"/>
    <x v="4"/>
    <d v="2022-08-24T00:00:00"/>
    <n v="22.674985573785364"/>
    <n v="0.67935501591293368"/>
  </r>
  <r>
    <x v="207"/>
    <x v="2"/>
    <x v="0"/>
    <x v="0"/>
    <x v="207"/>
    <n v="67202"/>
    <n v="922211"/>
    <n v="394"/>
    <x v="25"/>
    <d v="2022-07-31T00:00:00"/>
    <n v="7.2870525291934278"/>
    <n v="4.272341145356106E-2"/>
  </r>
  <r>
    <x v="208"/>
    <x v="1"/>
    <x v="3"/>
    <x v="3"/>
    <x v="208"/>
    <n v="18932"/>
    <n v="419983"/>
    <n v="920"/>
    <x v="20"/>
    <d v="2022-08-08T00:00:00"/>
    <n v="4.507801506251444"/>
    <n v="0.21905648561965602"/>
  </r>
  <r>
    <x v="209"/>
    <x v="1"/>
    <x v="6"/>
    <x v="3"/>
    <x v="209"/>
    <n v="59155"/>
    <n v="218379"/>
    <n v="4827"/>
    <x v="8"/>
    <d v="2022-08-17T00:00:00"/>
    <n v="27.088227347867701"/>
    <n v="2.2103773714505515"/>
  </r>
  <r>
    <x v="210"/>
    <x v="1"/>
    <x v="0"/>
    <x v="1"/>
    <x v="210"/>
    <n v="1302"/>
    <n v="852761"/>
    <n v="4261"/>
    <x v="17"/>
    <d v="2022-08-22T00:00:00"/>
    <n v="0.15268052830746248"/>
    <n v="0.49967106844707959"/>
  </r>
  <r>
    <x v="211"/>
    <x v="2"/>
    <x v="4"/>
    <x v="0"/>
    <x v="211"/>
    <n v="36567"/>
    <n v="579301"/>
    <n v="4015"/>
    <x v="16"/>
    <d v="2022-08-27T00:00:00"/>
    <n v="6.3122625370921153"/>
    <n v="0.69307665617701331"/>
  </r>
  <r>
    <x v="212"/>
    <x v="0"/>
    <x v="3"/>
    <x v="3"/>
    <x v="212"/>
    <n v="57100"/>
    <n v="897543"/>
    <n v="3647"/>
    <x v="25"/>
    <d v="2022-08-05T00:00:00"/>
    <n v="6.3618121917278616"/>
    <n v="0.40633150723697919"/>
  </r>
  <r>
    <x v="213"/>
    <x v="0"/>
    <x v="3"/>
    <x v="4"/>
    <x v="213"/>
    <n v="7343"/>
    <n v="4028"/>
    <n v="3548"/>
    <x v="27"/>
    <d v="2022-08-19T00:00:00"/>
    <n v="182.29890764647467"/>
    <n v="88.083416087388272"/>
  </r>
  <r>
    <x v="214"/>
    <x v="0"/>
    <x v="5"/>
    <x v="3"/>
    <x v="214"/>
    <n v="82229"/>
    <n v="214396"/>
    <n v="2886"/>
    <x v="15"/>
    <d v="2022-08-29T00:00:00"/>
    <n v="38.353793914065562"/>
    <n v="1.3461072034926025"/>
  </r>
  <r>
    <x v="215"/>
    <x v="2"/>
    <x v="4"/>
    <x v="3"/>
    <x v="215"/>
    <n v="26920"/>
    <n v="659085"/>
    <n v="4329"/>
    <x v="19"/>
    <d v="2022-08-11T00:00:00"/>
    <n v="4.084450412314041"/>
    <n v="0.6568196818316302"/>
  </r>
  <r>
    <x v="216"/>
    <x v="2"/>
    <x v="0"/>
    <x v="0"/>
    <x v="216"/>
    <n v="95189"/>
    <n v="11130"/>
    <n v="2781"/>
    <x v="13"/>
    <d v="2022-08-29T00:00:00"/>
    <n v="855.24707996406107"/>
    <n v="24.98652291105121"/>
  </r>
  <r>
    <x v="217"/>
    <x v="3"/>
    <x v="0"/>
    <x v="2"/>
    <x v="217"/>
    <n v="28343"/>
    <n v="949727"/>
    <n v="3902"/>
    <x v="19"/>
    <d v="2022-08-13T00:00:00"/>
    <n v="2.9843312867803062"/>
    <n v="0.41085490883169584"/>
  </r>
  <r>
    <x v="218"/>
    <x v="2"/>
    <x v="6"/>
    <x v="3"/>
    <x v="218"/>
    <n v="34437"/>
    <n v="174209"/>
    <n v="55"/>
    <x v="15"/>
    <d v="2022-09-02T00:00:00"/>
    <n v="19.767635426413101"/>
    <n v="3.1571273585176425E-2"/>
  </r>
  <r>
    <x v="219"/>
    <x v="2"/>
    <x v="3"/>
    <x v="0"/>
    <x v="219"/>
    <n v="32496"/>
    <n v="638695"/>
    <n v="2391"/>
    <x v="21"/>
    <d v="2022-09-02T00:00:00"/>
    <n v="5.0878744940855967"/>
    <n v="0.37435708749872787"/>
  </r>
  <r>
    <x v="220"/>
    <x v="1"/>
    <x v="1"/>
    <x v="3"/>
    <x v="220"/>
    <n v="48668"/>
    <n v="426043"/>
    <n v="4476"/>
    <x v="26"/>
    <d v="2022-08-14T00:00:00"/>
    <n v="11.423260093464744"/>
    <n v="1.0505981790570436"/>
  </r>
  <r>
    <x v="221"/>
    <x v="1"/>
    <x v="3"/>
    <x v="0"/>
    <x v="221"/>
    <n v="75068"/>
    <n v="830663"/>
    <n v="4820"/>
    <x v="6"/>
    <d v="2022-08-28T00:00:00"/>
    <n v="9.0371185426580922"/>
    <n v="0.58025938316742165"/>
  </r>
  <r>
    <x v="222"/>
    <x v="3"/>
    <x v="3"/>
    <x v="0"/>
    <x v="222"/>
    <n v="15947"/>
    <n v="732898"/>
    <n v="961"/>
    <x v="27"/>
    <d v="2022-08-28T00:00:00"/>
    <n v="2.1758825921205949"/>
    <n v="0.13112329410095266"/>
  </r>
  <r>
    <x v="223"/>
    <x v="2"/>
    <x v="2"/>
    <x v="0"/>
    <x v="223"/>
    <n v="78701"/>
    <n v="221189"/>
    <n v="2648"/>
    <x v="8"/>
    <d v="2022-08-31T00:00:00"/>
    <n v="35.580883316982309"/>
    <n v="1.1971662243601626"/>
  </r>
  <r>
    <x v="224"/>
    <x v="3"/>
    <x v="6"/>
    <x v="1"/>
    <x v="224"/>
    <n v="6980"/>
    <n v="836224"/>
    <n v="1965"/>
    <x v="21"/>
    <d v="2022-09-07T00:00:00"/>
    <n v="0.83470457676412069"/>
    <n v="0.23498488443287921"/>
  </r>
  <r>
    <x v="225"/>
    <x v="2"/>
    <x v="3"/>
    <x v="1"/>
    <x v="225"/>
    <n v="4518"/>
    <n v="881345"/>
    <n v="2310"/>
    <x v="9"/>
    <d v="2022-08-22T00:00:00"/>
    <n v="0.51262558929817503"/>
    <n v="0.26209940488684907"/>
  </r>
  <r>
    <x v="226"/>
    <x v="1"/>
    <x v="3"/>
    <x v="4"/>
    <x v="226"/>
    <n v="19161"/>
    <n v="196950"/>
    <n v="942"/>
    <x v="19"/>
    <d v="2022-08-22T00:00:00"/>
    <n v="9.7288651942117284"/>
    <n v="0.4782939832444783"/>
  </r>
  <r>
    <x v="227"/>
    <x v="1"/>
    <x v="2"/>
    <x v="2"/>
    <x v="227"/>
    <n v="61563"/>
    <n v="702309"/>
    <n v="109"/>
    <x v="16"/>
    <d v="2022-09-12T00:00:00"/>
    <n v="8.7657996693763014"/>
    <n v="1.5520233971086801E-2"/>
  </r>
  <r>
    <x v="228"/>
    <x v="2"/>
    <x v="0"/>
    <x v="2"/>
    <x v="228"/>
    <n v="96938"/>
    <n v="792099"/>
    <n v="3003"/>
    <x v="12"/>
    <d v="2022-09-08T00:00:00"/>
    <n v="12.238116700058956"/>
    <n v="0.37911927675707202"/>
  </r>
  <r>
    <x v="229"/>
    <x v="2"/>
    <x v="4"/>
    <x v="2"/>
    <x v="229"/>
    <n v="9543"/>
    <n v="907757"/>
    <n v="2349"/>
    <x v="6"/>
    <d v="2022-09-05T00:00:00"/>
    <n v="1.0512725321864771"/>
    <n v="0.25876969277020173"/>
  </r>
  <r>
    <x v="230"/>
    <x v="1"/>
    <x v="3"/>
    <x v="4"/>
    <x v="230"/>
    <n v="4240"/>
    <n v="471330"/>
    <n v="839"/>
    <x v="7"/>
    <d v="2022-08-21T00:00:00"/>
    <n v="0.89958203381919255"/>
    <n v="0.17800691659771287"/>
  </r>
  <r>
    <x v="231"/>
    <x v="3"/>
    <x v="1"/>
    <x v="2"/>
    <x v="231"/>
    <n v="24557"/>
    <n v="121433"/>
    <n v="2265"/>
    <x v="9"/>
    <d v="2022-08-28T00:00:00"/>
    <n v="20.222674231880955"/>
    <n v="1.8652260917543007"/>
  </r>
  <r>
    <x v="232"/>
    <x v="1"/>
    <x v="3"/>
    <x v="1"/>
    <x v="232"/>
    <n v="33413"/>
    <n v="79106"/>
    <n v="3217"/>
    <x v="16"/>
    <d v="2022-09-17T00:00:00"/>
    <n v="42.23826258438045"/>
    <n v="4.0666953202032712"/>
  </r>
  <r>
    <x v="233"/>
    <x v="3"/>
    <x v="0"/>
    <x v="3"/>
    <x v="233"/>
    <n v="95021"/>
    <n v="679646"/>
    <n v="433"/>
    <x v="19"/>
    <d v="2022-08-29T00:00:00"/>
    <n v="13.980954791170696"/>
    <n v="6.3709637075771805E-2"/>
  </r>
  <r>
    <x v="234"/>
    <x v="0"/>
    <x v="2"/>
    <x v="0"/>
    <x v="234"/>
    <n v="45545"/>
    <n v="613987"/>
    <n v="2410"/>
    <x v="5"/>
    <d v="2022-09-20T00:00:00"/>
    <n v="7.4179094997125343"/>
    <n v="0.39251645393143503"/>
  </r>
  <r>
    <x v="235"/>
    <x v="1"/>
    <x v="5"/>
    <x v="4"/>
    <x v="235"/>
    <n v="38530"/>
    <n v="113172"/>
    <n v="2946"/>
    <x v="20"/>
    <d v="2022-09-04T00:00:00"/>
    <n v="34.045523627752452"/>
    <n v="2.603117378856961"/>
  </r>
  <r>
    <x v="236"/>
    <x v="0"/>
    <x v="0"/>
    <x v="2"/>
    <x v="236"/>
    <n v="18582"/>
    <n v="154314"/>
    <n v="697"/>
    <x v="24"/>
    <d v="2022-09-07T00:00:00"/>
    <n v="12.041681247326878"/>
    <n v="0.45167645190974254"/>
  </r>
  <r>
    <x v="237"/>
    <x v="2"/>
    <x v="4"/>
    <x v="2"/>
    <x v="237"/>
    <n v="92770"/>
    <n v="113163"/>
    <n v="67"/>
    <x v="1"/>
    <d v="2022-09-09T00:00:00"/>
    <n v="81.979092106077076"/>
    <n v="5.9206631142687975E-2"/>
  </r>
  <r>
    <x v="238"/>
    <x v="2"/>
    <x v="6"/>
    <x v="2"/>
    <x v="238"/>
    <n v="93064"/>
    <n v="862422"/>
    <n v="3473"/>
    <x v="12"/>
    <d v="2022-09-18T00:00:00"/>
    <n v="10.791004867686585"/>
    <n v="0.40270308503261742"/>
  </r>
  <r>
    <x v="239"/>
    <x v="0"/>
    <x v="1"/>
    <x v="4"/>
    <x v="239"/>
    <n v="78867"/>
    <n v="186665"/>
    <n v="4745"/>
    <x v="7"/>
    <d v="2022-08-30T00:00:00"/>
    <n v="42.25055580853401"/>
    <n v="2.541986982026625"/>
  </r>
  <r>
    <x v="240"/>
    <x v="0"/>
    <x v="5"/>
    <x v="1"/>
    <x v="240"/>
    <n v="76464"/>
    <n v="314841"/>
    <n v="3831"/>
    <x v="3"/>
    <d v="2022-09-19T00:00:00"/>
    <n v="24.286544636816679"/>
    <n v="1.2168046728348596"/>
  </r>
  <r>
    <x v="241"/>
    <x v="2"/>
    <x v="6"/>
    <x v="1"/>
    <x v="241"/>
    <n v="85886"/>
    <n v="917036"/>
    <n v="2883"/>
    <x v="3"/>
    <d v="2022-09-20T00:00:00"/>
    <n v="9.365608329443992"/>
    <n v="0.31438242337269201"/>
  </r>
  <r>
    <x v="242"/>
    <x v="1"/>
    <x v="0"/>
    <x v="4"/>
    <x v="242"/>
    <n v="46330"/>
    <n v="467935"/>
    <n v="1213"/>
    <x v="1"/>
    <d v="2022-09-14T00:00:00"/>
    <n v="9.900947781208929"/>
    <n v="0.25922403752657952"/>
  </r>
  <r>
    <x v="243"/>
    <x v="1"/>
    <x v="4"/>
    <x v="3"/>
    <x v="243"/>
    <n v="40502"/>
    <n v="884245"/>
    <n v="2356"/>
    <x v="21"/>
    <d v="2022-09-26T00:00:00"/>
    <n v="4.5804047520766309"/>
    <n v="0.26644199288658688"/>
  </r>
  <r>
    <x v="244"/>
    <x v="0"/>
    <x v="1"/>
    <x v="2"/>
    <x v="244"/>
    <n v="191"/>
    <n v="197238"/>
    <n v="629"/>
    <x v="2"/>
    <d v="2022-09-08T00:00:00"/>
    <n v="9.683732343666028E-2"/>
    <n v="0.31890406513957759"/>
  </r>
  <r>
    <x v="245"/>
    <x v="1"/>
    <x v="2"/>
    <x v="2"/>
    <x v="245"/>
    <n v="94677"/>
    <n v="758960"/>
    <n v="1472"/>
    <x v="10"/>
    <d v="2022-09-23T00:00:00"/>
    <n v="12.474570464846632"/>
    <n v="0.19394961526299145"/>
  </r>
  <r>
    <x v="246"/>
    <x v="1"/>
    <x v="1"/>
    <x v="1"/>
    <x v="246"/>
    <n v="68777"/>
    <n v="247452"/>
    <n v="2629"/>
    <x v="9"/>
    <d v="2022-09-12T00:00:00"/>
    <n v="27.794077235180964"/>
    <n v="1.0624282689168001"/>
  </r>
  <r>
    <x v="247"/>
    <x v="2"/>
    <x v="4"/>
    <x v="3"/>
    <x v="247"/>
    <n v="13547"/>
    <n v="622216"/>
    <n v="4450"/>
    <x v="7"/>
    <d v="2022-09-07T00:00:00"/>
    <n v="2.177218200753436"/>
    <n v="0.71518572328580432"/>
  </r>
  <r>
    <x v="248"/>
    <x v="1"/>
    <x v="3"/>
    <x v="2"/>
    <x v="248"/>
    <n v="5466"/>
    <n v="203718"/>
    <n v="1140"/>
    <x v="20"/>
    <d v="2022-09-17T00:00:00"/>
    <n v="2.6831207846140255"/>
    <n v="0.55959709009513148"/>
  </r>
  <r>
    <x v="249"/>
    <x v="1"/>
    <x v="2"/>
    <x v="2"/>
    <x v="249"/>
    <n v="49946"/>
    <n v="721736"/>
    <n v="3766"/>
    <x v="17"/>
    <d v="2022-09-30T00:00:00"/>
    <n v="6.9202589312435574"/>
    <n v="0.5217974439407207"/>
  </r>
  <r>
    <x v="250"/>
    <x v="0"/>
    <x v="1"/>
    <x v="2"/>
    <x v="250"/>
    <n v="35919"/>
    <n v="483840"/>
    <n v="92"/>
    <x v="9"/>
    <d v="2022-09-16T00:00:00"/>
    <n v="7.4237351190476195"/>
    <n v="1.9014550264550265E-2"/>
  </r>
  <r>
    <x v="251"/>
    <x v="1"/>
    <x v="3"/>
    <x v="1"/>
    <x v="251"/>
    <n v="61711"/>
    <n v="878166"/>
    <n v="4716"/>
    <x v="19"/>
    <d v="2022-09-16T00:00:00"/>
    <n v="7.0272590831346236"/>
    <n v="0.53702830672105273"/>
  </r>
  <r>
    <x v="252"/>
    <x v="2"/>
    <x v="2"/>
    <x v="3"/>
    <x v="252"/>
    <n v="35034"/>
    <n v="772087"/>
    <n v="3334"/>
    <x v="22"/>
    <d v="2022-09-13T00:00:00"/>
    <n v="4.5375715431033035"/>
    <n v="0.43181662170195845"/>
  </r>
  <r>
    <x v="253"/>
    <x v="2"/>
    <x v="6"/>
    <x v="2"/>
    <x v="253"/>
    <n v="41915"/>
    <n v="539331"/>
    <n v="1928"/>
    <x v="23"/>
    <d v="2022-09-27T00:00:00"/>
    <n v="7.7716652667842192"/>
    <n v="0.35747991493164682"/>
  </r>
  <r>
    <x v="254"/>
    <x v="0"/>
    <x v="2"/>
    <x v="2"/>
    <x v="254"/>
    <n v="72041"/>
    <n v="446014"/>
    <n v="4934"/>
    <x v="6"/>
    <d v="2022-09-30T00:00:00"/>
    <n v="16.152183563744636"/>
    <n v="1.1062433017797646"/>
  </r>
  <r>
    <x v="255"/>
    <x v="0"/>
    <x v="2"/>
    <x v="3"/>
    <x v="255"/>
    <n v="57747"/>
    <n v="517697"/>
    <n v="3517"/>
    <x v="28"/>
    <d v="2022-10-13T00:00:00"/>
    <n v="11.154594289710005"/>
    <n v="0.67935491223630806"/>
  </r>
  <r>
    <x v="256"/>
    <x v="2"/>
    <x v="5"/>
    <x v="4"/>
    <x v="256"/>
    <n v="13732"/>
    <n v="95555"/>
    <n v="4106"/>
    <x v="24"/>
    <d v="2022-09-27T00:00:00"/>
    <n v="14.370781225472239"/>
    <n v="4.2970017267542255"/>
  </r>
  <r>
    <x v="257"/>
    <x v="2"/>
    <x v="2"/>
    <x v="3"/>
    <x v="257"/>
    <n v="40531"/>
    <n v="939775"/>
    <n v="408"/>
    <x v="5"/>
    <d v="2022-10-13T00:00:00"/>
    <n v="4.3128408395626616"/>
    <n v="4.3414647122981563E-2"/>
  </r>
  <r>
    <x v="258"/>
    <x v="1"/>
    <x v="2"/>
    <x v="1"/>
    <x v="258"/>
    <n v="90828"/>
    <n v="381955"/>
    <n v="1474"/>
    <x v="19"/>
    <d v="2022-09-23T00:00:00"/>
    <n v="23.779764631959264"/>
    <n v="0.38590933486929091"/>
  </r>
  <r>
    <x v="259"/>
    <x v="2"/>
    <x v="5"/>
    <x v="4"/>
    <x v="259"/>
    <n v="23335"/>
    <n v="116757"/>
    <n v="2532"/>
    <x v="20"/>
    <d v="2022-09-28T00:00:00"/>
    <n v="19.98595373296676"/>
    <n v="2.1686065931807086"/>
  </r>
  <r>
    <x v="260"/>
    <x v="0"/>
    <x v="4"/>
    <x v="2"/>
    <x v="260"/>
    <n v="47791"/>
    <n v="215462"/>
    <n v="3474"/>
    <x v="25"/>
    <d v="2022-09-22T00:00:00"/>
    <n v="22.180709359423005"/>
    <n v="1.6123492773667747"/>
  </r>
  <r>
    <x v="261"/>
    <x v="2"/>
    <x v="0"/>
    <x v="3"/>
    <x v="261"/>
    <n v="6054"/>
    <n v="974255"/>
    <n v="2372"/>
    <x v="6"/>
    <d v="2022-10-07T00:00:00"/>
    <n v="0.62139788864311707"/>
    <n v="0.24346808587074226"/>
  </r>
  <r>
    <x v="262"/>
    <x v="2"/>
    <x v="4"/>
    <x v="2"/>
    <x v="262"/>
    <n v="39928"/>
    <n v="200883"/>
    <n v="1485"/>
    <x v="6"/>
    <d v="2022-10-08T00:00:00"/>
    <n v="19.876246372266444"/>
    <n v="0.73923627185973928"/>
  </r>
  <r>
    <x v="263"/>
    <x v="3"/>
    <x v="0"/>
    <x v="1"/>
    <x v="263"/>
    <n v="6605"/>
    <n v="116332"/>
    <n v="4646"/>
    <x v="22"/>
    <d v="2022-09-24T00:00:00"/>
    <n v="5.6777155039026237"/>
    <n v="3.9937420486194681"/>
  </r>
  <r>
    <x v="264"/>
    <x v="2"/>
    <x v="4"/>
    <x v="1"/>
    <x v="264"/>
    <n v="12032"/>
    <n v="9581"/>
    <n v="427"/>
    <x v="3"/>
    <d v="2022-10-13T00:00:00"/>
    <n v="125.5818808057614"/>
    <n v="4.4567372925581878"/>
  </r>
  <r>
    <x v="265"/>
    <x v="2"/>
    <x v="3"/>
    <x v="1"/>
    <x v="265"/>
    <n v="18373"/>
    <n v="239106"/>
    <n v="2873"/>
    <x v="8"/>
    <d v="2022-10-12T00:00:00"/>
    <n v="7.6840397146035651"/>
    <n v="1.2015591411340576"/>
  </r>
  <r>
    <x v="266"/>
    <x v="2"/>
    <x v="5"/>
    <x v="2"/>
    <x v="266"/>
    <n v="84425"/>
    <n v="986392"/>
    <n v="4107"/>
    <x v="6"/>
    <d v="2022-10-12T00:00:00"/>
    <n v="8.5589704701579095"/>
    <n v="0.41636590726607681"/>
  </r>
  <r>
    <x v="267"/>
    <x v="2"/>
    <x v="3"/>
    <x v="4"/>
    <x v="267"/>
    <n v="86451"/>
    <n v="701091"/>
    <n v="1310"/>
    <x v="4"/>
    <d v="2022-10-24T00:00:00"/>
    <n v="12.330924230948622"/>
    <n v="0.18685163552235015"/>
  </r>
  <r>
    <x v="268"/>
    <x v="2"/>
    <x v="1"/>
    <x v="1"/>
    <x v="268"/>
    <n v="50461"/>
    <n v="471815"/>
    <n v="650"/>
    <x v="3"/>
    <d v="2022-10-17T00:00:00"/>
    <n v="10.695081758740184"/>
    <n v="0.1377658616194907"/>
  </r>
  <r>
    <x v="269"/>
    <x v="2"/>
    <x v="2"/>
    <x v="4"/>
    <x v="269"/>
    <n v="20275"/>
    <n v="422813"/>
    <n v="4622"/>
    <x v="10"/>
    <d v="2022-10-17T00:00:00"/>
    <n v="4.7952641002050553"/>
    <n v="1.0931546570233177"/>
  </r>
  <r>
    <x v="270"/>
    <x v="2"/>
    <x v="2"/>
    <x v="1"/>
    <x v="270"/>
    <n v="43738"/>
    <n v="806430"/>
    <n v="4982"/>
    <x v="28"/>
    <d v="2022-10-28T00:00:00"/>
    <n v="5.423657354017088"/>
    <n v="0.61778455662611753"/>
  </r>
  <r>
    <x v="271"/>
    <x v="2"/>
    <x v="2"/>
    <x v="4"/>
    <x v="271"/>
    <n v="27206"/>
    <n v="426648"/>
    <n v="2540"/>
    <x v="4"/>
    <d v="2022-10-28T00:00:00"/>
    <n v="6.3766852299788113"/>
    <n v="0.59533854606139014"/>
  </r>
  <r>
    <x v="272"/>
    <x v="1"/>
    <x v="5"/>
    <x v="1"/>
    <x v="272"/>
    <n v="19146"/>
    <n v="799449"/>
    <n v="1138"/>
    <x v="13"/>
    <d v="2022-10-24T00:00:00"/>
    <n v="2.3948994870216862"/>
    <n v="0.14234804221407493"/>
  </r>
  <r>
    <x v="273"/>
    <x v="1"/>
    <x v="0"/>
    <x v="1"/>
    <x v="273"/>
    <n v="87235"/>
    <n v="901370"/>
    <n v="2181"/>
    <x v="4"/>
    <d v="2022-10-30T00:00:00"/>
    <n v="9.6780456416344016"/>
    <n v="0.24196500881990746"/>
  </r>
  <r>
    <x v="274"/>
    <x v="2"/>
    <x v="6"/>
    <x v="0"/>
    <x v="274"/>
    <n v="61675"/>
    <n v="598723"/>
    <n v="1405"/>
    <x v="6"/>
    <d v="2022-10-20T00:00:00"/>
    <n v="10.301090821632041"/>
    <n v="0.23466611438010565"/>
  </r>
  <r>
    <x v="275"/>
    <x v="2"/>
    <x v="6"/>
    <x v="1"/>
    <x v="275"/>
    <n v="36425"/>
    <n v="695150"/>
    <n v="454"/>
    <x v="4"/>
    <d v="2022-11-01T00:00:00"/>
    <n v="5.2398762856937351"/>
    <n v="6.5309645400273328E-2"/>
  </r>
  <r>
    <x v="276"/>
    <x v="1"/>
    <x v="1"/>
    <x v="1"/>
    <x v="276"/>
    <n v="54787"/>
    <n v="595581"/>
    <n v="3687"/>
    <x v="15"/>
    <d v="2022-10-30T00:00:00"/>
    <n v="9.198916688074334"/>
    <n v="0.61905937227681873"/>
  </r>
  <r>
    <x v="277"/>
    <x v="0"/>
    <x v="3"/>
    <x v="1"/>
    <x v="277"/>
    <n v="98733"/>
    <n v="732621"/>
    <n v="3242"/>
    <x v="8"/>
    <d v="2022-10-24T00:00:00"/>
    <n v="13.476681667601667"/>
    <n v="0.44252075766323923"/>
  </r>
  <r>
    <x v="278"/>
    <x v="0"/>
    <x v="4"/>
    <x v="0"/>
    <x v="278"/>
    <n v="81201"/>
    <n v="603306"/>
    <n v="3876"/>
    <x v="10"/>
    <d v="2022-10-26T00:00:00"/>
    <n v="13.459339041879245"/>
    <n v="0.6424600451512168"/>
  </r>
  <r>
    <x v="279"/>
    <x v="2"/>
    <x v="0"/>
    <x v="3"/>
    <x v="279"/>
    <n v="71176"/>
    <n v="423793"/>
    <n v="3049"/>
    <x v="27"/>
    <d v="2022-10-24T00:00:00"/>
    <n v="16.794991894627799"/>
    <n v="0.7194550169540318"/>
  </r>
  <r>
    <x v="280"/>
    <x v="2"/>
    <x v="5"/>
    <x v="4"/>
    <x v="280"/>
    <n v="66479"/>
    <n v="614320"/>
    <n v="2899"/>
    <x v="12"/>
    <d v="2022-10-30T00:00:00"/>
    <n v="10.821558796718323"/>
    <n v="0.47190389373616354"/>
  </r>
  <r>
    <x v="281"/>
    <x v="2"/>
    <x v="5"/>
    <x v="4"/>
    <x v="281"/>
    <n v="27668"/>
    <n v="835501"/>
    <n v="3288"/>
    <x v="20"/>
    <d v="2022-10-20T00:00:00"/>
    <n v="3.3115460065278199"/>
    <n v="0.3935363332898465"/>
  </r>
  <r>
    <x v="282"/>
    <x v="2"/>
    <x v="2"/>
    <x v="1"/>
    <x v="282"/>
    <n v="91272"/>
    <n v="904797"/>
    <n v="2830"/>
    <x v="22"/>
    <d v="2022-10-13T00:00:00"/>
    <n v="10.087566603337544"/>
    <n v="0.31277734121576445"/>
  </r>
  <r>
    <x v="283"/>
    <x v="1"/>
    <x v="6"/>
    <x v="4"/>
    <x v="283"/>
    <n v="69439"/>
    <n v="394871"/>
    <n v="3928"/>
    <x v="3"/>
    <d v="2022-11-01T00:00:00"/>
    <n v="17.585236697554389"/>
    <n v="0.99475524918264446"/>
  </r>
  <r>
    <x v="284"/>
    <x v="1"/>
    <x v="5"/>
    <x v="0"/>
    <x v="284"/>
    <n v="32505"/>
    <n v="46549"/>
    <n v="2697"/>
    <x v="20"/>
    <d v="2022-10-23T00:00:00"/>
    <n v="69.829641882747211"/>
    <n v="5.7938946056843328"/>
  </r>
  <r>
    <x v="285"/>
    <x v="2"/>
    <x v="2"/>
    <x v="0"/>
    <x v="285"/>
    <n v="59552"/>
    <n v="171915"/>
    <n v="2503"/>
    <x v="10"/>
    <d v="2022-11-02T00:00:00"/>
    <n v="34.640374603728588"/>
    <n v="1.4559520693365908"/>
  </r>
  <r>
    <x v="286"/>
    <x v="2"/>
    <x v="3"/>
    <x v="3"/>
    <x v="286"/>
    <n v="5049"/>
    <n v="261895"/>
    <n v="1645"/>
    <x v="24"/>
    <d v="2022-10-27T00:00:00"/>
    <n v="1.9278718570419444"/>
    <n v="0.62811432062467787"/>
  </r>
  <r>
    <x v="287"/>
    <x v="1"/>
    <x v="3"/>
    <x v="2"/>
    <x v="287"/>
    <n v="15643"/>
    <n v="473703"/>
    <n v="2497"/>
    <x v="0"/>
    <d v="2022-10-30T00:00:00"/>
    <n v="3.3022801206663246"/>
    <n v="0.52712353521088107"/>
  </r>
  <r>
    <x v="288"/>
    <x v="2"/>
    <x v="0"/>
    <x v="1"/>
    <x v="288"/>
    <n v="9506"/>
    <n v="627382"/>
    <n v="3930"/>
    <x v="25"/>
    <d v="2022-10-20T00:00:00"/>
    <n v="1.5151853256867427"/>
    <n v="0.62641261623699751"/>
  </r>
  <r>
    <x v="289"/>
    <x v="0"/>
    <x v="4"/>
    <x v="2"/>
    <x v="289"/>
    <n v="1343"/>
    <n v="802367"/>
    <n v="3285"/>
    <x v="1"/>
    <d v="2022-10-31T00:00:00"/>
    <n v="0.16737976511995134"/>
    <n v="0.40941364737084152"/>
  </r>
  <r>
    <x v="290"/>
    <x v="2"/>
    <x v="6"/>
    <x v="2"/>
    <x v="290"/>
    <n v="79486"/>
    <n v="361704"/>
    <n v="2359"/>
    <x v="21"/>
    <d v="2022-11-12T00:00:00"/>
    <n v="21.97542742131688"/>
    <n v="0.65219074160086699"/>
  </r>
  <r>
    <x v="291"/>
    <x v="3"/>
    <x v="5"/>
    <x v="4"/>
    <x v="291"/>
    <n v="92306"/>
    <n v="332075"/>
    <n v="2499"/>
    <x v="21"/>
    <d v="2022-11-13T00:00:00"/>
    <n v="27.796732665813444"/>
    <n v="0.75254084167733193"/>
  </r>
  <r>
    <x v="292"/>
    <x v="2"/>
    <x v="1"/>
    <x v="1"/>
    <x v="292"/>
    <n v="16549"/>
    <n v="339629"/>
    <n v="2989"/>
    <x v="16"/>
    <d v="2022-11-16T00:00:00"/>
    <n v="4.8726698839027289"/>
    <n v="0.88007796742916533"/>
  </r>
  <r>
    <x v="293"/>
    <x v="0"/>
    <x v="2"/>
    <x v="4"/>
    <x v="293"/>
    <n v="24361"/>
    <n v="56446"/>
    <n v="2738"/>
    <x v="26"/>
    <d v="2022-10-26T00:00:00"/>
    <n v="43.158062573078695"/>
    <n v="4.8506537221415158"/>
  </r>
  <r>
    <x v="294"/>
    <x v="3"/>
    <x v="6"/>
    <x v="3"/>
    <x v="294"/>
    <n v="46415"/>
    <n v="94481"/>
    <n v="2322"/>
    <x v="2"/>
    <d v="2022-10-28T00:00:00"/>
    <n v="49.12627935775447"/>
    <n v="2.4576369852139583"/>
  </r>
  <r>
    <x v="295"/>
    <x v="3"/>
    <x v="1"/>
    <x v="1"/>
    <x v="295"/>
    <n v="48460"/>
    <n v="151110"/>
    <n v="3821"/>
    <x v="22"/>
    <d v="2022-10-26T00:00:00"/>
    <n v="32.069353451128322"/>
    <n v="2.5286215339818674"/>
  </r>
  <r>
    <x v="296"/>
    <x v="0"/>
    <x v="2"/>
    <x v="1"/>
    <x v="296"/>
    <n v="88524"/>
    <n v="179676"/>
    <n v="2608"/>
    <x v="27"/>
    <d v="2022-11-10T00:00:00"/>
    <n v="49.268683630534966"/>
    <n v="1.4515015917540461"/>
  </r>
  <r>
    <x v="297"/>
    <x v="0"/>
    <x v="2"/>
    <x v="4"/>
    <x v="297"/>
    <n v="38409"/>
    <n v="795450"/>
    <n v="879"/>
    <x v="14"/>
    <d v="2022-11-06T00:00:00"/>
    <n v="4.8285875919290966"/>
    <n v="0.11050348859136339"/>
  </r>
  <r>
    <x v="298"/>
    <x v="1"/>
    <x v="3"/>
    <x v="3"/>
    <x v="298"/>
    <n v="83705"/>
    <n v="176491"/>
    <n v="3356"/>
    <x v="26"/>
    <d v="2022-10-31T00:00:00"/>
    <n v="47.427347570131055"/>
    <n v="1.9015133916177029"/>
  </r>
  <r>
    <x v="299"/>
    <x v="0"/>
    <x v="6"/>
    <x v="2"/>
    <x v="299"/>
    <n v="50730"/>
    <n v="967433"/>
    <n v="595"/>
    <x v="11"/>
    <d v="2022-11-06T00:00:00"/>
    <n v="5.2437739874492602"/>
    <n v="6.1502967130540306E-2"/>
  </r>
  <r>
    <x v="300"/>
    <x v="2"/>
    <x v="6"/>
    <x v="2"/>
    <x v="300"/>
    <n v="85762"/>
    <n v="520538"/>
    <n v="1089"/>
    <x v="21"/>
    <d v="2022-11-22T00:00:00"/>
    <n v="16.475646350506594"/>
    <n v="0.20920662852663974"/>
  </r>
  <r>
    <x v="301"/>
    <x v="1"/>
    <x v="4"/>
    <x v="4"/>
    <x v="301"/>
    <n v="81930"/>
    <n v="429459"/>
    <n v="3373"/>
    <x v="6"/>
    <d v="2022-11-16T00:00:00"/>
    <n v="19.077490517139005"/>
    <n v="0.78540675594177789"/>
  </r>
  <r>
    <x v="302"/>
    <x v="1"/>
    <x v="3"/>
    <x v="3"/>
    <x v="302"/>
    <n v="41825"/>
    <n v="938483"/>
    <n v="2722"/>
    <x v="5"/>
    <d v="2022-11-27T00:00:00"/>
    <n v="4.4566603763733603"/>
    <n v="0.29004254738764579"/>
  </r>
  <r>
    <x v="303"/>
    <x v="0"/>
    <x v="1"/>
    <x v="1"/>
    <x v="303"/>
    <n v="27913"/>
    <n v="243484"/>
    <n v="797"/>
    <x v="26"/>
    <d v="2022-11-05T00:00:00"/>
    <n v="11.463997634341476"/>
    <n v="0.32733157004156332"/>
  </r>
  <r>
    <x v="304"/>
    <x v="1"/>
    <x v="0"/>
    <x v="1"/>
    <x v="304"/>
    <n v="48574"/>
    <n v="161921"/>
    <n v="4938"/>
    <x v="4"/>
    <d v="2022-11-30T00:00:00"/>
    <n v="29.99857955422706"/>
    <n v="3.0496353159874259"/>
  </r>
  <r>
    <x v="305"/>
    <x v="2"/>
    <x v="6"/>
    <x v="3"/>
    <x v="305"/>
    <n v="69166"/>
    <n v="267934"/>
    <n v="521"/>
    <x v="16"/>
    <d v="2022-11-29T00:00:00"/>
    <n v="25.814566273783839"/>
    <n v="0.19445087222972823"/>
  </r>
  <r>
    <x v="306"/>
    <x v="1"/>
    <x v="3"/>
    <x v="2"/>
    <x v="306"/>
    <n v="89893"/>
    <n v="318499"/>
    <n v="3513"/>
    <x v="2"/>
    <d v="2022-11-09T00:00:00"/>
    <n v="28.22395046766238"/>
    <n v="1.1029861946191355"/>
  </r>
  <r>
    <x v="307"/>
    <x v="2"/>
    <x v="0"/>
    <x v="1"/>
    <x v="307"/>
    <n v="30164"/>
    <n v="866948"/>
    <n v="3859"/>
    <x v="4"/>
    <d v="2022-12-03T00:00:00"/>
    <n v="3.4793320937357257"/>
    <n v="0.44512473643171219"/>
  </r>
  <r>
    <x v="308"/>
    <x v="2"/>
    <x v="6"/>
    <x v="0"/>
    <x v="308"/>
    <n v="60380"/>
    <n v="266968"/>
    <n v="2234"/>
    <x v="5"/>
    <d v="2022-12-03T00:00:00"/>
    <n v="22.616942854574333"/>
    <n v="0.83680441101555236"/>
  </r>
  <r>
    <x v="309"/>
    <x v="1"/>
    <x v="3"/>
    <x v="2"/>
    <x v="309"/>
    <n v="71528"/>
    <n v="874120"/>
    <n v="3251"/>
    <x v="26"/>
    <d v="2022-11-11T00:00:00"/>
    <n v="8.1828581888070282"/>
    <n v="0.37191689928156318"/>
  </r>
  <r>
    <x v="310"/>
    <x v="1"/>
    <x v="5"/>
    <x v="4"/>
    <x v="310"/>
    <n v="23932"/>
    <n v="350367"/>
    <n v="2875"/>
    <x v="10"/>
    <d v="2022-11-27T00:00:00"/>
    <n v="6.8305519640833756"/>
    <n v="0.82056814711431147"/>
  </r>
  <r>
    <x v="311"/>
    <x v="2"/>
    <x v="6"/>
    <x v="4"/>
    <x v="311"/>
    <n v="37633"/>
    <n v="216833"/>
    <n v="3090"/>
    <x v="0"/>
    <d v="2022-11-23T00:00:00"/>
    <n v="17.355753044970093"/>
    <n v="1.425059838677692"/>
  </r>
  <r>
    <x v="312"/>
    <x v="2"/>
    <x v="3"/>
    <x v="0"/>
    <x v="312"/>
    <n v="82130"/>
    <n v="455614"/>
    <n v="2689"/>
    <x v="3"/>
    <d v="2022-11-30T00:00:00"/>
    <n v="18.026223952731918"/>
    <n v="0.59019257529399882"/>
  </r>
  <r>
    <x v="313"/>
    <x v="2"/>
    <x v="3"/>
    <x v="3"/>
    <x v="313"/>
    <n v="51555"/>
    <n v="285844"/>
    <n v="4983"/>
    <x v="12"/>
    <d v="2022-12-02T00:00:00"/>
    <n v="18.036061628020878"/>
    <n v="1.7432585606134816"/>
  </r>
  <r>
    <x v="314"/>
    <x v="2"/>
    <x v="5"/>
    <x v="0"/>
    <x v="314"/>
    <n v="9788"/>
    <n v="46599"/>
    <n v="4576"/>
    <x v="13"/>
    <d v="2022-12-05T00:00:00"/>
    <n v="21.004742591042728"/>
    <n v="9.8199532178802116"/>
  </r>
  <r>
    <x v="315"/>
    <x v="2"/>
    <x v="3"/>
    <x v="1"/>
    <x v="315"/>
    <n v="66098"/>
    <n v="19101"/>
    <n v="623"/>
    <x v="3"/>
    <d v="2022-12-03T00:00:00"/>
    <n v="346.0447097010628"/>
    <n v="3.2616093398251405"/>
  </r>
  <r>
    <x v="316"/>
    <x v="1"/>
    <x v="6"/>
    <x v="0"/>
    <x v="316"/>
    <n v="51281"/>
    <n v="66059"/>
    <n v="4224"/>
    <x v="11"/>
    <d v="2022-11-23T00:00:00"/>
    <n v="77.629089147580189"/>
    <n v="6.3942838977277887"/>
  </r>
  <r>
    <x v="317"/>
    <x v="2"/>
    <x v="0"/>
    <x v="3"/>
    <x v="317"/>
    <n v="57290"/>
    <n v="138149"/>
    <n v="1826"/>
    <x v="4"/>
    <d v="2022-12-13T00:00:00"/>
    <n v="41.469717478953882"/>
    <n v="1.3217612867266502"/>
  </r>
  <r>
    <x v="318"/>
    <x v="3"/>
    <x v="2"/>
    <x v="2"/>
    <x v="318"/>
    <n v="14204"/>
    <n v="722272"/>
    <n v="3197"/>
    <x v="13"/>
    <d v="2022-12-09T00:00:00"/>
    <n v="1.966572150104116"/>
    <n v="0.44263103096894246"/>
  </r>
  <r>
    <x v="319"/>
    <x v="3"/>
    <x v="2"/>
    <x v="2"/>
    <x v="319"/>
    <n v="37594"/>
    <n v="72072"/>
    <n v="554"/>
    <x v="27"/>
    <d v="2022-12-03T00:00:00"/>
    <n v="52.161727161727164"/>
    <n v="0.7686757686757687"/>
  </r>
  <r>
    <x v="320"/>
    <x v="1"/>
    <x v="0"/>
    <x v="4"/>
    <x v="320"/>
    <n v="4815"/>
    <n v="868845"/>
    <n v="866"/>
    <x v="16"/>
    <d v="2022-12-14T00:00:00"/>
    <n v="0.55418400290040226"/>
    <n v="9.9672553792678795E-2"/>
  </r>
  <r>
    <x v="321"/>
    <x v="2"/>
    <x v="5"/>
    <x v="0"/>
    <x v="321"/>
    <n v="63911"/>
    <n v="686419"/>
    <n v="4423"/>
    <x v="6"/>
    <d v="2022-12-06T00:00:00"/>
    <n v="9.3107853949264232"/>
    <n v="0.64435862060927807"/>
  </r>
  <r>
    <x v="322"/>
    <x v="1"/>
    <x v="5"/>
    <x v="1"/>
    <x v="322"/>
    <n v="38228"/>
    <n v="102486"/>
    <n v="1277"/>
    <x v="20"/>
    <d v="2022-11-30T00:00:00"/>
    <n v="37.300704486466444"/>
    <n v="1.2460238471596119"/>
  </r>
  <r>
    <x v="323"/>
    <x v="0"/>
    <x v="5"/>
    <x v="2"/>
    <x v="323"/>
    <n v="49736"/>
    <n v="756292"/>
    <n v="4189"/>
    <x v="19"/>
    <d v="2022-11-27T00:00:00"/>
    <n v="6.5762959280277995"/>
    <n v="0.55388659406684193"/>
  </r>
  <r>
    <x v="324"/>
    <x v="1"/>
    <x v="6"/>
    <x v="2"/>
    <x v="324"/>
    <n v="59834"/>
    <n v="715195"/>
    <n v="821"/>
    <x v="0"/>
    <d v="2022-12-06T00:00:00"/>
    <n v="8.3661099420437779"/>
    <n v="0.11479386740679115"/>
  </r>
  <r>
    <x v="325"/>
    <x v="0"/>
    <x v="0"/>
    <x v="2"/>
    <x v="325"/>
    <n v="13154"/>
    <n v="829853"/>
    <n v="297"/>
    <x v="19"/>
    <d v="2022-11-29T00:00:00"/>
    <n v="1.5851000116888174"/>
    <n v="3.5789471147299586E-2"/>
  </r>
  <r>
    <x v="326"/>
    <x v="1"/>
    <x v="3"/>
    <x v="2"/>
    <x v="326"/>
    <n v="25485"/>
    <n v="92292"/>
    <n v="4274"/>
    <x v="28"/>
    <d v="2022-12-23T00:00:00"/>
    <n v="27.613444285528537"/>
    <n v="4.6309539288345682"/>
  </r>
  <r>
    <x v="327"/>
    <x v="1"/>
    <x v="0"/>
    <x v="1"/>
    <x v="327"/>
    <n v="50090"/>
    <n v="857413"/>
    <n v="1236"/>
    <x v="4"/>
    <d v="2022-12-23T00:00:00"/>
    <n v="5.8419921321463519"/>
    <n v="0.14415456728554385"/>
  </r>
  <r>
    <x v="328"/>
    <x v="2"/>
    <x v="6"/>
    <x v="3"/>
    <x v="328"/>
    <n v="3867"/>
    <n v="295191"/>
    <n v="2637"/>
    <x v="1"/>
    <d v="2022-12-09T00:00:00"/>
    <n v="1.3099992885961971"/>
    <n v="0.89331991829019164"/>
  </r>
  <r>
    <x v="329"/>
    <x v="0"/>
    <x v="3"/>
    <x v="0"/>
    <x v="329"/>
    <n v="49972"/>
    <n v="796168"/>
    <n v="3997"/>
    <x v="5"/>
    <d v="2022-12-24T00:00:00"/>
    <n v="6.2765647451291695"/>
    <n v="0.50202972237015309"/>
  </r>
  <r>
    <x v="330"/>
    <x v="2"/>
    <x v="3"/>
    <x v="1"/>
    <x v="330"/>
    <n v="65277"/>
    <n v="761325"/>
    <n v="2579"/>
    <x v="26"/>
    <d v="2022-12-02T00:00:00"/>
    <n v="8.5741306275243812"/>
    <n v="0.33875151873378651"/>
  </r>
  <r>
    <x v="331"/>
    <x v="1"/>
    <x v="3"/>
    <x v="3"/>
    <x v="331"/>
    <n v="97607"/>
    <n v="213546"/>
    <n v="958"/>
    <x v="9"/>
    <d v="2022-12-06T00:00:00"/>
    <n v="45.707716370243411"/>
    <n v="0.44861528663613459"/>
  </r>
  <r>
    <x v="332"/>
    <x v="0"/>
    <x v="5"/>
    <x v="3"/>
    <x v="332"/>
    <n v="65701"/>
    <n v="352557"/>
    <n v="1164"/>
    <x v="20"/>
    <d v="2022-12-10T00:00:00"/>
    <n v="18.635568149263808"/>
    <n v="0.33015937848347932"/>
  </r>
  <r>
    <x v="333"/>
    <x v="2"/>
    <x v="2"/>
    <x v="2"/>
    <x v="333"/>
    <n v="65302"/>
    <n v="654935"/>
    <n v="4853"/>
    <x v="11"/>
    <d v="2022-12-10T00:00:00"/>
    <n v="9.9707604571446016"/>
    <n v="0.74098956384984771"/>
  </r>
  <r>
    <x v="334"/>
    <x v="1"/>
    <x v="2"/>
    <x v="0"/>
    <x v="334"/>
    <n v="65010"/>
    <n v="106673"/>
    <n v="1791"/>
    <x v="9"/>
    <d v="2022-12-09T00:00:00"/>
    <n v="60.943256494145658"/>
    <n v="1.6789628115830624"/>
  </r>
  <r>
    <x v="335"/>
    <x v="2"/>
    <x v="2"/>
    <x v="1"/>
    <x v="335"/>
    <n v="92986"/>
    <n v="798798"/>
    <n v="1044"/>
    <x v="23"/>
    <d v="2022-12-18T00:00:00"/>
    <n v="11.640740212168783"/>
    <n v="0.13069637129787506"/>
  </r>
  <r>
    <x v="336"/>
    <x v="0"/>
    <x v="5"/>
    <x v="2"/>
    <x v="336"/>
    <n v="39700"/>
    <n v="628474"/>
    <n v="3156"/>
    <x v="28"/>
    <d v="2023-01-02T00:00:00"/>
    <n v="6.3168882085814211"/>
    <n v="0.5021687452464223"/>
  </r>
  <r>
    <x v="337"/>
    <x v="2"/>
    <x v="6"/>
    <x v="0"/>
    <x v="337"/>
    <n v="84258"/>
    <n v="291493"/>
    <n v="4738"/>
    <x v="17"/>
    <d v="2022-12-27T00:00:00"/>
    <n v="28.905668403700947"/>
    <n v="1.6254249673234005"/>
  </r>
  <r>
    <x v="338"/>
    <x v="3"/>
    <x v="0"/>
    <x v="3"/>
    <x v="338"/>
    <n v="15859"/>
    <n v="176775"/>
    <n v="1722"/>
    <x v="25"/>
    <d v="2022-12-09T00:00:00"/>
    <n v="8.9712911893650116"/>
    <n v="0.97411964361476444"/>
  </r>
  <r>
    <x v="339"/>
    <x v="2"/>
    <x v="5"/>
    <x v="2"/>
    <x v="339"/>
    <n v="82193"/>
    <n v="381042"/>
    <n v="1978"/>
    <x v="4"/>
    <d v="2023-01-04T00:00:00"/>
    <n v="21.57058801916849"/>
    <n v="0.51910288104723368"/>
  </r>
  <r>
    <x v="340"/>
    <x v="3"/>
    <x v="1"/>
    <x v="2"/>
    <x v="340"/>
    <n v="144"/>
    <n v="800823"/>
    <n v="2865"/>
    <x v="22"/>
    <d v="2022-12-10T00:00:00"/>
    <n v="1.7981501530300703E-2"/>
    <n v="0.35775695752994108"/>
  </r>
  <r>
    <x v="341"/>
    <x v="0"/>
    <x v="4"/>
    <x v="3"/>
    <x v="341"/>
    <n v="68255"/>
    <n v="228589"/>
    <n v="3351"/>
    <x v="4"/>
    <d v="2023-01-06T00:00:00"/>
    <n v="29.85926706884408"/>
    <n v="1.4659498051087323"/>
  </r>
  <r>
    <x v="342"/>
    <x v="1"/>
    <x v="3"/>
    <x v="3"/>
    <x v="342"/>
    <n v="50686"/>
    <n v="711521"/>
    <n v="1978"/>
    <x v="10"/>
    <d v="2022-12-29T00:00:00"/>
    <n v="7.1236126551429972"/>
    <n v="0.27799601136157609"/>
  </r>
  <r>
    <x v="343"/>
    <x v="0"/>
    <x v="1"/>
    <x v="4"/>
    <x v="343"/>
    <n v="19418"/>
    <n v="249935"/>
    <n v="1471"/>
    <x v="1"/>
    <d v="2022-12-24T00:00:00"/>
    <n v="7.7692199971992713"/>
    <n v="0.58855302378618435"/>
  </r>
  <r>
    <x v="344"/>
    <x v="0"/>
    <x v="3"/>
    <x v="1"/>
    <x v="344"/>
    <n v="38472"/>
    <n v="799039"/>
    <n v="176"/>
    <x v="17"/>
    <d v="2023-01-03T00:00:00"/>
    <n v="4.8147837589904876"/>
    <n v="2.2026459284215164E-2"/>
  </r>
  <r>
    <x v="345"/>
    <x v="3"/>
    <x v="1"/>
    <x v="2"/>
    <x v="345"/>
    <n v="92938"/>
    <n v="804843"/>
    <n v="2992"/>
    <x v="19"/>
    <d v="2022-12-19T00:00:00"/>
    <n v="11.547345258640505"/>
    <n v="0.37174952133521694"/>
  </r>
  <r>
    <x v="346"/>
    <x v="2"/>
    <x v="0"/>
    <x v="2"/>
    <x v="346"/>
    <n v="65510"/>
    <n v="809575"/>
    <n v="3375"/>
    <x v="21"/>
    <d v="2023-01-07T00:00:00"/>
    <n v="8.0919000710249218"/>
    <n v="0.41688540283482073"/>
  </r>
  <r>
    <x v="347"/>
    <x v="1"/>
    <x v="6"/>
    <x v="3"/>
    <x v="347"/>
    <n v="61754"/>
    <n v="460630"/>
    <n v="4507"/>
    <x v="19"/>
    <d v="2022-12-21T00:00:00"/>
    <n v="13.406421639927924"/>
    <n v="0.97844256778759531"/>
  </r>
  <r>
    <x v="348"/>
    <x v="2"/>
    <x v="3"/>
    <x v="4"/>
    <x v="348"/>
    <n v="31408"/>
    <n v="816023"/>
    <n v="3613"/>
    <x v="21"/>
    <d v="2023-01-09T00:00:00"/>
    <n v="3.8489111213777063"/>
    <n v="0.4427571281691815"/>
  </r>
  <r>
    <x v="349"/>
    <x v="1"/>
    <x v="1"/>
    <x v="2"/>
    <x v="349"/>
    <n v="65241"/>
    <n v="258444"/>
    <n v="1825"/>
    <x v="4"/>
    <d v="2023-01-14T00:00:00"/>
    <n v="25.243766541301017"/>
    <n v="0.70614910773707262"/>
  </r>
  <r>
    <x v="350"/>
    <x v="2"/>
    <x v="5"/>
    <x v="4"/>
    <x v="350"/>
    <n v="96225"/>
    <n v="828277"/>
    <n v="3447"/>
    <x v="4"/>
    <d v="2023-01-15T00:00:00"/>
    <n v="11.617490284047486"/>
    <n v="0.41616512350336904"/>
  </r>
  <r>
    <x v="351"/>
    <x v="1"/>
    <x v="1"/>
    <x v="3"/>
    <x v="351"/>
    <n v="51904"/>
    <n v="869198"/>
    <n v="4426"/>
    <x v="25"/>
    <d v="2022-12-22T00:00:00"/>
    <n v="5.9714817567458738"/>
    <n v="0.50920503728724642"/>
  </r>
  <r>
    <x v="352"/>
    <x v="1"/>
    <x v="0"/>
    <x v="3"/>
    <x v="352"/>
    <n v="83800"/>
    <n v="207124"/>
    <n v="3"/>
    <x v="23"/>
    <d v="2023-01-04T00:00:00"/>
    <n v="40.458855564782446"/>
    <n v="1.4484077171163167E-3"/>
  </r>
  <r>
    <x v="353"/>
    <x v="1"/>
    <x v="5"/>
    <x v="0"/>
    <x v="353"/>
    <n v="2907"/>
    <n v="127428"/>
    <n v="2906"/>
    <x v="13"/>
    <d v="2023-01-13T00:00:00"/>
    <n v="2.2812882568980131"/>
    <n v="2.280503500015695"/>
  </r>
  <r>
    <x v="354"/>
    <x v="1"/>
    <x v="6"/>
    <x v="0"/>
    <x v="354"/>
    <n v="35730"/>
    <n v="599529"/>
    <n v="1210"/>
    <x v="1"/>
    <d v="2023-01-04T00:00:00"/>
    <n v="5.9596783475027904"/>
    <n v="0.20182509936967188"/>
  </r>
  <r>
    <x v="355"/>
    <x v="0"/>
    <x v="6"/>
    <x v="3"/>
    <x v="355"/>
    <n v="79234"/>
    <n v="193759"/>
    <n v="2459"/>
    <x v="12"/>
    <d v="2023-01-13T00:00:00"/>
    <n v="40.893068192961358"/>
    <n v="1.2691023384720195"/>
  </r>
  <r>
    <x v="356"/>
    <x v="0"/>
    <x v="2"/>
    <x v="3"/>
    <x v="356"/>
    <n v="89642"/>
    <n v="519283"/>
    <n v="4721"/>
    <x v="22"/>
    <d v="2022-12-26T00:00:00"/>
    <n v="17.262648690598382"/>
    <n v="0.90913817706337396"/>
  </r>
  <r>
    <x v="357"/>
    <x v="1"/>
    <x v="2"/>
    <x v="0"/>
    <x v="357"/>
    <n v="29708"/>
    <n v="300040"/>
    <n v="1995"/>
    <x v="11"/>
    <d v="2023-01-03T00:00:00"/>
    <n v="9.9013464871350489"/>
    <n v="0.66491134515397954"/>
  </r>
  <r>
    <x v="358"/>
    <x v="1"/>
    <x v="1"/>
    <x v="4"/>
    <x v="358"/>
    <n v="31165"/>
    <n v="484316"/>
    <n v="736"/>
    <x v="3"/>
    <d v="2023-01-15T00:00:00"/>
    <n v="6.4348483221698229"/>
    <n v="0.15196689764533899"/>
  </r>
  <r>
    <x v="359"/>
    <x v="3"/>
    <x v="1"/>
    <x v="3"/>
    <x v="359"/>
    <n v="24193"/>
    <n v="587882"/>
    <n v="1200"/>
    <x v="19"/>
    <d v="2023-01-02T00:00:00"/>
    <n v="4.115281638151874"/>
    <n v="0.2041225960311763"/>
  </r>
  <r>
    <x v="360"/>
    <x v="2"/>
    <x v="4"/>
    <x v="4"/>
    <x v="360"/>
    <n v="75015"/>
    <n v="679478"/>
    <n v="2953"/>
    <x v="28"/>
    <d v="2023-01-26T00:00:00"/>
    <n v="11.040092541627544"/>
    <n v="0.43459832400754694"/>
  </r>
  <r>
    <x v="361"/>
    <x v="2"/>
    <x v="4"/>
    <x v="0"/>
    <x v="361"/>
    <n v="69745"/>
    <n v="888747"/>
    <n v="1178"/>
    <x v="19"/>
    <d v="2023-01-04T00:00:00"/>
    <n v="7.8475651675898757"/>
    <n v="0.13254615768041972"/>
  </r>
  <r>
    <x v="362"/>
    <x v="2"/>
    <x v="3"/>
    <x v="1"/>
    <x v="362"/>
    <n v="25308"/>
    <n v="344189"/>
    <n v="518"/>
    <x v="1"/>
    <d v="2023-01-12T00:00:00"/>
    <n v="7.3529369038522443"/>
    <n v="0.15049870855837927"/>
  </r>
  <r>
    <x v="363"/>
    <x v="1"/>
    <x v="3"/>
    <x v="0"/>
    <x v="363"/>
    <n v="18594"/>
    <n v="647363"/>
    <n v="1160"/>
    <x v="26"/>
    <d v="2023-01-04T00:00:00"/>
    <n v="2.8722679547641743"/>
    <n v="0.17918849239144033"/>
  </r>
  <r>
    <x v="364"/>
    <x v="1"/>
    <x v="1"/>
    <x v="3"/>
    <x v="364"/>
    <n v="49507"/>
    <n v="533133"/>
    <n v="1107"/>
    <x v="3"/>
    <d v="2023-01-21T00:00:00"/>
    <n v="9.2860505727463885"/>
    <n v="0.20764049496091969"/>
  </r>
  <r>
    <x v="365"/>
    <x v="0"/>
    <x v="2"/>
    <x v="0"/>
    <x v="365"/>
    <n v="3278"/>
    <n v="90219"/>
    <n v="1314"/>
    <x v="15"/>
    <d v="2023-01-27T00:00:00"/>
    <n v="3.6333809951340625"/>
    <n v="1.4564559571708842"/>
  </r>
  <r>
    <x v="366"/>
    <x v="1"/>
    <x v="5"/>
    <x v="2"/>
    <x v="366"/>
    <n v="73297"/>
    <n v="848445"/>
    <n v="2866"/>
    <x v="14"/>
    <d v="2023-01-14T00:00:00"/>
    <n v="8.6389807235589817"/>
    <n v="0.33779443570296247"/>
  </r>
  <r>
    <x v="367"/>
    <x v="2"/>
    <x v="4"/>
    <x v="1"/>
    <x v="367"/>
    <n v="57409"/>
    <n v="230269"/>
    <n v="1709"/>
    <x v="3"/>
    <d v="2023-01-24T00:00:00"/>
    <n v="24.9312760293396"/>
    <n v="0.74217545566272491"/>
  </r>
  <r>
    <x v="368"/>
    <x v="0"/>
    <x v="3"/>
    <x v="1"/>
    <x v="368"/>
    <n v="30728"/>
    <n v="122417"/>
    <n v="2863"/>
    <x v="10"/>
    <d v="2023-01-24T00:00:00"/>
    <n v="25.101088901051327"/>
    <n v="2.3387274643227656"/>
  </r>
  <r>
    <x v="369"/>
    <x v="0"/>
    <x v="3"/>
    <x v="2"/>
    <x v="369"/>
    <n v="52350"/>
    <n v="692323"/>
    <n v="1857"/>
    <x v="18"/>
    <d v="2023-01-14T00:00:00"/>
    <n v="7.5614994735116419"/>
    <n v="0.26822740252743299"/>
  </r>
  <r>
    <x v="370"/>
    <x v="2"/>
    <x v="6"/>
    <x v="2"/>
    <x v="370"/>
    <n v="21647"/>
    <n v="245138"/>
    <n v="2665"/>
    <x v="20"/>
    <d v="2023-01-17T00:00:00"/>
    <n v="8.8305362693666432"/>
    <n v="1.0871427522456738"/>
  </r>
  <r>
    <x v="371"/>
    <x v="2"/>
    <x v="1"/>
    <x v="1"/>
    <x v="371"/>
    <n v="33046"/>
    <n v="851382"/>
    <n v="232"/>
    <x v="11"/>
    <d v="2023-01-17T00:00:00"/>
    <n v="3.881453918452586"/>
    <n v="2.7249812657537977E-2"/>
  </r>
  <r>
    <x v="372"/>
    <x v="2"/>
    <x v="2"/>
    <x v="2"/>
    <x v="372"/>
    <n v="19103"/>
    <n v="85023"/>
    <n v="3723"/>
    <x v="1"/>
    <d v="2023-01-22T00:00:00"/>
    <n v="22.468038060289569"/>
    <n v="4.3788151441374685"/>
  </r>
  <r>
    <x v="373"/>
    <x v="2"/>
    <x v="4"/>
    <x v="4"/>
    <x v="373"/>
    <n v="85951"/>
    <n v="366065"/>
    <n v="586"/>
    <x v="22"/>
    <d v="2023-01-12T00:00:00"/>
    <n v="23.479709887588271"/>
    <n v="0.16008085995656507"/>
  </r>
  <r>
    <x v="374"/>
    <x v="2"/>
    <x v="5"/>
    <x v="3"/>
    <x v="374"/>
    <n v="8868"/>
    <n v="924945"/>
    <n v="1667"/>
    <x v="14"/>
    <d v="2023-01-22T00:00:00"/>
    <n v="0.95875971003681304"/>
    <n v="0.1802269324121975"/>
  </r>
  <r>
    <x v="375"/>
    <x v="3"/>
    <x v="4"/>
    <x v="1"/>
    <x v="375"/>
    <n v="9709"/>
    <n v="842812"/>
    <n v="448"/>
    <x v="5"/>
    <d v="2023-02-08T00:00:00"/>
    <n v="1.151976953341908"/>
    <n v="5.3155389339496831E-2"/>
  </r>
  <r>
    <x v="376"/>
    <x v="1"/>
    <x v="1"/>
    <x v="3"/>
    <x v="376"/>
    <n v="18732"/>
    <n v="197987"/>
    <n v="1369"/>
    <x v="18"/>
    <d v="2023-01-21T00:00:00"/>
    <n v="9.4612272522943428"/>
    <n v="0.69145954027284617"/>
  </r>
  <r>
    <x v="377"/>
    <x v="2"/>
    <x v="2"/>
    <x v="4"/>
    <x v="377"/>
    <n v="40212"/>
    <n v="216874"/>
    <n v="3186"/>
    <x v="21"/>
    <d v="2023-02-07T00:00:00"/>
    <n v="18.541641690566873"/>
    <n v="1.4690557650986287"/>
  </r>
  <r>
    <x v="378"/>
    <x v="0"/>
    <x v="2"/>
    <x v="1"/>
    <x v="378"/>
    <n v="38243"/>
    <n v="43367"/>
    <n v="548"/>
    <x v="7"/>
    <d v="2023-01-16T00:00:00"/>
    <n v="88.184564300043817"/>
    <n v="1.2636336384808726"/>
  </r>
  <r>
    <x v="379"/>
    <x v="1"/>
    <x v="0"/>
    <x v="1"/>
    <x v="379"/>
    <n v="97794"/>
    <n v="621144"/>
    <n v="758"/>
    <x v="14"/>
    <d v="2023-01-27T00:00:00"/>
    <n v="15.744175263706966"/>
    <n v="0.12203289414370903"/>
  </r>
  <r>
    <x v="380"/>
    <x v="3"/>
    <x v="0"/>
    <x v="1"/>
    <x v="380"/>
    <n v="20116"/>
    <n v="578406"/>
    <n v="34"/>
    <x v="5"/>
    <d v="2023-02-13T00:00:00"/>
    <n v="3.4778339090535022"/>
    <n v="5.8782239465012464E-3"/>
  </r>
  <r>
    <x v="381"/>
    <x v="0"/>
    <x v="5"/>
    <x v="2"/>
    <x v="381"/>
    <n v="85132"/>
    <n v="481917"/>
    <n v="2843"/>
    <x v="7"/>
    <d v="2023-01-19T00:00:00"/>
    <n v="17.665282610906026"/>
    <n v="0.58993561131896155"/>
  </r>
  <r>
    <x v="382"/>
    <x v="1"/>
    <x v="6"/>
    <x v="3"/>
    <x v="382"/>
    <n v="50894"/>
    <n v="795433"/>
    <n v="4170"/>
    <x v="19"/>
    <d v="2023-01-25T00:00:00"/>
    <n v="6.3982761590228217"/>
    <n v="0.52424277091848093"/>
  </r>
  <r>
    <x v="383"/>
    <x v="2"/>
    <x v="3"/>
    <x v="1"/>
    <x v="383"/>
    <n v="18122"/>
    <n v="224218"/>
    <n v="1212"/>
    <x v="19"/>
    <d v="2023-01-26T00:00:00"/>
    <n v="8.0823127491994402"/>
    <n v="0.54054536210295334"/>
  </r>
  <r>
    <x v="384"/>
    <x v="3"/>
    <x v="6"/>
    <x v="4"/>
    <x v="384"/>
    <n v="21076"/>
    <n v="592534"/>
    <n v="1370"/>
    <x v="27"/>
    <d v="2023-02-06T00:00:00"/>
    <n v="3.5569266911265851"/>
    <n v="0.23121036092443639"/>
  </r>
  <r>
    <x v="385"/>
    <x v="0"/>
    <x v="5"/>
    <x v="2"/>
    <x v="385"/>
    <n v="21973"/>
    <n v="192116"/>
    <n v="1289"/>
    <x v="4"/>
    <d v="2023-02-19T00:00:00"/>
    <n v="11.43736076120677"/>
    <n v="0.6709488017655999"/>
  </r>
  <r>
    <x v="386"/>
    <x v="3"/>
    <x v="5"/>
    <x v="2"/>
    <x v="386"/>
    <n v="58866"/>
    <n v="125509"/>
    <n v="4245"/>
    <x v="28"/>
    <d v="2023-02-21T00:00:00"/>
    <n v="46.901815806037817"/>
    <n v="3.3822275693376569"/>
  </r>
  <r>
    <x v="387"/>
    <x v="2"/>
    <x v="2"/>
    <x v="3"/>
    <x v="387"/>
    <n v="85535"/>
    <n v="352607"/>
    <n v="253"/>
    <x v="18"/>
    <d v="2023-02-01T00:00:00"/>
    <n v="24.257884840629938"/>
    <n v="7.1751269827314834E-2"/>
  </r>
  <r>
    <x v="388"/>
    <x v="0"/>
    <x v="3"/>
    <x v="1"/>
    <x v="388"/>
    <n v="87606"/>
    <n v="876527"/>
    <n v="4876"/>
    <x v="22"/>
    <d v="2023-01-27T00:00:00"/>
    <n v="9.9946721549935145"/>
    <n v="0.55628634371787744"/>
  </r>
  <r>
    <x v="389"/>
    <x v="1"/>
    <x v="0"/>
    <x v="1"/>
    <x v="389"/>
    <n v="91046"/>
    <n v="556736"/>
    <n v="2338"/>
    <x v="14"/>
    <d v="2023-02-06T00:00:00"/>
    <n v="16.353532015174157"/>
    <n v="0.41994769513737207"/>
  </r>
  <r>
    <x v="390"/>
    <x v="2"/>
    <x v="4"/>
    <x v="2"/>
    <x v="390"/>
    <n v="85701"/>
    <n v="158282"/>
    <n v="4300"/>
    <x v="1"/>
    <d v="2023-02-09T00:00:00"/>
    <n v="54.144501585777284"/>
    <n v="2.7166702467747439"/>
  </r>
  <r>
    <x v="391"/>
    <x v="1"/>
    <x v="2"/>
    <x v="1"/>
    <x v="391"/>
    <n v="95885"/>
    <n v="612847"/>
    <n v="1032"/>
    <x v="25"/>
    <d v="2023-01-31T00:00:00"/>
    <n v="15.645830035881714"/>
    <n v="0.16839439533847764"/>
  </r>
  <r>
    <x v="392"/>
    <x v="1"/>
    <x v="6"/>
    <x v="3"/>
    <x v="392"/>
    <n v="52237"/>
    <n v="193209"/>
    <n v="2103"/>
    <x v="12"/>
    <d v="2023-02-19T00:00:00"/>
    <n v="27.036525213628764"/>
    <n v="1.0884586121764512"/>
  </r>
  <r>
    <x v="393"/>
    <x v="2"/>
    <x v="0"/>
    <x v="2"/>
    <x v="393"/>
    <n v="32707"/>
    <n v="243911"/>
    <n v="1126"/>
    <x v="21"/>
    <d v="2023-02-23T00:00:00"/>
    <n v="13.409399330083513"/>
    <n v="0.46164379630274971"/>
  </r>
  <r>
    <x v="394"/>
    <x v="1"/>
    <x v="2"/>
    <x v="4"/>
    <x v="394"/>
    <n v="41714"/>
    <n v="858676"/>
    <n v="2412"/>
    <x v="18"/>
    <d v="2023-02-08T00:00:00"/>
    <n v="4.8579440906698217"/>
    <n v="0.28089756788357895"/>
  </r>
  <r>
    <x v="395"/>
    <x v="0"/>
    <x v="1"/>
    <x v="2"/>
    <x v="395"/>
    <n v="84654"/>
    <n v="356943"/>
    <n v="898"/>
    <x v="7"/>
    <d v="2023-02-02T00:00:00"/>
    <n v="23.716391692791287"/>
    <n v="0.25158078460706612"/>
  </r>
  <r>
    <x v="396"/>
    <x v="2"/>
    <x v="1"/>
    <x v="1"/>
    <x v="396"/>
    <n v="85089"/>
    <n v="736697"/>
    <n v="1399"/>
    <x v="13"/>
    <d v="2023-02-25T00:00:00"/>
    <n v="11.55006739541494"/>
    <n v="0.18990168278138772"/>
  </r>
  <r>
    <x v="397"/>
    <x v="1"/>
    <x v="1"/>
    <x v="1"/>
    <x v="397"/>
    <n v="59108"/>
    <n v="638454"/>
    <n v="930"/>
    <x v="27"/>
    <d v="2023-02-19T00:00:00"/>
    <n v="9.2579888292656953"/>
    <n v="0.14566437049497694"/>
  </r>
  <r>
    <x v="398"/>
    <x v="1"/>
    <x v="0"/>
    <x v="1"/>
    <x v="398"/>
    <n v="58518"/>
    <n v="989974"/>
    <n v="4775"/>
    <x v="12"/>
    <d v="2023-02-25T00:00:00"/>
    <n v="5.9110643309824296"/>
    <n v="0.48233589973069996"/>
  </r>
  <r>
    <x v="399"/>
    <x v="2"/>
    <x v="3"/>
    <x v="0"/>
    <x v="399"/>
    <n v="1370"/>
    <n v="503940"/>
    <n v="1838"/>
    <x v="6"/>
    <d v="2023-02-22T00:00:00"/>
    <n v="0.27185776084454494"/>
    <n v="0.36472595943961583"/>
  </r>
  <r>
    <x v="400"/>
    <x v="3"/>
    <x v="5"/>
    <x v="1"/>
    <x v="400"/>
    <n v="14869"/>
    <n v="887412"/>
    <n v="3805"/>
    <x v="21"/>
    <d v="2023-03-02T00:00:00"/>
    <n v="1.675546420377457"/>
    <n v="0.42877490951215447"/>
  </r>
  <r>
    <x v="401"/>
    <x v="0"/>
    <x v="6"/>
    <x v="1"/>
    <x v="401"/>
    <n v="86484"/>
    <n v="873217"/>
    <n v="2323"/>
    <x v="21"/>
    <d v="2023-03-03T00:00:00"/>
    <n v="9.9040673738601051"/>
    <n v="0.26602780294016265"/>
  </r>
  <r>
    <x v="402"/>
    <x v="2"/>
    <x v="6"/>
    <x v="3"/>
    <x v="402"/>
    <n v="24272"/>
    <n v="640721"/>
    <n v="592"/>
    <x v="17"/>
    <d v="2023-03-02T00:00:00"/>
    <n v="3.7882323195275318"/>
    <n v="9.2395910232378836E-2"/>
  </r>
  <r>
    <x v="403"/>
    <x v="3"/>
    <x v="5"/>
    <x v="0"/>
    <x v="403"/>
    <n v="578"/>
    <n v="869542"/>
    <n v="2363"/>
    <x v="25"/>
    <d v="2023-02-12T00:00:00"/>
    <n v="6.6471774796387065E-2"/>
    <n v="0.27175225578522949"/>
  </r>
  <r>
    <x v="404"/>
    <x v="0"/>
    <x v="4"/>
    <x v="1"/>
    <x v="404"/>
    <n v="34713"/>
    <n v="373108"/>
    <n v="894"/>
    <x v="17"/>
    <d v="2023-03-04T00:00:00"/>
    <n v="9.3037404719276982"/>
    <n v="0.23960890680446412"/>
  </r>
  <r>
    <x v="405"/>
    <x v="2"/>
    <x v="2"/>
    <x v="3"/>
    <x v="405"/>
    <n v="23408"/>
    <n v="411081"/>
    <n v="238"/>
    <x v="7"/>
    <d v="2023-02-12T00:00:00"/>
    <n v="5.6942549035348264"/>
    <n v="5.7896132392399546E-2"/>
  </r>
  <r>
    <x v="406"/>
    <x v="0"/>
    <x v="1"/>
    <x v="2"/>
    <x v="406"/>
    <n v="52416"/>
    <n v="740021"/>
    <n v="3615"/>
    <x v="24"/>
    <d v="2023-02-24T00:00:00"/>
    <n v="7.0830422379905427"/>
    <n v="0.48849965068558865"/>
  </r>
  <r>
    <x v="407"/>
    <x v="2"/>
    <x v="0"/>
    <x v="0"/>
    <x v="407"/>
    <n v="47085"/>
    <n v="994752"/>
    <n v="2269"/>
    <x v="10"/>
    <d v="2023-03-04T00:00:00"/>
    <n v="4.7333405713182781"/>
    <n v="0.22809705333590685"/>
  </r>
  <r>
    <x v="408"/>
    <x v="3"/>
    <x v="0"/>
    <x v="0"/>
    <x v="408"/>
    <n v="93657"/>
    <n v="768553"/>
    <n v="3786"/>
    <x v="26"/>
    <d v="2023-02-18T00:00:00"/>
    <n v="12.186147214310528"/>
    <n v="0.49261404223261113"/>
  </r>
  <r>
    <x v="409"/>
    <x v="1"/>
    <x v="0"/>
    <x v="2"/>
    <x v="409"/>
    <n v="35248"/>
    <n v="711710"/>
    <n v="2879"/>
    <x v="8"/>
    <d v="2023-03-05T00:00:00"/>
    <n v="4.9525789998735439"/>
    <n v="0.40451869441204991"/>
  </r>
  <r>
    <x v="410"/>
    <x v="1"/>
    <x v="1"/>
    <x v="2"/>
    <x v="410"/>
    <n v="74762"/>
    <n v="214141"/>
    <n v="3371"/>
    <x v="27"/>
    <d v="2023-03-04T00:00:00"/>
    <n v="34.912510915705077"/>
    <n v="1.5741964406629276"/>
  </r>
  <r>
    <x v="411"/>
    <x v="2"/>
    <x v="6"/>
    <x v="0"/>
    <x v="411"/>
    <n v="95814"/>
    <n v="970005"/>
    <n v="4840"/>
    <x v="25"/>
    <d v="2023-02-20T00:00:00"/>
    <n v="9.877681042881223"/>
    <n v="0.49896650017267946"/>
  </r>
  <r>
    <x v="412"/>
    <x v="0"/>
    <x v="1"/>
    <x v="2"/>
    <x v="412"/>
    <n v="21131"/>
    <n v="18177"/>
    <n v="1786"/>
    <x v="5"/>
    <d v="2023-03-17T00:00:00"/>
    <n v="116.251306596248"/>
    <n v="9.8256037850030253"/>
  </r>
  <r>
    <x v="413"/>
    <x v="2"/>
    <x v="6"/>
    <x v="1"/>
    <x v="413"/>
    <n v="38424"/>
    <n v="856270"/>
    <n v="3517"/>
    <x v="23"/>
    <d v="2023-03-06T00:00:00"/>
    <n v="4.4873696380814465"/>
    <n v="0.41073493173882064"/>
  </r>
  <r>
    <x v="414"/>
    <x v="2"/>
    <x v="6"/>
    <x v="3"/>
    <x v="414"/>
    <n v="3682"/>
    <n v="345580"/>
    <n v="3021"/>
    <x v="21"/>
    <d v="2023-03-16T00:00:00"/>
    <n v="1.0654551768042131"/>
    <n v="0.87418253371144161"/>
  </r>
  <r>
    <x v="415"/>
    <x v="2"/>
    <x v="6"/>
    <x v="3"/>
    <x v="415"/>
    <n v="72110"/>
    <n v="291267"/>
    <n v="2493"/>
    <x v="1"/>
    <d v="2023-03-06T00:00:00"/>
    <n v="24.757353218867912"/>
    <n v="0.85591570620770629"/>
  </r>
  <r>
    <x v="416"/>
    <x v="0"/>
    <x v="0"/>
    <x v="4"/>
    <x v="416"/>
    <n v="49656"/>
    <n v="907806"/>
    <n v="1260"/>
    <x v="3"/>
    <d v="2023-03-14T00:00:00"/>
    <n v="5.4698911441431317"/>
    <n v="0.13879617451305676"/>
  </r>
  <r>
    <x v="417"/>
    <x v="2"/>
    <x v="3"/>
    <x v="4"/>
    <x v="417"/>
    <n v="44739"/>
    <n v="508402"/>
    <n v="3610"/>
    <x v="3"/>
    <d v="2023-03-15T00:00:00"/>
    <n v="8.7999260427771731"/>
    <n v="0.71006801704163236"/>
  </r>
  <r>
    <x v="418"/>
    <x v="3"/>
    <x v="0"/>
    <x v="2"/>
    <x v="418"/>
    <n v="65869"/>
    <n v="598623"/>
    <n v="1425"/>
    <x v="3"/>
    <d v="2023-03-16T00:00:00"/>
    <n v="11.003419514452336"/>
    <n v="0.23804631629589906"/>
  </r>
  <r>
    <x v="419"/>
    <x v="1"/>
    <x v="2"/>
    <x v="3"/>
    <x v="419"/>
    <n v="11434"/>
    <n v="30025"/>
    <n v="4214"/>
    <x v="19"/>
    <d v="2023-03-03T00:00:00"/>
    <n v="38.081598667776852"/>
    <n v="14.034970857618651"/>
  </r>
  <r>
    <x v="420"/>
    <x v="2"/>
    <x v="0"/>
    <x v="0"/>
    <x v="420"/>
    <n v="71685"/>
    <n v="217397"/>
    <n v="3960"/>
    <x v="28"/>
    <d v="2023-03-27T00:00:00"/>
    <n v="32.974236075014836"/>
    <n v="1.8215522753303865"/>
  </r>
  <r>
    <x v="421"/>
    <x v="2"/>
    <x v="5"/>
    <x v="2"/>
    <x v="421"/>
    <n v="93852"/>
    <n v="364099"/>
    <n v="234"/>
    <x v="13"/>
    <d v="2023-03-22T00:00:00"/>
    <n v="25.776505840444496"/>
    <n v="6.4268234738354135E-2"/>
  </r>
  <r>
    <x v="422"/>
    <x v="2"/>
    <x v="5"/>
    <x v="1"/>
    <x v="422"/>
    <n v="51421"/>
    <n v="186485"/>
    <n v="1357"/>
    <x v="15"/>
    <d v="2023-03-25T00:00:00"/>
    <n v="27.573799501300371"/>
    <n v="0.72767246695444676"/>
  </r>
  <r>
    <x v="423"/>
    <x v="1"/>
    <x v="4"/>
    <x v="3"/>
    <x v="423"/>
    <n v="51163"/>
    <n v="871394"/>
    <n v="560"/>
    <x v="14"/>
    <d v="2023-03-12T00:00:00"/>
    <n v="5.8713968652526871"/>
    <n v="6.4264844605310567E-2"/>
  </r>
  <r>
    <x v="424"/>
    <x v="0"/>
    <x v="0"/>
    <x v="4"/>
    <x v="424"/>
    <n v="48343"/>
    <n v="408220"/>
    <n v="1135"/>
    <x v="22"/>
    <d v="2023-03-04T00:00:00"/>
    <n v="11.842388907941796"/>
    <n v="0.2780363529469404"/>
  </r>
  <r>
    <x v="425"/>
    <x v="2"/>
    <x v="0"/>
    <x v="1"/>
    <x v="425"/>
    <n v="48076"/>
    <n v="304835"/>
    <n v="3052"/>
    <x v="18"/>
    <d v="2023-03-11T00:00:00"/>
    <n v="15.771154887070054"/>
    <n v="1.0011973690685123"/>
  </r>
  <r>
    <x v="426"/>
    <x v="0"/>
    <x v="0"/>
    <x v="1"/>
    <x v="426"/>
    <n v="32325"/>
    <n v="131677"/>
    <n v="4195"/>
    <x v="27"/>
    <d v="2023-03-20T00:00:00"/>
    <n v="24.548706304062211"/>
    <n v="3.185825922522536"/>
  </r>
  <r>
    <x v="427"/>
    <x v="2"/>
    <x v="3"/>
    <x v="3"/>
    <x v="427"/>
    <n v="90449"/>
    <n v="128294"/>
    <n v="1874"/>
    <x v="21"/>
    <d v="2023-03-29T00:00:00"/>
    <n v="70.501348465243893"/>
    <n v="1.4607074376042528"/>
  </r>
  <r>
    <x v="428"/>
    <x v="0"/>
    <x v="1"/>
    <x v="3"/>
    <x v="428"/>
    <n v="68513"/>
    <n v="436568"/>
    <n v="27"/>
    <x v="6"/>
    <d v="2023-03-23T00:00:00"/>
    <n v="15.693546022612741"/>
    <n v="6.1846035440068902E-3"/>
  </r>
  <r>
    <x v="429"/>
    <x v="3"/>
    <x v="0"/>
    <x v="0"/>
    <x v="429"/>
    <n v="13253"/>
    <n v="309741"/>
    <n v="2063"/>
    <x v="19"/>
    <d v="2023-03-13T00:00:00"/>
    <n v="4.2787361053267077"/>
    <n v="0.66604033692665809"/>
  </r>
  <r>
    <x v="430"/>
    <x v="0"/>
    <x v="1"/>
    <x v="1"/>
    <x v="430"/>
    <n v="48110"/>
    <n v="97100"/>
    <n v="4178"/>
    <x v="15"/>
    <d v="2023-04-02T00:00:00"/>
    <n v="49.546858908341918"/>
    <n v="4.3027806385169924"/>
  </r>
  <r>
    <x v="431"/>
    <x v="1"/>
    <x v="5"/>
    <x v="4"/>
    <x v="431"/>
    <n v="91748"/>
    <n v="670082"/>
    <n v="320"/>
    <x v="18"/>
    <d v="2023-03-17T00:00:00"/>
    <n v="13.692055599165476"/>
    <n v="4.775534934530401E-2"/>
  </r>
  <r>
    <x v="432"/>
    <x v="0"/>
    <x v="5"/>
    <x v="0"/>
    <x v="432"/>
    <n v="34947"/>
    <n v="827294"/>
    <n v="4867"/>
    <x v="21"/>
    <d v="2023-04-03T00:00:00"/>
    <n v="4.2242540136879994"/>
    <n v="0.58830355351301955"/>
  </r>
  <r>
    <x v="433"/>
    <x v="2"/>
    <x v="6"/>
    <x v="1"/>
    <x v="433"/>
    <n v="94561"/>
    <n v="448215"/>
    <n v="3758"/>
    <x v="1"/>
    <d v="2023-03-24T00:00:00"/>
    <n v="21.097241279296767"/>
    <n v="0.8384369108575126"/>
  </r>
  <r>
    <x v="434"/>
    <x v="2"/>
    <x v="0"/>
    <x v="3"/>
    <x v="434"/>
    <n v="86420"/>
    <n v="854051"/>
    <n v="819"/>
    <x v="1"/>
    <d v="2023-03-25T00:00:00"/>
    <n v="10.118833652791228"/>
    <n v="9.5895912539180908E-2"/>
  </r>
  <r>
    <x v="435"/>
    <x v="2"/>
    <x v="1"/>
    <x v="2"/>
    <x v="435"/>
    <n v="37967"/>
    <n v="51332"/>
    <n v="222"/>
    <x v="1"/>
    <d v="2023-03-26T00:00:00"/>
    <n v="73.963609444401158"/>
    <n v="0.43247876568222554"/>
  </r>
  <r>
    <x v="436"/>
    <x v="1"/>
    <x v="6"/>
    <x v="1"/>
    <x v="436"/>
    <n v="4776"/>
    <n v="524131"/>
    <n v="455"/>
    <x v="6"/>
    <d v="2023-03-31T00:00:00"/>
    <n v="0.91122257603538037"/>
    <n v="8.6810358479082514E-2"/>
  </r>
  <r>
    <x v="437"/>
    <x v="0"/>
    <x v="3"/>
    <x v="1"/>
    <x v="437"/>
    <n v="19511"/>
    <n v="192767"/>
    <n v="1209"/>
    <x v="22"/>
    <d v="2023-03-17T00:00:00"/>
    <n v="10.121545700249523"/>
    <n v="0.62718203841943898"/>
  </r>
  <r>
    <x v="438"/>
    <x v="1"/>
    <x v="6"/>
    <x v="1"/>
    <x v="438"/>
    <n v="35858"/>
    <n v="845219"/>
    <n v="4510"/>
    <x v="1"/>
    <d v="2023-03-29T00:00:00"/>
    <n v="4.2424507731132408"/>
    <n v="0.53358951940266375"/>
  </r>
  <r>
    <x v="439"/>
    <x v="0"/>
    <x v="3"/>
    <x v="3"/>
    <x v="439"/>
    <n v="93639"/>
    <n v="302517"/>
    <n v="3771"/>
    <x v="4"/>
    <d v="2023-04-14T00:00:00"/>
    <n v="30.95330179791549"/>
    <n v="1.2465415166750959"/>
  </r>
  <r>
    <x v="440"/>
    <x v="2"/>
    <x v="1"/>
    <x v="0"/>
    <x v="440"/>
    <n v="39477"/>
    <n v="67477"/>
    <n v="1604"/>
    <x v="12"/>
    <d v="2023-04-08T00:00:00"/>
    <n v="58.504379269973469"/>
    <n v="2.3771062732486627"/>
  </r>
  <r>
    <x v="441"/>
    <x v="0"/>
    <x v="4"/>
    <x v="0"/>
    <x v="441"/>
    <n v="77952"/>
    <n v="930316"/>
    <n v="1138"/>
    <x v="12"/>
    <d v="2023-04-09T00:00:00"/>
    <n v="8.3790883957708999"/>
    <n v="0.12232402753473014"/>
  </r>
  <r>
    <x v="442"/>
    <x v="2"/>
    <x v="0"/>
    <x v="3"/>
    <x v="442"/>
    <n v="40802"/>
    <n v="652291"/>
    <n v="62"/>
    <x v="9"/>
    <d v="2023-03-27T00:00:00"/>
    <n v="6.2551836526948863"/>
    <n v="9.5049602094770588E-3"/>
  </r>
  <r>
    <x v="443"/>
    <x v="2"/>
    <x v="0"/>
    <x v="2"/>
    <x v="443"/>
    <n v="98131"/>
    <n v="251441"/>
    <n v="4037"/>
    <x v="13"/>
    <d v="2023-04-13T00:00:00"/>
    <n v="39.027445802394993"/>
    <n v="1.6055456349600901"/>
  </r>
  <r>
    <x v="444"/>
    <x v="0"/>
    <x v="2"/>
    <x v="4"/>
    <x v="444"/>
    <n v="12331"/>
    <n v="646822"/>
    <n v="3100"/>
    <x v="15"/>
    <d v="2023-04-16T00:00:00"/>
    <n v="1.9063977415734159"/>
    <n v="0.47926632056423563"/>
  </r>
  <r>
    <x v="445"/>
    <x v="3"/>
    <x v="1"/>
    <x v="1"/>
    <x v="445"/>
    <n v="21117"/>
    <n v="365299"/>
    <n v="688"/>
    <x v="9"/>
    <d v="2023-03-30T00:00:00"/>
    <n v="5.780743993276741"/>
    <n v="0.18833886761255847"/>
  </r>
  <r>
    <x v="446"/>
    <x v="1"/>
    <x v="5"/>
    <x v="2"/>
    <x v="446"/>
    <n v="38002"/>
    <n v="313675"/>
    <n v="3621"/>
    <x v="20"/>
    <d v="2023-04-03T00:00:00"/>
    <n v="12.115087271857815"/>
    <n v="1.1543795329560851"/>
  </r>
  <r>
    <x v="447"/>
    <x v="2"/>
    <x v="2"/>
    <x v="4"/>
    <x v="447"/>
    <n v="29308"/>
    <n v="460795"/>
    <n v="3074"/>
    <x v="4"/>
    <d v="2023-04-22T00:00:00"/>
    <n v="6.3603120693583914"/>
    <n v="0.66710793302878724"/>
  </r>
  <r>
    <x v="448"/>
    <x v="1"/>
    <x v="4"/>
    <x v="4"/>
    <x v="448"/>
    <n v="73104"/>
    <n v="809768"/>
    <n v="3874"/>
    <x v="22"/>
    <d v="2023-03-28T00:00:00"/>
    <n v="9.0277709171021812"/>
    <n v="0.47840863062012823"/>
  </r>
  <r>
    <x v="449"/>
    <x v="2"/>
    <x v="6"/>
    <x v="1"/>
    <x v="449"/>
    <n v="83069"/>
    <n v="545772"/>
    <n v="3212"/>
    <x v="3"/>
    <d v="2023-04-16T00:00:00"/>
    <n v="15.220458359901205"/>
    <n v="0.5885241456139193"/>
  </r>
  <r>
    <x v="450"/>
    <x v="0"/>
    <x v="2"/>
    <x v="1"/>
    <x v="450"/>
    <n v="16596"/>
    <n v="283655"/>
    <n v="1127"/>
    <x v="14"/>
    <d v="2023-04-08T00:00:00"/>
    <n v="5.8507694205989669"/>
    <n v="0.39731363804621811"/>
  </r>
  <r>
    <x v="451"/>
    <x v="0"/>
    <x v="4"/>
    <x v="1"/>
    <x v="451"/>
    <n v="61382"/>
    <n v="529441"/>
    <n v="3110"/>
    <x v="19"/>
    <d v="2023-04-04T00:00:00"/>
    <n v="11.593737545826636"/>
    <n v="0.58741200624809942"/>
  </r>
  <r>
    <x v="452"/>
    <x v="2"/>
    <x v="1"/>
    <x v="0"/>
    <x v="452"/>
    <n v="42273"/>
    <n v="315003"/>
    <n v="1574"/>
    <x v="24"/>
    <d v="2023-04-11T00:00:00"/>
    <n v="13.419872191693413"/>
    <n v="0.49967778084653164"/>
  </r>
  <r>
    <x v="453"/>
    <x v="2"/>
    <x v="0"/>
    <x v="3"/>
    <x v="453"/>
    <n v="10011"/>
    <n v="792876"/>
    <n v="584"/>
    <x v="9"/>
    <d v="2023-04-07T00:00:00"/>
    <n v="1.2626186188004178"/>
    <n v="7.3655905841518723E-2"/>
  </r>
  <r>
    <x v="454"/>
    <x v="2"/>
    <x v="2"/>
    <x v="3"/>
    <x v="454"/>
    <n v="60669"/>
    <n v="894784"/>
    <n v="1209"/>
    <x v="21"/>
    <d v="2023-04-25T00:00:00"/>
    <n v="6.7802955797153288"/>
    <n v="0.13511640798226163"/>
  </r>
  <r>
    <x v="455"/>
    <x v="3"/>
    <x v="2"/>
    <x v="2"/>
    <x v="455"/>
    <n v="70678"/>
    <n v="820891"/>
    <n v="1748"/>
    <x v="18"/>
    <d v="2023-04-10T00:00:00"/>
    <n v="8.60991288733827"/>
    <n v="0.21293935492044622"/>
  </r>
  <r>
    <x v="456"/>
    <x v="1"/>
    <x v="2"/>
    <x v="3"/>
    <x v="456"/>
    <n v="62718"/>
    <n v="195735"/>
    <n v="687"/>
    <x v="21"/>
    <d v="2023-04-27T00:00:00"/>
    <n v="32.04230209211434"/>
    <n v="0.35098474978925587"/>
  </r>
  <r>
    <x v="457"/>
    <x v="0"/>
    <x v="2"/>
    <x v="1"/>
    <x v="457"/>
    <n v="83165"/>
    <n v="184982"/>
    <n v="4985"/>
    <x v="20"/>
    <d v="2023-04-14T00:00:00"/>
    <n v="44.958428387626903"/>
    <n v="2.6948567968775339"/>
  </r>
  <r>
    <x v="458"/>
    <x v="1"/>
    <x v="3"/>
    <x v="0"/>
    <x v="458"/>
    <n v="95437"/>
    <n v="445231"/>
    <n v="94"/>
    <x v="2"/>
    <d v="2023-04-10T00:00:00"/>
    <n v="21.435389719044721"/>
    <n v="2.1112635912593686E-2"/>
  </r>
  <r>
    <x v="459"/>
    <x v="1"/>
    <x v="0"/>
    <x v="0"/>
    <x v="459"/>
    <n v="21060"/>
    <n v="275370"/>
    <n v="4090"/>
    <x v="20"/>
    <d v="2023-04-16T00:00:00"/>
    <n v="7.6478919272251877"/>
    <n v="1.4852743581363257"/>
  </r>
  <r>
    <x v="460"/>
    <x v="2"/>
    <x v="1"/>
    <x v="2"/>
    <x v="460"/>
    <n v="56817"/>
    <n v="891924"/>
    <n v="3881"/>
    <x v="3"/>
    <d v="2023-04-27T00:00:00"/>
    <n v="6.3701615832739114"/>
    <n v="0.43512675967907583"/>
  </r>
  <r>
    <x v="461"/>
    <x v="3"/>
    <x v="4"/>
    <x v="4"/>
    <x v="461"/>
    <n v="35377"/>
    <n v="112399"/>
    <n v="2138"/>
    <x v="5"/>
    <d v="2023-05-05T00:00:00"/>
    <n v="31.474479310314145"/>
    <n v="1.9021521543785977"/>
  </r>
  <r>
    <x v="462"/>
    <x v="2"/>
    <x v="0"/>
    <x v="2"/>
    <x v="462"/>
    <n v="437"/>
    <n v="246907"/>
    <n v="3529"/>
    <x v="6"/>
    <d v="2023-04-26T00:00:00"/>
    <n v="0.17698971677595207"/>
    <n v="1.429283090394359"/>
  </r>
  <r>
    <x v="463"/>
    <x v="1"/>
    <x v="3"/>
    <x v="1"/>
    <x v="463"/>
    <n v="74296"/>
    <n v="83613"/>
    <n v="524"/>
    <x v="18"/>
    <d v="2023-04-18T00:00:00"/>
    <n v="88.856995921686817"/>
    <n v="0.62669680552067253"/>
  </r>
  <r>
    <x v="464"/>
    <x v="1"/>
    <x v="1"/>
    <x v="4"/>
    <x v="464"/>
    <n v="9906"/>
    <n v="589198"/>
    <n v="1570"/>
    <x v="11"/>
    <d v="2023-04-20T00:00:00"/>
    <n v="1.6812684360775154"/>
    <n v="0.26646390517279422"/>
  </r>
  <r>
    <x v="465"/>
    <x v="1"/>
    <x v="5"/>
    <x v="4"/>
    <x v="465"/>
    <n v="87037"/>
    <n v="98263"/>
    <n v="513"/>
    <x v="19"/>
    <d v="2023-04-18T00:00:00"/>
    <n v="88.575557432604342"/>
    <n v="0.52206832683716153"/>
  </r>
  <r>
    <x v="466"/>
    <x v="3"/>
    <x v="1"/>
    <x v="2"/>
    <x v="466"/>
    <n v="40763"/>
    <n v="588338"/>
    <n v="1707"/>
    <x v="11"/>
    <d v="2023-04-22T00:00:00"/>
    <n v="6.9285002838504406"/>
    <n v="0.29013934167094424"/>
  </r>
  <r>
    <x v="467"/>
    <x v="2"/>
    <x v="6"/>
    <x v="1"/>
    <x v="467"/>
    <n v="89215"/>
    <n v="570723"/>
    <n v="842"/>
    <x v="20"/>
    <d v="2023-04-24T00:00:00"/>
    <n v="15.63192652127214"/>
    <n v="0.14753216534115499"/>
  </r>
  <r>
    <x v="468"/>
    <x v="1"/>
    <x v="0"/>
    <x v="1"/>
    <x v="468"/>
    <n v="5409"/>
    <n v="642939"/>
    <n v="1857"/>
    <x v="8"/>
    <d v="2023-05-03T00:00:00"/>
    <n v="0.8412928753738691"/>
    <n v="0.28882988899413475"/>
  </r>
  <r>
    <x v="469"/>
    <x v="1"/>
    <x v="3"/>
    <x v="2"/>
    <x v="469"/>
    <n v="92811"/>
    <n v="110221"/>
    <n v="628"/>
    <x v="15"/>
    <d v="2023-05-11T00:00:00"/>
    <n v="84.204461944638496"/>
    <n v="0.5697643824679508"/>
  </r>
  <r>
    <x v="470"/>
    <x v="1"/>
    <x v="2"/>
    <x v="1"/>
    <x v="470"/>
    <n v="35641"/>
    <n v="540783"/>
    <n v="938"/>
    <x v="13"/>
    <d v="2023-05-10T00:00:00"/>
    <n v="6.5906287734636626"/>
    <n v="0.17345219801657966"/>
  </r>
  <r>
    <x v="471"/>
    <x v="2"/>
    <x v="3"/>
    <x v="2"/>
    <x v="471"/>
    <n v="65466"/>
    <n v="555327"/>
    <n v="1690"/>
    <x v="12"/>
    <d v="2023-05-09T00:00:00"/>
    <n v="11.788729883474062"/>
    <n v="0.30432519938702779"/>
  </r>
  <r>
    <x v="472"/>
    <x v="2"/>
    <x v="3"/>
    <x v="4"/>
    <x v="472"/>
    <n v="72702"/>
    <n v="834114"/>
    <n v="477"/>
    <x v="13"/>
    <d v="2023-05-12T00:00:00"/>
    <n v="8.7160747811450232"/>
    <n v="5.7186427754479602E-2"/>
  </r>
  <r>
    <x v="473"/>
    <x v="2"/>
    <x v="0"/>
    <x v="4"/>
    <x v="473"/>
    <n v="31319"/>
    <n v="882159"/>
    <n v="1905"/>
    <x v="15"/>
    <d v="2023-05-15T00:00:00"/>
    <n v="3.5502670153566425"/>
    <n v="0.2159474652528626"/>
  </r>
  <r>
    <x v="474"/>
    <x v="2"/>
    <x v="3"/>
    <x v="0"/>
    <x v="474"/>
    <n v="74003"/>
    <n v="183314"/>
    <n v="303"/>
    <x v="25"/>
    <d v="2023-04-24T00:00:00"/>
    <n v="40.369529877696195"/>
    <n v="0.16529015787119369"/>
  </r>
  <r>
    <x v="475"/>
    <x v="1"/>
    <x v="3"/>
    <x v="3"/>
    <x v="475"/>
    <n v="59217"/>
    <n v="18199"/>
    <n v="1289"/>
    <x v="9"/>
    <d v="2023-04-29T00:00:00"/>
    <n v="325.38601022034175"/>
    <n v="7.0828067476234962"/>
  </r>
  <r>
    <x v="476"/>
    <x v="1"/>
    <x v="5"/>
    <x v="2"/>
    <x v="476"/>
    <n v="6010"/>
    <n v="787016"/>
    <n v="3785"/>
    <x v="7"/>
    <d v="2023-04-24T00:00:00"/>
    <n v="0.7636439411651097"/>
    <n v="0.480930502048243"/>
  </r>
  <r>
    <x v="477"/>
    <x v="1"/>
    <x v="3"/>
    <x v="4"/>
    <x v="477"/>
    <n v="88163"/>
    <n v="330403"/>
    <n v="3467"/>
    <x v="6"/>
    <d v="2023-05-11T00:00:00"/>
    <n v="26.683474423658382"/>
    <n v="1.0493246126699818"/>
  </r>
  <r>
    <x v="478"/>
    <x v="1"/>
    <x v="2"/>
    <x v="1"/>
    <x v="478"/>
    <n v="65889"/>
    <n v="908995"/>
    <n v="4683"/>
    <x v="12"/>
    <d v="2023-05-16T00:00:00"/>
    <n v="7.2485547225232256"/>
    <n v="0.51518435194913059"/>
  </r>
  <r>
    <x v="479"/>
    <x v="1"/>
    <x v="6"/>
    <x v="4"/>
    <x v="479"/>
    <n v="97719"/>
    <n v="115906"/>
    <n v="2157"/>
    <x v="17"/>
    <d v="2023-05-18T00:00:00"/>
    <n v="84.308836470933343"/>
    <n v="1.8609908028919986"/>
  </r>
  <r>
    <x v="480"/>
    <x v="2"/>
    <x v="2"/>
    <x v="4"/>
    <x v="480"/>
    <n v="23486"/>
    <n v="66452"/>
    <n v="615"/>
    <x v="22"/>
    <d v="2023-04-29T00:00:00"/>
    <n v="35.342803828327213"/>
    <n v="0.92548004574730636"/>
  </r>
  <r>
    <x v="481"/>
    <x v="1"/>
    <x v="3"/>
    <x v="3"/>
    <x v="481"/>
    <n v="72119"/>
    <n v="557946"/>
    <n v="1468"/>
    <x v="21"/>
    <d v="2023-05-22T00:00:00"/>
    <n v="12.925802855473471"/>
    <n v="0.26310789933075962"/>
  </r>
  <r>
    <x v="482"/>
    <x v="2"/>
    <x v="2"/>
    <x v="2"/>
    <x v="482"/>
    <n v="28514"/>
    <n v="567076"/>
    <n v="3864"/>
    <x v="25"/>
    <d v="2023-05-02T00:00:00"/>
    <n v="5.0282501816335019"/>
    <n v="0.68139014876312876"/>
  </r>
  <r>
    <x v="483"/>
    <x v="2"/>
    <x v="3"/>
    <x v="0"/>
    <x v="483"/>
    <n v="69886"/>
    <n v="766629"/>
    <n v="165"/>
    <x v="15"/>
    <d v="2023-05-25T00:00:00"/>
    <n v="9.1160130910779529"/>
    <n v="2.1522796554787258E-2"/>
  </r>
  <r>
    <x v="484"/>
    <x v="1"/>
    <x v="1"/>
    <x v="4"/>
    <x v="484"/>
    <n v="19250"/>
    <n v="592816"/>
    <n v="3396"/>
    <x v="21"/>
    <d v="2023-05-25T00:00:00"/>
    <n v="3.2472133005856794"/>
    <n v="0.57285903214488143"/>
  </r>
  <r>
    <x v="485"/>
    <x v="1"/>
    <x v="5"/>
    <x v="0"/>
    <x v="485"/>
    <n v="64816"/>
    <n v="825902"/>
    <n v="868"/>
    <x v="24"/>
    <d v="2023-05-14T00:00:00"/>
    <n v="7.8479044729277803"/>
    <n v="0.10509721492380451"/>
  </r>
  <r>
    <x v="486"/>
    <x v="2"/>
    <x v="5"/>
    <x v="4"/>
    <x v="486"/>
    <n v="37477"/>
    <n v="143470"/>
    <n v="1102"/>
    <x v="1"/>
    <d v="2023-05-16T00:00:00"/>
    <n v="26.121837317906184"/>
    <n v="0.76810483027810694"/>
  </r>
  <r>
    <x v="487"/>
    <x v="1"/>
    <x v="1"/>
    <x v="0"/>
    <x v="487"/>
    <n v="85602"/>
    <n v="357426"/>
    <n v="4309"/>
    <x v="23"/>
    <d v="2023-05-19T00:00:00"/>
    <n v="23.949572778701047"/>
    <n v="1.205564228679503"/>
  </r>
  <r>
    <x v="488"/>
    <x v="1"/>
    <x v="3"/>
    <x v="2"/>
    <x v="488"/>
    <n v="21869"/>
    <n v="358232"/>
    <n v="1229"/>
    <x v="26"/>
    <d v="2023-05-09T00:00:00"/>
    <n v="6.104703097434065"/>
    <n v="0.34307376225462827"/>
  </r>
  <r>
    <x v="489"/>
    <x v="0"/>
    <x v="4"/>
    <x v="2"/>
    <x v="489"/>
    <n v="43948"/>
    <n v="373655"/>
    <n v="1599"/>
    <x v="19"/>
    <d v="2023-05-12T00:00:00"/>
    <n v="11.761651791090712"/>
    <n v="0.42793485969677908"/>
  </r>
  <r>
    <x v="490"/>
    <x v="1"/>
    <x v="1"/>
    <x v="0"/>
    <x v="490"/>
    <n v="55893"/>
    <n v="476639"/>
    <n v="2554"/>
    <x v="24"/>
    <d v="2023-05-19T00:00:00"/>
    <n v="11.726484823944325"/>
    <n v="0.53583529673400621"/>
  </r>
  <r>
    <x v="491"/>
    <x v="1"/>
    <x v="6"/>
    <x v="0"/>
    <x v="491"/>
    <n v="39732"/>
    <n v="316819"/>
    <n v="1249"/>
    <x v="19"/>
    <d v="2023-05-14T00:00:00"/>
    <n v="12.540914528484718"/>
    <n v="0.39423140657599448"/>
  </r>
  <r>
    <x v="492"/>
    <x v="2"/>
    <x v="4"/>
    <x v="0"/>
    <x v="492"/>
    <n v="9506"/>
    <n v="354489"/>
    <n v="1765"/>
    <x v="5"/>
    <d v="2023-06-05T00:00:00"/>
    <n v="2.6816064814423015"/>
    <n v="0.49789979378767751"/>
  </r>
  <r>
    <x v="493"/>
    <x v="0"/>
    <x v="6"/>
    <x v="1"/>
    <x v="493"/>
    <n v="67688"/>
    <n v="560976"/>
    <n v="740"/>
    <x v="13"/>
    <d v="2023-06-02T00:00:00"/>
    <n v="12.066113345312456"/>
    <n v="0.13191295171272924"/>
  </r>
  <r>
    <x v="494"/>
    <x v="1"/>
    <x v="6"/>
    <x v="1"/>
    <x v="494"/>
    <n v="92093"/>
    <n v="654043"/>
    <n v="1689"/>
    <x v="28"/>
    <d v="2023-06-09T00:00:00"/>
    <n v="14.080572684058998"/>
    <n v="0.25823990165784205"/>
  </r>
  <r>
    <x v="495"/>
    <x v="1"/>
    <x v="1"/>
    <x v="1"/>
    <x v="495"/>
    <n v="2046"/>
    <n v="239661"/>
    <n v="566"/>
    <x v="6"/>
    <d v="2023-05-29T00:00:00"/>
    <n v="0.85370585952658129"/>
    <n v="0.23616691910657139"/>
  </r>
  <r>
    <x v="496"/>
    <x v="1"/>
    <x v="6"/>
    <x v="0"/>
    <x v="496"/>
    <n v="86161"/>
    <n v="416435"/>
    <n v="2610"/>
    <x v="17"/>
    <d v="2023-06-04T00:00:00"/>
    <n v="20.690143719908267"/>
    <n v="0.62674847215051566"/>
  </r>
  <r>
    <x v="497"/>
    <x v="2"/>
    <x v="4"/>
    <x v="2"/>
    <x v="497"/>
    <n v="41336"/>
    <n v="406980"/>
    <n v="3057"/>
    <x v="6"/>
    <d v="2023-05-31T00:00:00"/>
    <n v="10.156764460170033"/>
    <n v="0.75114256228807308"/>
  </r>
  <r>
    <x v="498"/>
    <x v="1"/>
    <x v="6"/>
    <x v="3"/>
    <x v="498"/>
    <n v="61984"/>
    <n v="707066"/>
    <n v="4122"/>
    <x v="1"/>
    <d v="2023-05-28T00:00:00"/>
    <n v="8.7663669303855656"/>
    <n v="0.5829724523594686"/>
  </r>
  <r>
    <x v="499"/>
    <x v="0"/>
    <x v="6"/>
    <x v="4"/>
    <x v="499"/>
    <n v="66095"/>
    <n v="300877"/>
    <n v="4807"/>
    <x v="17"/>
    <d v="2023-06-07T00:00:00"/>
    <n v="21.967448492241015"/>
    <n v="1.597662832320184"/>
  </r>
  <r>
    <x v="500"/>
    <x v="0"/>
    <x v="1"/>
    <x v="4"/>
    <x v="500"/>
    <n v="26954"/>
    <n v="231385"/>
    <n v="189"/>
    <x v="21"/>
    <d v="2023-06-10T00:00:00"/>
    <n v="11.648983296237873"/>
    <n v="8.1682045076387835E-2"/>
  </r>
  <r>
    <x v="501"/>
    <x v="3"/>
    <x v="0"/>
    <x v="2"/>
    <x v="501"/>
    <n v="40478"/>
    <n v="582512"/>
    <n v="4737"/>
    <x v="4"/>
    <d v="2023-06-15T00:00:00"/>
    <n v="6.9488697228554956"/>
    <n v="0.81320213145823594"/>
  </r>
  <r>
    <x v="502"/>
    <x v="1"/>
    <x v="4"/>
    <x v="2"/>
    <x v="502"/>
    <n v="72757"/>
    <n v="366225"/>
    <n v="1885"/>
    <x v="6"/>
    <d v="2023-06-05T00:00:00"/>
    <n v="19.866748583521058"/>
    <n v="0.5147109017680388"/>
  </r>
  <r>
    <x v="503"/>
    <x v="1"/>
    <x v="3"/>
    <x v="4"/>
    <x v="503"/>
    <n v="29999"/>
    <n v="919989"/>
    <n v="1848"/>
    <x v="22"/>
    <d v="2023-05-22T00:00:00"/>
    <n v="3.2607998573895993"/>
    <n v="0.2008719669474309"/>
  </r>
  <r>
    <x v="504"/>
    <x v="0"/>
    <x v="6"/>
    <x v="1"/>
    <x v="504"/>
    <n v="2812"/>
    <n v="505483"/>
    <n v="2939"/>
    <x v="22"/>
    <d v="2023-05-23T00:00:00"/>
    <n v="0.55629961838479236"/>
    <n v="0.58142410328339433"/>
  </r>
  <r>
    <x v="505"/>
    <x v="2"/>
    <x v="4"/>
    <x v="0"/>
    <x v="505"/>
    <n v="47498"/>
    <n v="478186"/>
    <n v="967"/>
    <x v="24"/>
    <d v="2023-06-03T00:00:00"/>
    <n v="9.9329549589490274"/>
    <n v="0.20222256611444081"/>
  </r>
  <r>
    <x v="506"/>
    <x v="0"/>
    <x v="1"/>
    <x v="3"/>
    <x v="506"/>
    <n v="73873"/>
    <n v="153632"/>
    <n v="663"/>
    <x v="23"/>
    <d v="2023-06-07T00:00:00"/>
    <n v="48.084383461778799"/>
    <n v="0.43155071860029159"/>
  </r>
  <r>
    <x v="507"/>
    <x v="1"/>
    <x v="6"/>
    <x v="4"/>
    <x v="507"/>
    <n v="61373"/>
    <n v="46505"/>
    <n v="2594"/>
    <x v="22"/>
    <d v="2023-05-26T00:00:00"/>
    <n v="131.97075583270617"/>
    <n v="5.5778948500161274"/>
  </r>
  <r>
    <x v="508"/>
    <x v="2"/>
    <x v="0"/>
    <x v="1"/>
    <x v="508"/>
    <n v="9659"/>
    <n v="907108"/>
    <n v="2775"/>
    <x v="11"/>
    <d v="2023-06-03T00:00:00"/>
    <n v="1.0648125691758865"/>
    <n v="0.30591726674221809"/>
  </r>
  <r>
    <x v="509"/>
    <x v="2"/>
    <x v="4"/>
    <x v="1"/>
    <x v="509"/>
    <n v="90220"/>
    <n v="961362"/>
    <n v="1148"/>
    <x v="25"/>
    <d v="2023-05-29T00:00:00"/>
    <n v="9.3846022622071601"/>
    <n v="0.11941391484165174"/>
  </r>
  <r>
    <x v="510"/>
    <x v="0"/>
    <x v="0"/>
    <x v="2"/>
    <x v="510"/>
    <n v="22282"/>
    <n v="771847"/>
    <n v="1183"/>
    <x v="2"/>
    <d v="2023-06-01T00:00:00"/>
    <n v="2.8868415631595381"/>
    <n v="0.15326871776401282"/>
  </r>
  <r>
    <x v="511"/>
    <x v="2"/>
    <x v="4"/>
    <x v="2"/>
    <x v="511"/>
    <n v="52425"/>
    <n v="121915"/>
    <n v="4983"/>
    <x v="1"/>
    <d v="2023-06-10T00:00:00"/>
    <n v="43.001271377599146"/>
    <n v="4.0872739203543453"/>
  </r>
  <r>
    <x v="512"/>
    <x v="2"/>
    <x v="5"/>
    <x v="1"/>
    <x v="512"/>
    <n v="43081"/>
    <n v="631580"/>
    <n v="126"/>
    <x v="13"/>
    <d v="2023-06-21T00:00:00"/>
    <n v="6.8211469647550595"/>
    <n v="1.9949966750055417E-2"/>
  </r>
  <r>
    <x v="513"/>
    <x v="2"/>
    <x v="1"/>
    <x v="3"/>
    <x v="513"/>
    <n v="72055"/>
    <n v="962276"/>
    <n v="1518"/>
    <x v="14"/>
    <d v="2023-06-10T00:00:00"/>
    <n v="7.4879764225648362"/>
    <n v="0.15775099867397713"/>
  </r>
  <r>
    <x v="514"/>
    <x v="2"/>
    <x v="1"/>
    <x v="4"/>
    <x v="514"/>
    <n v="61536"/>
    <n v="949146"/>
    <n v="975"/>
    <x v="23"/>
    <d v="2023-06-15T00:00:00"/>
    <n v="6.4833018313304809"/>
    <n v="0.10272392234703617"/>
  </r>
  <r>
    <x v="515"/>
    <x v="2"/>
    <x v="1"/>
    <x v="1"/>
    <x v="515"/>
    <n v="25336"/>
    <n v="949498"/>
    <n v="95"/>
    <x v="15"/>
    <d v="2023-06-26T00:00:00"/>
    <n v="2.6683573846390409"/>
    <n v="1.0005287004290689E-2"/>
  </r>
  <r>
    <x v="516"/>
    <x v="0"/>
    <x v="3"/>
    <x v="3"/>
    <x v="516"/>
    <n v="26863"/>
    <n v="503294"/>
    <n v="817"/>
    <x v="28"/>
    <d v="2023-07-01T00:00:00"/>
    <n v="5.3374369652727829"/>
    <n v="0.1623305662296789"/>
  </r>
  <r>
    <x v="517"/>
    <x v="2"/>
    <x v="6"/>
    <x v="4"/>
    <x v="517"/>
    <n v="73696"/>
    <n v="801070"/>
    <n v="1112"/>
    <x v="28"/>
    <d v="2023-07-02T00:00:00"/>
    <n v="9.1996954073926123"/>
    <n v="0.13881433582583297"/>
  </r>
  <r>
    <x v="518"/>
    <x v="0"/>
    <x v="6"/>
    <x v="3"/>
    <x v="518"/>
    <n v="15194"/>
    <n v="541521"/>
    <n v="975"/>
    <x v="9"/>
    <d v="2023-06-11T00:00:00"/>
    <n v="2.8058006984032011"/>
    <n v="0.18004841917487965"/>
  </r>
  <r>
    <x v="519"/>
    <x v="0"/>
    <x v="1"/>
    <x v="1"/>
    <x v="519"/>
    <n v="68100"/>
    <n v="99992"/>
    <n v="70"/>
    <x v="5"/>
    <d v="2023-07-02T00:00:00"/>
    <n v="68.105448435874877"/>
    <n v="7.0005600448035846E-2"/>
  </r>
  <r>
    <x v="520"/>
    <x v="2"/>
    <x v="4"/>
    <x v="2"/>
    <x v="520"/>
    <n v="6385"/>
    <n v="719227"/>
    <n v="796"/>
    <x v="16"/>
    <d v="2023-07-02T00:00:00"/>
    <n v="0.88775866312026663"/>
    <n v="0.11067437679619925"/>
  </r>
  <r>
    <x v="521"/>
    <x v="2"/>
    <x v="6"/>
    <x v="2"/>
    <x v="521"/>
    <n v="6275"/>
    <n v="581862"/>
    <n v="3879"/>
    <x v="23"/>
    <d v="2023-06-22T00:00:00"/>
    <n v="1.0784344054088426"/>
    <n v="0.66665291770213564"/>
  </r>
  <r>
    <x v="522"/>
    <x v="1"/>
    <x v="5"/>
    <x v="3"/>
    <x v="522"/>
    <n v="36378"/>
    <n v="64579"/>
    <n v="3732"/>
    <x v="26"/>
    <d v="2023-06-12T00:00:00"/>
    <n v="56.331005435203394"/>
    <n v="5.7789683952987811"/>
  </r>
  <r>
    <x v="523"/>
    <x v="2"/>
    <x v="4"/>
    <x v="4"/>
    <x v="523"/>
    <n v="33190"/>
    <n v="197091"/>
    <n v="3009"/>
    <x v="16"/>
    <d v="2023-07-05T00:00:00"/>
    <n v="16.839936881947935"/>
    <n v="1.5267059378662649"/>
  </r>
  <r>
    <x v="524"/>
    <x v="2"/>
    <x v="0"/>
    <x v="2"/>
    <x v="524"/>
    <n v="39477"/>
    <n v="533510"/>
    <n v="919"/>
    <x v="7"/>
    <d v="2023-06-11T00:00:00"/>
    <n v="7.3994864201233339"/>
    <n v="0.17225544038537235"/>
  </r>
  <r>
    <x v="525"/>
    <x v="3"/>
    <x v="1"/>
    <x v="3"/>
    <x v="525"/>
    <n v="2732"/>
    <n v="665449"/>
    <n v="2363"/>
    <x v="14"/>
    <d v="2023-06-22T00:00:00"/>
    <n v="0.41054986933634285"/>
    <n v="0.35509858757019697"/>
  </r>
  <r>
    <x v="526"/>
    <x v="3"/>
    <x v="4"/>
    <x v="1"/>
    <x v="526"/>
    <n v="28339"/>
    <n v="100141"/>
    <n v="3260"/>
    <x v="22"/>
    <d v="2023-06-14T00:00:00"/>
    <n v="28.299098271437273"/>
    <n v="3.2554098720803673"/>
  </r>
  <r>
    <x v="527"/>
    <x v="0"/>
    <x v="1"/>
    <x v="1"/>
    <x v="527"/>
    <n v="15053"/>
    <n v="589819"/>
    <n v="3489"/>
    <x v="24"/>
    <d v="2023-06-25T00:00:00"/>
    <n v="2.5521388765027915"/>
    <n v="0.59153740384762099"/>
  </r>
  <r>
    <x v="528"/>
    <x v="2"/>
    <x v="2"/>
    <x v="3"/>
    <x v="528"/>
    <n v="94156"/>
    <n v="671589"/>
    <n v="4888"/>
    <x v="12"/>
    <d v="2023-07-05T00:00:00"/>
    <n v="14.019884185119173"/>
    <n v="0.72782609602003612"/>
  </r>
  <r>
    <x v="529"/>
    <x v="1"/>
    <x v="4"/>
    <x v="0"/>
    <x v="529"/>
    <n v="25496"/>
    <n v="861424"/>
    <n v="1871"/>
    <x v="5"/>
    <d v="2023-07-12T00:00:00"/>
    <n v="2.9597503668344509"/>
    <n v="0.2171984992291833"/>
  </r>
  <r>
    <x v="530"/>
    <x v="0"/>
    <x v="6"/>
    <x v="4"/>
    <x v="530"/>
    <n v="5753"/>
    <n v="714025"/>
    <n v="3719"/>
    <x v="13"/>
    <d v="2023-07-09T00:00:00"/>
    <n v="0.80571408564125913"/>
    <n v="0.52085011029025596"/>
  </r>
  <r>
    <x v="531"/>
    <x v="2"/>
    <x v="5"/>
    <x v="4"/>
    <x v="531"/>
    <n v="53374"/>
    <n v="503072"/>
    <n v="1403"/>
    <x v="13"/>
    <d v="2023-07-10T00:00:00"/>
    <n v="10.609614528337891"/>
    <n v="0.27888652121366325"/>
  </r>
  <r>
    <x v="532"/>
    <x v="1"/>
    <x v="2"/>
    <x v="2"/>
    <x v="532"/>
    <n v="2200"/>
    <n v="331588"/>
    <n v="2990"/>
    <x v="24"/>
    <d v="2023-06-30T00:00:00"/>
    <n v="0.66347394960010608"/>
    <n v="0.90172141332014422"/>
  </r>
  <r>
    <x v="533"/>
    <x v="2"/>
    <x v="3"/>
    <x v="1"/>
    <x v="533"/>
    <n v="49746"/>
    <n v="423485"/>
    <n v="1823"/>
    <x v="5"/>
    <d v="2023-07-16T00:00:00"/>
    <n v="11.746815117418564"/>
    <n v="0.43047569571531458"/>
  </r>
  <r>
    <x v="534"/>
    <x v="2"/>
    <x v="0"/>
    <x v="4"/>
    <x v="534"/>
    <n v="82615"/>
    <n v="371269"/>
    <n v="1609"/>
    <x v="2"/>
    <d v="2023-06-25T00:00:00"/>
    <n v="22.252059827241162"/>
    <n v="0.43337849376058862"/>
  </r>
  <r>
    <x v="535"/>
    <x v="1"/>
    <x v="4"/>
    <x v="0"/>
    <x v="535"/>
    <n v="69314"/>
    <n v="447295"/>
    <n v="2031"/>
    <x v="17"/>
    <d v="2023-07-13T00:00:00"/>
    <n v="15.496260856928872"/>
    <n v="0.45406275500508608"/>
  </r>
  <r>
    <x v="536"/>
    <x v="2"/>
    <x v="6"/>
    <x v="2"/>
    <x v="536"/>
    <n v="38106"/>
    <n v="867764"/>
    <n v="2426"/>
    <x v="4"/>
    <d v="2023-07-20T00:00:00"/>
    <n v="4.3912861100483545"/>
    <n v="0.27956909943256458"/>
  </r>
  <r>
    <x v="537"/>
    <x v="2"/>
    <x v="4"/>
    <x v="0"/>
    <x v="537"/>
    <n v="95705"/>
    <n v="523460"/>
    <n v="3704"/>
    <x v="20"/>
    <d v="2023-07-03T00:00:00"/>
    <n v="18.283154395751346"/>
    <n v="0.70759943453176943"/>
  </r>
  <r>
    <x v="538"/>
    <x v="0"/>
    <x v="0"/>
    <x v="1"/>
    <x v="538"/>
    <n v="78571"/>
    <n v="780730"/>
    <n v="928"/>
    <x v="19"/>
    <d v="2023-06-30T00:00:00"/>
    <n v="10.063786456265291"/>
    <n v="0.11886311528953672"/>
  </r>
  <r>
    <x v="539"/>
    <x v="3"/>
    <x v="5"/>
    <x v="4"/>
    <x v="539"/>
    <n v="1373"/>
    <n v="6525"/>
    <n v="2752"/>
    <x v="13"/>
    <d v="2023-07-18T00:00:00"/>
    <n v="21.042145593869733"/>
    <n v="42.17624521072797"/>
  </r>
  <r>
    <x v="540"/>
    <x v="1"/>
    <x v="2"/>
    <x v="0"/>
    <x v="540"/>
    <n v="80337"/>
    <n v="708936"/>
    <n v="945"/>
    <x v="15"/>
    <d v="2023-07-21T00:00:00"/>
    <n v="11.332052540708894"/>
    <n v="0.13329835133213719"/>
  </r>
  <r>
    <x v="541"/>
    <x v="0"/>
    <x v="6"/>
    <x v="3"/>
    <x v="541"/>
    <n v="8840"/>
    <n v="532195"/>
    <n v="663"/>
    <x v="19"/>
    <d v="2023-07-03T00:00:00"/>
    <n v="1.6610452935484175"/>
    <n v="0.12457839701613131"/>
  </r>
  <r>
    <x v="542"/>
    <x v="3"/>
    <x v="2"/>
    <x v="2"/>
    <x v="542"/>
    <n v="27429"/>
    <n v="750342"/>
    <n v="4696"/>
    <x v="16"/>
    <d v="2023-07-24T00:00:00"/>
    <n v="3.6555330769169259"/>
    <n v="0.62584794666965204"/>
  </r>
  <r>
    <x v="543"/>
    <x v="2"/>
    <x v="1"/>
    <x v="2"/>
    <x v="543"/>
    <n v="8827"/>
    <n v="122640"/>
    <n v="3003"/>
    <x v="4"/>
    <d v="2023-07-27T00:00:00"/>
    <n v="7.1974885844748853"/>
    <n v="2.4486301369863015"/>
  </r>
  <r>
    <x v="544"/>
    <x v="1"/>
    <x v="6"/>
    <x v="0"/>
    <x v="544"/>
    <n v="81296"/>
    <n v="405119"/>
    <n v="3898"/>
    <x v="9"/>
    <d v="2023-07-07T00:00:00"/>
    <n v="20.067190134256848"/>
    <n v="0.96218641929902082"/>
  </r>
  <r>
    <x v="545"/>
    <x v="2"/>
    <x v="0"/>
    <x v="1"/>
    <x v="545"/>
    <n v="12265"/>
    <n v="775132"/>
    <n v="1821"/>
    <x v="19"/>
    <d v="2023-07-07T00:00:00"/>
    <n v="1.5823111418442277"/>
    <n v="0.23492772843851112"/>
  </r>
  <r>
    <x v="546"/>
    <x v="2"/>
    <x v="1"/>
    <x v="1"/>
    <x v="546"/>
    <n v="47808"/>
    <n v="48241"/>
    <n v="4542"/>
    <x v="17"/>
    <d v="2023-07-24T00:00:00"/>
    <n v="99.102423249932627"/>
    <n v="9.4152277108683489"/>
  </r>
  <r>
    <x v="547"/>
    <x v="0"/>
    <x v="6"/>
    <x v="0"/>
    <x v="547"/>
    <n v="59643"/>
    <n v="343979"/>
    <n v="2336"/>
    <x v="1"/>
    <d v="2023-07-16T00:00:00"/>
    <n v="17.33913988935371"/>
    <n v="0.67911122481314268"/>
  </r>
  <r>
    <x v="548"/>
    <x v="1"/>
    <x v="4"/>
    <x v="3"/>
    <x v="548"/>
    <n v="48060"/>
    <n v="278490"/>
    <n v="3316"/>
    <x v="1"/>
    <d v="2023-07-17T00:00:00"/>
    <n v="17.257352149089733"/>
    <n v="1.1907070271823046"/>
  </r>
  <r>
    <x v="549"/>
    <x v="1"/>
    <x v="4"/>
    <x v="4"/>
    <x v="549"/>
    <n v="74846"/>
    <n v="557250"/>
    <n v="2218"/>
    <x v="27"/>
    <d v="2023-07-21T00:00:00"/>
    <n v="13.43131449080305"/>
    <n v="0.398026020637057"/>
  </r>
  <r>
    <x v="550"/>
    <x v="2"/>
    <x v="0"/>
    <x v="1"/>
    <x v="550"/>
    <n v="71839"/>
    <n v="567814"/>
    <n v="1674"/>
    <x v="8"/>
    <d v="2023-07-24T00:00:00"/>
    <n v="12.651854304402498"/>
    <n v="0.2948148513421649"/>
  </r>
  <r>
    <x v="551"/>
    <x v="2"/>
    <x v="5"/>
    <x v="2"/>
    <x v="551"/>
    <n v="98843"/>
    <n v="393759"/>
    <n v="4625"/>
    <x v="12"/>
    <d v="2023-07-28T00:00:00"/>
    <n v="25.102410357604526"/>
    <n v="1.1745763271442684"/>
  </r>
  <r>
    <x v="552"/>
    <x v="3"/>
    <x v="5"/>
    <x v="2"/>
    <x v="552"/>
    <n v="41243"/>
    <n v="281866"/>
    <n v="1808"/>
    <x v="27"/>
    <d v="2023-07-24T00:00:00"/>
    <n v="14.632130161140399"/>
    <n v="0.64143954928937863"/>
  </r>
  <r>
    <x v="553"/>
    <x v="2"/>
    <x v="1"/>
    <x v="3"/>
    <x v="553"/>
    <n v="19255"/>
    <n v="517762"/>
    <n v="1941"/>
    <x v="20"/>
    <d v="2023-07-19T00:00:00"/>
    <n v="3.7188901464379387"/>
    <n v="0.37488266809846993"/>
  </r>
  <r>
    <x v="554"/>
    <x v="2"/>
    <x v="2"/>
    <x v="4"/>
    <x v="554"/>
    <n v="1538"/>
    <n v="726968"/>
    <n v="2889"/>
    <x v="13"/>
    <d v="2023-08-02T00:00:00"/>
    <n v="0.21156364516732509"/>
    <n v="0.3974040122811458"/>
  </r>
  <r>
    <x v="555"/>
    <x v="2"/>
    <x v="3"/>
    <x v="1"/>
    <x v="555"/>
    <n v="93674"/>
    <n v="965075"/>
    <n v="1279"/>
    <x v="4"/>
    <d v="2023-08-08T00:00:00"/>
    <n v="9.7063958759681892"/>
    <n v="0.13252855995648005"/>
  </r>
  <r>
    <x v="556"/>
    <x v="1"/>
    <x v="2"/>
    <x v="0"/>
    <x v="556"/>
    <n v="58114"/>
    <n v="375685"/>
    <n v="877"/>
    <x v="0"/>
    <d v="2023-07-26T00:00:00"/>
    <n v="15.46881030650678"/>
    <n v="0.23344024914489533"/>
  </r>
  <r>
    <x v="557"/>
    <x v="1"/>
    <x v="6"/>
    <x v="4"/>
    <x v="557"/>
    <n v="14930"/>
    <n v="876432"/>
    <n v="3656"/>
    <x v="17"/>
    <d v="2023-08-04T00:00:00"/>
    <n v="1.7034978184274421"/>
    <n v="0.41714588239589612"/>
  </r>
  <r>
    <x v="558"/>
    <x v="1"/>
    <x v="3"/>
    <x v="0"/>
    <x v="558"/>
    <n v="19224"/>
    <n v="768805"/>
    <n v="4410"/>
    <x v="3"/>
    <d v="2023-08-03T00:00:00"/>
    <n v="2.5005040289800404"/>
    <n v="0.57361749728474709"/>
  </r>
  <r>
    <x v="559"/>
    <x v="2"/>
    <x v="3"/>
    <x v="0"/>
    <x v="559"/>
    <n v="13967"/>
    <n v="629165"/>
    <n v="2362"/>
    <x v="3"/>
    <d v="2023-08-04T00:00:00"/>
    <n v="2.2199264104010874"/>
    <n v="0.37541821302837891"/>
  </r>
  <r>
    <x v="560"/>
    <x v="2"/>
    <x v="2"/>
    <x v="3"/>
    <x v="560"/>
    <n v="52507"/>
    <n v="140029"/>
    <n v="1381"/>
    <x v="0"/>
    <d v="2023-07-30T00:00:00"/>
    <n v="37.497232716080241"/>
    <n v="0.98622428211299096"/>
  </r>
  <r>
    <x v="561"/>
    <x v="0"/>
    <x v="2"/>
    <x v="0"/>
    <x v="561"/>
    <n v="23097"/>
    <n v="463418"/>
    <n v="3544"/>
    <x v="3"/>
    <d v="2023-08-06T00:00:00"/>
    <n v="4.9840532737183283"/>
    <n v="0.76475234021984473"/>
  </r>
  <r>
    <x v="562"/>
    <x v="1"/>
    <x v="3"/>
    <x v="4"/>
    <x v="562"/>
    <n v="24382"/>
    <n v="813395"/>
    <n v="1462"/>
    <x v="14"/>
    <d v="2023-07-29T00:00:00"/>
    <n v="2.9975596112589824"/>
    <n v="0.17974047049711395"/>
  </r>
  <r>
    <x v="563"/>
    <x v="1"/>
    <x v="6"/>
    <x v="0"/>
    <x v="563"/>
    <n v="85595"/>
    <n v="680655"/>
    <n v="1395"/>
    <x v="23"/>
    <d v="2023-08-03T00:00:00"/>
    <n v="12.575386943458874"/>
    <n v="0.20494964409282238"/>
  </r>
  <r>
    <x v="564"/>
    <x v="1"/>
    <x v="0"/>
    <x v="1"/>
    <x v="564"/>
    <n v="26693"/>
    <n v="88108"/>
    <n v="3582"/>
    <x v="11"/>
    <d v="2023-07-29T00:00:00"/>
    <n v="30.29577336904708"/>
    <n v="4.0654651110001359"/>
  </r>
  <r>
    <x v="565"/>
    <x v="0"/>
    <x v="5"/>
    <x v="1"/>
    <x v="565"/>
    <n v="95788"/>
    <n v="158966"/>
    <n v="4773"/>
    <x v="22"/>
    <d v="2023-07-23T00:00:00"/>
    <n v="60.256910282701959"/>
    <n v="3.0025288426455972"/>
  </r>
  <r>
    <x v="566"/>
    <x v="2"/>
    <x v="1"/>
    <x v="1"/>
    <x v="566"/>
    <n v="45820"/>
    <n v="91064"/>
    <n v="2279"/>
    <x v="13"/>
    <d v="2023-08-14T00:00:00"/>
    <n v="50.31626109110077"/>
    <n v="2.5026355090925061"/>
  </r>
  <r>
    <x v="567"/>
    <x v="2"/>
    <x v="5"/>
    <x v="3"/>
    <x v="567"/>
    <n v="41265"/>
    <n v="895941"/>
    <n v="3157"/>
    <x v="12"/>
    <d v="2023-08-13T00:00:00"/>
    <n v="4.6057720318637054"/>
    <n v="0.35236695273461088"/>
  </r>
  <r>
    <x v="568"/>
    <x v="1"/>
    <x v="1"/>
    <x v="3"/>
    <x v="568"/>
    <n v="51558"/>
    <n v="191328"/>
    <n v="169"/>
    <x v="20"/>
    <d v="2023-08-03T00:00:00"/>
    <n v="26.947441043652788"/>
    <n v="8.8329988292356582E-2"/>
  </r>
  <r>
    <x v="569"/>
    <x v="2"/>
    <x v="2"/>
    <x v="1"/>
    <x v="569"/>
    <n v="17160"/>
    <n v="547473"/>
    <n v="3143"/>
    <x v="18"/>
    <d v="2023-08-02T00:00:00"/>
    <n v="3.1344011485497916"/>
    <n v="0.57409223833869438"/>
  </r>
  <r>
    <x v="570"/>
    <x v="0"/>
    <x v="2"/>
    <x v="4"/>
    <x v="570"/>
    <n v="64897"/>
    <n v="420593"/>
    <n v="542"/>
    <x v="14"/>
    <d v="2023-08-06T00:00:00"/>
    <n v="15.429881144003824"/>
    <n v="0.12886567299027801"/>
  </r>
  <r>
    <x v="571"/>
    <x v="1"/>
    <x v="2"/>
    <x v="0"/>
    <x v="571"/>
    <n v="53108"/>
    <n v="954736"/>
    <n v="4018"/>
    <x v="11"/>
    <d v="2023-08-05T00:00:00"/>
    <n v="5.5625848402071361"/>
    <n v="0.42084932379212686"/>
  </r>
  <r>
    <x v="572"/>
    <x v="0"/>
    <x v="2"/>
    <x v="4"/>
    <x v="572"/>
    <n v="41427"/>
    <n v="12771"/>
    <n v="309"/>
    <x v="22"/>
    <d v="2023-07-30T00:00:00"/>
    <n v="324.3833685694151"/>
    <n v="2.4195442800093963"/>
  </r>
  <r>
    <x v="573"/>
    <x v="0"/>
    <x v="0"/>
    <x v="1"/>
    <x v="573"/>
    <n v="27217"/>
    <n v="619080"/>
    <n v="4246"/>
    <x v="24"/>
    <d v="2023-08-10T00:00:00"/>
    <n v="4.3963623441235384"/>
    <n v="0.68585643212508884"/>
  </r>
  <r>
    <x v="574"/>
    <x v="1"/>
    <x v="1"/>
    <x v="4"/>
    <x v="574"/>
    <n v="84439"/>
    <n v="446995"/>
    <n v="2537"/>
    <x v="27"/>
    <d v="2023-08-15T00:00:00"/>
    <n v="18.890367901206947"/>
    <n v="0.56756786988668773"/>
  </r>
  <r>
    <x v="575"/>
    <x v="3"/>
    <x v="3"/>
    <x v="1"/>
    <x v="575"/>
    <n v="13904"/>
    <n v="383373"/>
    <n v="1666"/>
    <x v="1"/>
    <d v="2023-08-13T00:00:00"/>
    <n v="3.6267551444676598"/>
    <n v="0.43456372775338903"/>
  </r>
  <r>
    <x v="576"/>
    <x v="1"/>
    <x v="0"/>
    <x v="0"/>
    <x v="576"/>
    <n v="153"/>
    <n v="506457"/>
    <n v="1048"/>
    <x v="25"/>
    <d v="2023-08-04T00:00:00"/>
    <n v="3.0209869742149873E-2"/>
    <n v="0.20692773522727495"/>
  </r>
  <r>
    <x v="577"/>
    <x v="0"/>
    <x v="3"/>
    <x v="3"/>
    <x v="577"/>
    <n v="74783"/>
    <n v="561448"/>
    <n v="24"/>
    <x v="24"/>
    <d v="2023-08-14T00:00:00"/>
    <n v="13.319666291446403"/>
    <n v="4.2746612330972775E-3"/>
  </r>
  <r>
    <x v="578"/>
    <x v="2"/>
    <x v="0"/>
    <x v="2"/>
    <x v="578"/>
    <n v="22924"/>
    <n v="24419"/>
    <n v="2149"/>
    <x v="25"/>
    <d v="2023-08-06T00:00:00"/>
    <n v="93.877718170277248"/>
    <n v="8.8005241819894344"/>
  </r>
  <r>
    <x v="579"/>
    <x v="1"/>
    <x v="0"/>
    <x v="2"/>
    <x v="579"/>
    <n v="53892"/>
    <n v="202663"/>
    <n v="3332"/>
    <x v="22"/>
    <d v="2023-08-06T00:00:00"/>
    <n v="26.591928472390126"/>
    <n v="1.6441086927559543"/>
  </r>
  <r>
    <x v="580"/>
    <x v="1"/>
    <x v="5"/>
    <x v="4"/>
    <x v="580"/>
    <n v="73336"/>
    <n v="209720"/>
    <n v="207"/>
    <x v="24"/>
    <d v="2023-08-17T00:00:00"/>
    <n v="34.968529467861906"/>
    <n v="9.8703032614915115E-2"/>
  </r>
  <r>
    <x v="581"/>
    <x v="2"/>
    <x v="5"/>
    <x v="3"/>
    <x v="581"/>
    <n v="4657"/>
    <n v="422505"/>
    <n v="1291"/>
    <x v="16"/>
    <d v="2023-09-01T00:00:00"/>
    <n v="1.1022354765032367"/>
    <n v="0.30555851410042484"/>
  </r>
  <r>
    <x v="582"/>
    <x v="2"/>
    <x v="2"/>
    <x v="4"/>
    <x v="582"/>
    <n v="47711"/>
    <n v="841745"/>
    <n v="4000"/>
    <x v="28"/>
    <d v="2023-09-05T00:00:00"/>
    <n v="5.668106136656589"/>
    <n v="0.47520329791088756"/>
  </r>
  <r>
    <x v="583"/>
    <x v="3"/>
    <x v="1"/>
    <x v="4"/>
    <x v="583"/>
    <n v="70975"/>
    <n v="217743"/>
    <n v="1291"/>
    <x v="28"/>
    <d v="2023-09-06T00:00:00"/>
    <n v="32.595766568844923"/>
    <n v="0.5929008050775455"/>
  </r>
  <r>
    <x v="584"/>
    <x v="1"/>
    <x v="5"/>
    <x v="1"/>
    <x v="584"/>
    <n v="65944"/>
    <n v="306650"/>
    <n v="4502"/>
    <x v="10"/>
    <d v="2023-08-28T00:00:00"/>
    <n v="21.504646991684332"/>
    <n v="1.4681232675688896"/>
  </r>
  <r>
    <x v="585"/>
    <x v="2"/>
    <x v="1"/>
    <x v="1"/>
    <x v="585"/>
    <n v="13536"/>
    <n v="756349"/>
    <n v="4045"/>
    <x v="18"/>
    <d v="2023-08-18T00:00:00"/>
    <n v="1.789650016064013"/>
    <n v="0.53480602208768702"/>
  </r>
  <r>
    <x v="586"/>
    <x v="2"/>
    <x v="6"/>
    <x v="0"/>
    <x v="586"/>
    <n v="33537"/>
    <n v="351361"/>
    <n v="2894"/>
    <x v="10"/>
    <d v="2023-08-30T00:00:00"/>
    <n v="9.5448840366460708"/>
    <n v="0.82365430426256758"/>
  </r>
  <r>
    <x v="587"/>
    <x v="2"/>
    <x v="2"/>
    <x v="1"/>
    <x v="587"/>
    <n v="42417"/>
    <n v="593222"/>
    <n v="854"/>
    <x v="27"/>
    <d v="2023-08-28T00:00:00"/>
    <n v="7.1502742649463435"/>
    <n v="0.14395959691312865"/>
  </r>
  <r>
    <x v="588"/>
    <x v="2"/>
    <x v="5"/>
    <x v="0"/>
    <x v="588"/>
    <n v="49724"/>
    <n v="369358"/>
    <n v="2114"/>
    <x v="5"/>
    <d v="2023-09-09T00:00:00"/>
    <n v="13.462277790111491"/>
    <n v="0.57234444630954251"/>
  </r>
  <r>
    <x v="589"/>
    <x v="3"/>
    <x v="2"/>
    <x v="0"/>
    <x v="589"/>
    <n v="59468"/>
    <n v="909729"/>
    <n v="1121"/>
    <x v="12"/>
    <d v="2023-09-04T00:00:00"/>
    <n v="6.5368917556766908"/>
    <n v="0.12322350941873898"/>
  </r>
  <r>
    <x v="590"/>
    <x v="1"/>
    <x v="0"/>
    <x v="3"/>
    <x v="590"/>
    <n v="91513"/>
    <n v="881012"/>
    <n v="3435"/>
    <x v="19"/>
    <d v="2023-08-21T00:00:00"/>
    <n v="10.387259197377562"/>
    <n v="0.38989253267832902"/>
  </r>
  <r>
    <x v="591"/>
    <x v="2"/>
    <x v="4"/>
    <x v="3"/>
    <x v="591"/>
    <n v="7211"/>
    <n v="322915"/>
    <n v="4637"/>
    <x v="21"/>
    <d v="2023-09-09T00:00:00"/>
    <n v="2.233095396621402"/>
    <n v="1.4359816050663488"/>
  </r>
  <r>
    <x v="592"/>
    <x v="1"/>
    <x v="2"/>
    <x v="1"/>
    <x v="592"/>
    <n v="38968"/>
    <n v="571747"/>
    <n v="2641"/>
    <x v="9"/>
    <d v="2023-08-24T00:00:00"/>
    <n v="6.815602005782277"/>
    <n v="0.46191759641939528"/>
  </r>
  <r>
    <x v="593"/>
    <x v="2"/>
    <x v="4"/>
    <x v="3"/>
    <x v="593"/>
    <n v="16378"/>
    <n v="710558"/>
    <n v="960"/>
    <x v="16"/>
    <d v="2023-09-13T00:00:00"/>
    <n v="2.3049490681971072"/>
    <n v="0.13510508642503499"/>
  </r>
  <r>
    <x v="594"/>
    <x v="2"/>
    <x v="2"/>
    <x v="1"/>
    <x v="594"/>
    <n v="26266"/>
    <n v="276461"/>
    <n v="459"/>
    <x v="17"/>
    <d v="2023-09-10T00:00:00"/>
    <n v="9.5007975808522716"/>
    <n v="0.16602703455460263"/>
  </r>
  <r>
    <x v="595"/>
    <x v="0"/>
    <x v="4"/>
    <x v="0"/>
    <x v="595"/>
    <n v="77518"/>
    <n v="116965"/>
    <n v="3710"/>
    <x v="9"/>
    <d v="2023-08-27T00:00:00"/>
    <n v="66.274526567776675"/>
    <n v="3.1718890266318986"/>
  </r>
  <r>
    <x v="596"/>
    <x v="1"/>
    <x v="3"/>
    <x v="0"/>
    <x v="596"/>
    <n v="1668"/>
    <n v="651616"/>
    <n v="196"/>
    <x v="24"/>
    <d v="2023-09-02T00:00:00"/>
    <n v="0.2559789814860286"/>
    <n v="3.0079064970780334E-2"/>
  </r>
  <r>
    <x v="597"/>
    <x v="3"/>
    <x v="1"/>
    <x v="2"/>
    <x v="597"/>
    <n v="49058"/>
    <n v="480171"/>
    <n v="4272"/>
    <x v="3"/>
    <d v="2023-09-11T00:00:00"/>
    <n v="10.216776939881832"/>
    <n v="0.88968305041329032"/>
  </r>
  <r>
    <x v="598"/>
    <x v="1"/>
    <x v="6"/>
    <x v="1"/>
    <x v="598"/>
    <n v="93067"/>
    <n v="113157"/>
    <n v="4773"/>
    <x v="25"/>
    <d v="2023-08-26T00:00:00"/>
    <n v="82.245906130420565"/>
    <n v="4.2180333518916191"/>
  </r>
  <r>
    <x v="599"/>
    <x v="1"/>
    <x v="3"/>
    <x v="2"/>
    <x v="599"/>
    <n v="21385"/>
    <n v="322673"/>
    <n v="1058"/>
    <x v="13"/>
    <d v="2023-09-16T00:00:00"/>
    <n v="6.6274525603319772"/>
    <n v="0.32788612620206836"/>
  </r>
  <r>
    <x v="600"/>
    <x v="0"/>
    <x v="2"/>
    <x v="0"/>
    <x v="600"/>
    <n v="22603"/>
    <n v="205940"/>
    <n v="372"/>
    <x v="28"/>
    <d v="2023-09-23T00:00:00"/>
    <n v="10.975526852481305"/>
    <n v="0.18063513644750898"/>
  </r>
  <r>
    <x v="601"/>
    <x v="3"/>
    <x v="6"/>
    <x v="1"/>
    <x v="601"/>
    <n v="62189"/>
    <n v="950443"/>
    <n v="2657"/>
    <x v="21"/>
    <d v="2023-09-19T00:00:00"/>
    <n v="6.543159347798869"/>
    <n v="0.27955385015198175"/>
  </r>
  <r>
    <x v="602"/>
    <x v="0"/>
    <x v="1"/>
    <x v="0"/>
    <x v="602"/>
    <n v="81546"/>
    <n v="60051"/>
    <n v="4959"/>
    <x v="22"/>
    <d v="2023-08-29T00:00:00"/>
    <n v="135.79457461158015"/>
    <n v="8.257980716391069"/>
  </r>
  <r>
    <x v="603"/>
    <x v="3"/>
    <x v="5"/>
    <x v="0"/>
    <x v="603"/>
    <n v="91088"/>
    <n v="801725"/>
    <n v="1527"/>
    <x v="7"/>
    <d v="2023-08-29T00:00:00"/>
    <n v="11.361501761826062"/>
    <n v="0.19046431132869751"/>
  </r>
  <r>
    <x v="604"/>
    <x v="0"/>
    <x v="0"/>
    <x v="2"/>
    <x v="604"/>
    <n v="47421"/>
    <n v="744351"/>
    <n v="1354"/>
    <x v="15"/>
    <d v="2023-09-23T00:00:00"/>
    <n v="6.370784750742593"/>
    <n v="0.18190342996785119"/>
  </r>
  <r>
    <x v="605"/>
    <x v="0"/>
    <x v="4"/>
    <x v="4"/>
    <x v="605"/>
    <n v="88221"/>
    <n v="13647"/>
    <n v="4597"/>
    <x v="13"/>
    <d v="2023-09-22T00:00:00"/>
    <n v="646.44976918003954"/>
    <n v="33.685058987323217"/>
  </r>
  <r>
    <x v="606"/>
    <x v="2"/>
    <x v="2"/>
    <x v="1"/>
    <x v="606"/>
    <n v="71620"/>
    <n v="94916"/>
    <n v="3483"/>
    <x v="8"/>
    <d v="2023-09-18T00:00:00"/>
    <n v="75.45619284419908"/>
    <n v="3.6695604534535797"/>
  </r>
  <r>
    <x v="607"/>
    <x v="0"/>
    <x v="0"/>
    <x v="0"/>
    <x v="607"/>
    <n v="92814"/>
    <n v="80471"/>
    <n v="262"/>
    <x v="15"/>
    <d v="2023-09-26T00:00:00"/>
    <n v="115.33844490561818"/>
    <n v="0.32558312932609262"/>
  </r>
  <r>
    <x v="608"/>
    <x v="1"/>
    <x v="2"/>
    <x v="2"/>
    <x v="608"/>
    <n v="79868"/>
    <n v="757159"/>
    <n v="2806"/>
    <x v="1"/>
    <d v="2023-09-15T00:00:00"/>
    <n v="10.548378874186268"/>
    <n v="0.37059587220121532"/>
  </r>
  <r>
    <x v="609"/>
    <x v="1"/>
    <x v="3"/>
    <x v="4"/>
    <x v="609"/>
    <n v="13835"/>
    <n v="209239"/>
    <n v="2119"/>
    <x v="10"/>
    <d v="2023-09-22T00:00:00"/>
    <n v="6.6120560698531339"/>
    <n v="1.0127175144213079"/>
  </r>
  <r>
    <x v="610"/>
    <x v="1"/>
    <x v="1"/>
    <x v="0"/>
    <x v="610"/>
    <n v="38054"/>
    <n v="749124"/>
    <n v="770"/>
    <x v="4"/>
    <d v="2023-10-02T00:00:00"/>
    <n v="5.079799872918235"/>
    <n v="0.10278672155744575"/>
  </r>
  <r>
    <x v="611"/>
    <x v="3"/>
    <x v="4"/>
    <x v="2"/>
    <x v="611"/>
    <n v="86102"/>
    <n v="372591"/>
    <n v="2613"/>
    <x v="15"/>
    <d v="2023-09-30T00:00:00"/>
    <n v="23.108985455902047"/>
    <n v="0.7013051845052618"/>
  </r>
  <r>
    <x v="612"/>
    <x v="3"/>
    <x v="0"/>
    <x v="4"/>
    <x v="612"/>
    <n v="95974"/>
    <n v="713139"/>
    <n v="4106"/>
    <x v="1"/>
    <d v="2023-09-19T00:00:00"/>
    <n v="13.457965417681548"/>
    <n v="0.57576433205868705"/>
  </r>
  <r>
    <x v="613"/>
    <x v="2"/>
    <x v="3"/>
    <x v="1"/>
    <x v="613"/>
    <n v="71924"/>
    <n v="564056"/>
    <n v="3335"/>
    <x v="2"/>
    <d v="2023-09-12T00:00:00"/>
    <n v="12.751216191300156"/>
    <n v="0.59125335073113316"/>
  </r>
  <r>
    <x v="614"/>
    <x v="0"/>
    <x v="1"/>
    <x v="2"/>
    <x v="614"/>
    <n v="39968"/>
    <n v="686234"/>
    <n v="2458"/>
    <x v="23"/>
    <d v="2023-09-23T00:00:00"/>
    <n v="5.8242523687255368"/>
    <n v="0.35818685754421964"/>
  </r>
  <r>
    <x v="615"/>
    <x v="0"/>
    <x v="4"/>
    <x v="3"/>
    <x v="615"/>
    <n v="63054"/>
    <n v="77990"/>
    <n v="1806"/>
    <x v="5"/>
    <d v="2023-10-06T00:00:00"/>
    <n v="80.848826772663159"/>
    <n v="2.3156814976279012"/>
  </r>
  <r>
    <x v="616"/>
    <x v="2"/>
    <x v="6"/>
    <x v="1"/>
    <x v="616"/>
    <n v="74591"/>
    <n v="394714"/>
    <n v="821"/>
    <x v="8"/>
    <d v="2023-09-28T00:00:00"/>
    <n v="18.897480200854289"/>
    <n v="0.20799870285827204"/>
  </r>
  <r>
    <x v="617"/>
    <x v="2"/>
    <x v="4"/>
    <x v="3"/>
    <x v="617"/>
    <n v="92169"/>
    <n v="844230"/>
    <n v="2849"/>
    <x v="12"/>
    <d v="2023-10-02T00:00:00"/>
    <n v="10.917522476102484"/>
    <n v="0.33746727787451286"/>
  </r>
  <r>
    <x v="618"/>
    <x v="2"/>
    <x v="0"/>
    <x v="1"/>
    <x v="618"/>
    <n v="2255"/>
    <n v="496534"/>
    <n v="2410"/>
    <x v="25"/>
    <d v="2023-09-15T00:00:00"/>
    <n v="0.45414815501053302"/>
    <n v="0.48536454704008181"/>
  </r>
  <r>
    <x v="619"/>
    <x v="0"/>
    <x v="3"/>
    <x v="2"/>
    <x v="619"/>
    <n v="52298"/>
    <n v="19409"/>
    <n v="4487"/>
    <x v="13"/>
    <d v="2023-10-06T00:00:00"/>
    <n v="269.45231593590603"/>
    <n v="23.118141068576435"/>
  </r>
  <r>
    <x v="620"/>
    <x v="1"/>
    <x v="2"/>
    <x v="2"/>
    <x v="620"/>
    <n v="77720"/>
    <n v="264319"/>
    <n v="3253"/>
    <x v="7"/>
    <d v="2023-09-15T00:00:00"/>
    <n v="29.403864270067608"/>
    <n v="1.2307098619471168"/>
  </r>
  <r>
    <x v="621"/>
    <x v="3"/>
    <x v="5"/>
    <x v="2"/>
    <x v="621"/>
    <n v="34160"/>
    <n v="176292"/>
    <n v="3952"/>
    <x v="10"/>
    <d v="2023-10-04T00:00:00"/>
    <n v="19.376942799446372"/>
    <n v="2.2417353027930931"/>
  </r>
  <r>
    <x v="622"/>
    <x v="1"/>
    <x v="2"/>
    <x v="0"/>
    <x v="622"/>
    <n v="43478"/>
    <n v="504582"/>
    <n v="1074"/>
    <x v="3"/>
    <d v="2023-10-06T00:00:00"/>
    <n v="8.6166371372740205"/>
    <n v="0.21284944766162883"/>
  </r>
  <r>
    <x v="623"/>
    <x v="3"/>
    <x v="6"/>
    <x v="1"/>
    <x v="623"/>
    <n v="37204"/>
    <n v="438587"/>
    <n v="1975"/>
    <x v="6"/>
    <d v="2023-10-04T00:00:00"/>
    <n v="8.4826955655320369"/>
    <n v="0.45030974470287538"/>
  </r>
  <r>
    <x v="624"/>
    <x v="1"/>
    <x v="5"/>
    <x v="0"/>
    <x v="624"/>
    <n v="20248"/>
    <n v="980619"/>
    <n v="4282"/>
    <x v="11"/>
    <d v="2023-09-27T00:00:00"/>
    <n v="2.0648182423550838"/>
    <n v="0.43666296492317608"/>
  </r>
  <r>
    <x v="625"/>
    <x v="0"/>
    <x v="2"/>
    <x v="4"/>
    <x v="625"/>
    <n v="83255"/>
    <n v="322738"/>
    <n v="2473"/>
    <x v="10"/>
    <d v="2023-10-08T00:00:00"/>
    <n v="25.796466483649276"/>
    <n v="0.76625622021577877"/>
  </r>
  <r>
    <x v="626"/>
    <x v="2"/>
    <x v="5"/>
    <x v="1"/>
    <x v="626"/>
    <n v="88783"/>
    <n v="831942"/>
    <n v="1184"/>
    <x v="2"/>
    <d v="2023-09-25T00:00:00"/>
    <n v="10.671777599880761"/>
    <n v="0.14231761348747868"/>
  </r>
  <r>
    <x v="627"/>
    <x v="1"/>
    <x v="3"/>
    <x v="2"/>
    <x v="627"/>
    <n v="94692"/>
    <n v="548977"/>
    <n v="3891"/>
    <x v="24"/>
    <d v="2023-10-03T00:00:00"/>
    <n v="17.248810059437826"/>
    <n v="0.70877286297968767"/>
  </r>
  <r>
    <x v="628"/>
    <x v="0"/>
    <x v="1"/>
    <x v="3"/>
    <x v="628"/>
    <n v="67979"/>
    <n v="453224"/>
    <n v="1425"/>
    <x v="4"/>
    <d v="2023-10-20T00:00:00"/>
    <n v="14.998985049335428"/>
    <n v="0.31441406456851356"/>
  </r>
  <r>
    <x v="629"/>
    <x v="3"/>
    <x v="6"/>
    <x v="3"/>
    <x v="629"/>
    <n v="26570"/>
    <n v="487527"/>
    <n v="1400"/>
    <x v="15"/>
    <d v="2023-10-18T00:00:00"/>
    <n v="5.4499545666188745"/>
    <n v="0.28716358273490494"/>
  </r>
  <r>
    <x v="630"/>
    <x v="0"/>
    <x v="5"/>
    <x v="4"/>
    <x v="630"/>
    <n v="39638"/>
    <n v="819677"/>
    <n v="3096"/>
    <x v="18"/>
    <d v="2023-10-02T00:00:00"/>
    <n v="4.8358072753047852"/>
    <n v="0.37770975640404697"/>
  </r>
  <r>
    <x v="631"/>
    <x v="2"/>
    <x v="3"/>
    <x v="1"/>
    <x v="631"/>
    <n v="89865"/>
    <n v="378757"/>
    <n v="2662"/>
    <x v="0"/>
    <d v="2023-10-09T00:00:00"/>
    <n v="23.726294167500534"/>
    <n v="0.70282529431799279"/>
  </r>
  <r>
    <x v="632"/>
    <x v="2"/>
    <x v="1"/>
    <x v="3"/>
    <x v="632"/>
    <n v="63257"/>
    <n v="498101"/>
    <n v="189"/>
    <x v="13"/>
    <d v="2023-10-19T00:00:00"/>
    <n v="12.699633206919883"/>
    <n v="3.7944111736374755E-2"/>
  </r>
  <r>
    <x v="633"/>
    <x v="2"/>
    <x v="3"/>
    <x v="1"/>
    <x v="633"/>
    <n v="84029"/>
    <n v="662165"/>
    <n v="4681"/>
    <x v="7"/>
    <d v="2023-09-28T00:00:00"/>
    <n v="12.690039491667484"/>
    <n v="0.70692350094009804"/>
  </r>
  <r>
    <x v="634"/>
    <x v="2"/>
    <x v="2"/>
    <x v="2"/>
    <x v="634"/>
    <n v="65204"/>
    <n v="493613"/>
    <n v="2795"/>
    <x v="11"/>
    <d v="2023-10-07T00:00:00"/>
    <n v="13.209538646672595"/>
    <n v="0.56623306112278249"/>
  </r>
  <r>
    <x v="635"/>
    <x v="1"/>
    <x v="3"/>
    <x v="1"/>
    <x v="635"/>
    <n v="116"/>
    <n v="624967"/>
    <n v="4174"/>
    <x v="6"/>
    <d v="2023-10-16T00:00:00"/>
    <n v="1.8560980019745044E-2"/>
    <n v="0.66787526381392937"/>
  </r>
  <r>
    <x v="636"/>
    <x v="0"/>
    <x v="1"/>
    <x v="1"/>
    <x v="636"/>
    <n v="53711"/>
    <n v="329891"/>
    <n v="2371"/>
    <x v="23"/>
    <d v="2023-10-15T00:00:00"/>
    <n v="16.28143841450661"/>
    <n v="0.71872224462019274"/>
  </r>
  <r>
    <x v="637"/>
    <x v="0"/>
    <x v="2"/>
    <x v="3"/>
    <x v="637"/>
    <n v="5037"/>
    <n v="308413"/>
    <n v="2288"/>
    <x v="1"/>
    <d v="2023-10-14T00:00:00"/>
    <n v="1.6331996381475489"/>
    <n v="0.74186237285717527"/>
  </r>
  <r>
    <x v="638"/>
    <x v="0"/>
    <x v="3"/>
    <x v="4"/>
    <x v="638"/>
    <n v="36077"/>
    <n v="923221"/>
    <n v="3896"/>
    <x v="8"/>
    <d v="2023-10-20T00:00:00"/>
    <n v="3.9077317348717151"/>
    <n v="0.42200079937523083"/>
  </r>
  <r>
    <x v="639"/>
    <x v="0"/>
    <x v="1"/>
    <x v="3"/>
    <x v="639"/>
    <n v="31782"/>
    <n v="574023"/>
    <n v="911"/>
    <x v="6"/>
    <d v="2023-10-20T00:00:00"/>
    <n v="5.5367119435980783"/>
    <n v="0.15870444215649895"/>
  </r>
  <r>
    <x v="640"/>
    <x v="0"/>
    <x v="3"/>
    <x v="3"/>
    <x v="640"/>
    <n v="39843"/>
    <n v="746564"/>
    <n v="3382"/>
    <x v="28"/>
    <d v="2023-11-02T00:00:00"/>
    <n v="5.3368498882882109"/>
    <n v="0.45300871727005321"/>
  </r>
  <r>
    <x v="641"/>
    <x v="2"/>
    <x v="4"/>
    <x v="1"/>
    <x v="641"/>
    <n v="72946"/>
    <n v="935966"/>
    <n v="1105"/>
    <x v="17"/>
    <d v="2023-10-27T00:00:00"/>
    <n v="7.7936591713801571"/>
    <n v="0.11805984405416436"/>
  </r>
  <r>
    <x v="642"/>
    <x v="2"/>
    <x v="1"/>
    <x v="3"/>
    <x v="642"/>
    <n v="26122"/>
    <n v="436973"/>
    <n v="1078"/>
    <x v="1"/>
    <d v="2023-10-19T00:00:00"/>
    <n v="5.9779437173463803"/>
    <n v="0.24669716435569244"/>
  </r>
  <r>
    <x v="643"/>
    <x v="1"/>
    <x v="2"/>
    <x v="2"/>
    <x v="643"/>
    <n v="19094"/>
    <n v="37973"/>
    <n v="4915"/>
    <x v="9"/>
    <d v="2023-10-14T00:00:00"/>
    <n v="50.283095883917518"/>
    <n v="12.943407157717326"/>
  </r>
  <r>
    <x v="644"/>
    <x v="0"/>
    <x v="6"/>
    <x v="1"/>
    <x v="644"/>
    <n v="17413"/>
    <n v="120682"/>
    <n v="4790"/>
    <x v="27"/>
    <d v="2023-10-24T00:00:00"/>
    <n v="14.428829485755953"/>
    <n v="3.969108897764372"/>
  </r>
  <r>
    <x v="645"/>
    <x v="2"/>
    <x v="1"/>
    <x v="4"/>
    <x v="645"/>
    <n v="66871"/>
    <n v="486180"/>
    <n v="3393"/>
    <x v="10"/>
    <d v="2023-10-28T00:00:00"/>
    <n v="13.754370809165332"/>
    <n v="0.69788967049241013"/>
  </r>
  <r>
    <x v="646"/>
    <x v="1"/>
    <x v="1"/>
    <x v="0"/>
    <x v="646"/>
    <n v="64672"/>
    <n v="937339"/>
    <n v="2514"/>
    <x v="6"/>
    <d v="2023-10-27T00:00:00"/>
    <n v="6.8995315462175366"/>
    <n v="0.26820605992069035"/>
  </r>
  <r>
    <x v="647"/>
    <x v="1"/>
    <x v="1"/>
    <x v="4"/>
    <x v="647"/>
    <n v="64583"/>
    <n v="764352"/>
    <n v="633"/>
    <x v="12"/>
    <d v="2023-11-01T00:00:00"/>
    <n v="8.4493793435485216"/>
    <n v="8.2815247425270036E-2"/>
  </r>
  <r>
    <x v="648"/>
    <x v="2"/>
    <x v="0"/>
    <x v="3"/>
    <x v="648"/>
    <n v="71458"/>
    <n v="598952"/>
    <n v="3927"/>
    <x v="26"/>
    <d v="2023-10-16T00:00:00"/>
    <n v="11.930505282560205"/>
    <n v="0.65564519360482976"/>
  </r>
  <r>
    <x v="649"/>
    <x v="1"/>
    <x v="6"/>
    <x v="0"/>
    <x v="649"/>
    <n v="75451"/>
    <n v="839845"/>
    <n v="2582"/>
    <x v="19"/>
    <d v="2023-10-19T00:00:00"/>
    <n v="8.9839196518405178"/>
    <n v="0.30743768195321752"/>
  </r>
  <r>
    <x v="650"/>
    <x v="0"/>
    <x v="1"/>
    <x v="1"/>
    <x v="650"/>
    <n v="52386"/>
    <n v="308168"/>
    <n v="4576"/>
    <x v="26"/>
    <d v="2023-10-18T00:00:00"/>
    <n v="16.999169284286495"/>
    <n v="1.4849043378936164"/>
  </r>
  <r>
    <x v="651"/>
    <x v="1"/>
    <x v="5"/>
    <x v="4"/>
    <x v="651"/>
    <n v="33202"/>
    <n v="647302"/>
    <n v="374"/>
    <x v="12"/>
    <d v="2023-11-05T00:00:00"/>
    <n v="5.1292905011880077"/>
    <n v="5.7778285869655895E-2"/>
  </r>
  <r>
    <x v="652"/>
    <x v="2"/>
    <x v="3"/>
    <x v="2"/>
    <x v="652"/>
    <n v="17818"/>
    <n v="875497"/>
    <n v="2324"/>
    <x v="16"/>
    <d v="2023-11-11T00:00:00"/>
    <n v="2.0351868710001288"/>
    <n v="0.26544922484029071"/>
  </r>
  <r>
    <x v="653"/>
    <x v="0"/>
    <x v="2"/>
    <x v="4"/>
    <x v="653"/>
    <n v="38813"/>
    <n v="990310"/>
    <n v="695"/>
    <x v="26"/>
    <d v="2023-10-21T00:00:00"/>
    <n v="3.9192778019004151"/>
    <n v="7.0180044632488822E-2"/>
  </r>
  <r>
    <x v="654"/>
    <x v="2"/>
    <x v="0"/>
    <x v="4"/>
    <x v="654"/>
    <n v="5199"/>
    <n v="88483"/>
    <n v="4454"/>
    <x v="21"/>
    <d v="2023-11-11T00:00:00"/>
    <n v="5.8757049376716433"/>
    <n v="5.0337352937852469"/>
  </r>
  <r>
    <x v="655"/>
    <x v="0"/>
    <x v="1"/>
    <x v="1"/>
    <x v="655"/>
    <n v="36610"/>
    <n v="473145"/>
    <n v="3926"/>
    <x v="25"/>
    <d v="2023-10-22T00:00:00"/>
    <n v="7.7375857295332295"/>
    <n v="0.82976677339927507"/>
  </r>
  <r>
    <x v="656"/>
    <x v="2"/>
    <x v="2"/>
    <x v="0"/>
    <x v="656"/>
    <n v="32878"/>
    <n v="357018"/>
    <n v="2723"/>
    <x v="0"/>
    <d v="2023-11-03T00:00:00"/>
    <n v="9.2090594871967255"/>
    <n v="0.76270664224212781"/>
  </r>
  <r>
    <x v="657"/>
    <x v="1"/>
    <x v="5"/>
    <x v="4"/>
    <x v="657"/>
    <n v="2859"/>
    <n v="129471"/>
    <n v="1878"/>
    <x v="9"/>
    <d v="2023-10-28T00:00:00"/>
    <n v="2.2082165118057326"/>
    <n v="1.4505178765901243"/>
  </r>
  <r>
    <x v="658"/>
    <x v="2"/>
    <x v="6"/>
    <x v="2"/>
    <x v="658"/>
    <n v="78783"/>
    <n v="618445"/>
    <n v="1930"/>
    <x v="1"/>
    <d v="2023-11-04T00:00:00"/>
    <n v="12.738885430393973"/>
    <n v="0.31207302185319635"/>
  </r>
  <r>
    <x v="659"/>
    <x v="2"/>
    <x v="5"/>
    <x v="2"/>
    <x v="659"/>
    <n v="26787"/>
    <n v="816211"/>
    <n v="3851"/>
    <x v="0"/>
    <d v="2023-11-06T00:00:00"/>
    <n v="3.2818719669301202"/>
    <n v="0.47181427351505922"/>
  </r>
  <r>
    <x v="660"/>
    <x v="0"/>
    <x v="4"/>
    <x v="3"/>
    <x v="660"/>
    <n v="8826"/>
    <n v="112776"/>
    <n v="4115"/>
    <x v="3"/>
    <d v="2023-11-13T00:00:00"/>
    <n v="7.8261332198340066"/>
    <n v="3.6488259913456762"/>
  </r>
  <r>
    <x v="661"/>
    <x v="2"/>
    <x v="6"/>
    <x v="3"/>
    <x v="661"/>
    <n v="79948"/>
    <n v="511885"/>
    <n v="2760"/>
    <x v="19"/>
    <d v="2023-10-31T00:00:00"/>
    <n v="15.618351778231437"/>
    <n v="0.53918360569268486"/>
  </r>
  <r>
    <x v="662"/>
    <x v="2"/>
    <x v="3"/>
    <x v="2"/>
    <x v="662"/>
    <n v="38689"/>
    <n v="658425"/>
    <n v="3448"/>
    <x v="7"/>
    <d v="2023-10-27T00:00:00"/>
    <n v="5.875991950487907"/>
    <n v="0.52367391882142988"/>
  </r>
  <r>
    <x v="663"/>
    <x v="2"/>
    <x v="1"/>
    <x v="0"/>
    <x v="663"/>
    <n v="27354"/>
    <n v="635553"/>
    <n v="2713"/>
    <x v="20"/>
    <d v="2023-11-06T00:00:00"/>
    <n v="4.3039683551175125"/>
    <n v="0.42687234581537653"/>
  </r>
  <r>
    <x v="664"/>
    <x v="0"/>
    <x v="5"/>
    <x v="4"/>
    <x v="664"/>
    <n v="9855"/>
    <n v="929410"/>
    <n v="4094"/>
    <x v="26"/>
    <d v="2023-11-01T00:00:00"/>
    <n v="1.0603501145888252"/>
    <n v="0.44049450726805173"/>
  </r>
  <r>
    <x v="665"/>
    <x v="0"/>
    <x v="6"/>
    <x v="2"/>
    <x v="665"/>
    <n v="78843"/>
    <n v="268984"/>
    <n v="4293"/>
    <x v="6"/>
    <d v="2023-11-15T00:00:00"/>
    <n v="29.31140885703239"/>
    <n v="1.5960057103768255"/>
  </r>
  <r>
    <x v="666"/>
    <x v="3"/>
    <x v="5"/>
    <x v="2"/>
    <x v="666"/>
    <n v="11621"/>
    <n v="633536"/>
    <n v="1719"/>
    <x v="16"/>
    <d v="2023-11-25T00:00:00"/>
    <n v="1.8343077583594305"/>
    <n v="0.27133422567936155"/>
  </r>
  <r>
    <x v="667"/>
    <x v="2"/>
    <x v="6"/>
    <x v="2"/>
    <x v="667"/>
    <n v="47984"/>
    <n v="772471"/>
    <n v="1124"/>
    <x v="24"/>
    <d v="2023-11-12T00:00:00"/>
    <n v="6.2117542276667992"/>
    <n v="0.14550708052470579"/>
  </r>
  <r>
    <x v="668"/>
    <x v="1"/>
    <x v="0"/>
    <x v="2"/>
    <x v="668"/>
    <n v="2492"/>
    <n v="286806"/>
    <n v="2970"/>
    <x v="8"/>
    <d v="2023-11-19T00:00:00"/>
    <n v="0.86888000948376254"/>
    <n v="1.0355431894730236"/>
  </r>
  <r>
    <x v="669"/>
    <x v="2"/>
    <x v="4"/>
    <x v="2"/>
    <x v="669"/>
    <n v="61321"/>
    <n v="427231"/>
    <n v="2462"/>
    <x v="18"/>
    <d v="2023-11-10T00:00:00"/>
    <n v="14.353125124347249"/>
    <n v="0.57626904414707736"/>
  </r>
  <r>
    <x v="670"/>
    <x v="1"/>
    <x v="3"/>
    <x v="2"/>
    <x v="670"/>
    <n v="56506"/>
    <n v="319503"/>
    <n v="1934"/>
    <x v="9"/>
    <d v="2023-11-10T00:00:00"/>
    <n v="17.685592936529549"/>
    <n v="0.60531513006137649"/>
  </r>
  <r>
    <x v="671"/>
    <x v="3"/>
    <x v="5"/>
    <x v="1"/>
    <x v="671"/>
    <n v="10041"/>
    <n v="945543"/>
    <n v="1203"/>
    <x v="27"/>
    <d v="2023-11-20T00:00:00"/>
    <n v="1.061929494480949"/>
    <n v="0.12722848141226789"/>
  </r>
  <r>
    <x v="672"/>
    <x v="0"/>
    <x v="0"/>
    <x v="4"/>
    <x v="672"/>
    <n v="70444"/>
    <n v="451367"/>
    <n v="171"/>
    <x v="13"/>
    <d v="2023-11-28T00:00:00"/>
    <n v="15.60681219495444"/>
    <n v="3.7884914049985931E-2"/>
  </r>
  <r>
    <x v="673"/>
    <x v="1"/>
    <x v="3"/>
    <x v="1"/>
    <x v="673"/>
    <n v="43497"/>
    <n v="518351"/>
    <n v="3734"/>
    <x v="1"/>
    <d v="2023-11-19T00:00:00"/>
    <n v="8.3914181703131661"/>
    <n v="0.72036129958271511"/>
  </r>
  <r>
    <x v="674"/>
    <x v="2"/>
    <x v="6"/>
    <x v="3"/>
    <x v="674"/>
    <n v="12921"/>
    <n v="436110"/>
    <n v="3101"/>
    <x v="2"/>
    <d v="2023-11-12T00:00:00"/>
    <n v="2.9627846185595379"/>
    <n v="0.71105913645639862"/>
  </r>
  <r>
    <x v="675"/>
    <x v="3"/>
    <x v="4"/>
    <x v="1"/>
    <x v="675"/>
    <n v="89779"/>
    <n v="15069"/>
    <n v="403"/>
    <x v="12"/>
    <d v="2023-11-29T00:00:00"/>
    <n v="595.7860508328356"/>
    <n v="2.674364589554715"/>
  </r>
  <r>
    <x v="676"/>
    <x v="1"/>
    <x v="1"/>
    <x v="4"/>
    <x v="676"/>
    <n v="53581"/>
    <n v="88386"/>
    <n v="3931"/>
    <x v="28"/>
    <d v="2023-12-08T00:00:00"/>
    <n v="60.621591654786954"/>
    <n v="4.447536940239404"/>
  </r>
  <r>
    <x v="677"/>
    <x v="2"/>
    <x v="2"/>
    <x v="3"/>
    <x v="677"/>
    <n v="87450"/>
    <n v="16100"/>
    <n v="373"/>
    <x v="9"/>
    <d v="2023-11-17T00:00:00"/>
    <n v="543.16770186335407"/>
    <n v="2.3167701863354035"/>
  </r>
  <r>
    <x v="678"/>
    <x v="2"/>
    <x v="0"/>
    <x v="2"/>
    <x v="678"/>
    <n v="58314"/>
    <n v="154027"/>
    <n v="4913"/>
    <x v="1"/>
    <d v="2023-11-24T00:00:00"/>
    <n v="37.859596044849283"/>
    <n v="3.1897005070539581"/>
  </r>
  <r>
    <x v="679"/>
    <x v="2"/>
    <x v="5"/>
    <x v="1"/>
    <x v="679"/>
    <n v="90567"/>
    <n v="447275"/>
    <n v="2713"/>
    <x v="13"/>
    <d v="2023-12-05T00:00:00"/>
    <n v="20.248616622883013"/>
    <n v="0.60656195852663353"/>
  </r>
  <r>
    <x v="680"/>
    <x v="2"/>
    <x v="3"/>
    <x v="1"/>
    <x v="680"/>
    <n v="52098"/>
    <n v="959483"/>
    <n v="929"/>
    <x v="10"/>
    <d v="2023-12-02T00:00:00"/>
    <n v="5.4297991730963444"/>
    <n v="9.6822976540491087E-2"/>
  </r>
  <r>
    <x v="681"/>
    <x v="2"/>
    <x v="2"/>
    <x v="3"/>
    <x v="681"/>
    <n v="45897"/>
    <n v="617278"/>
    <n v="4681"/>
    <x v="23"/>
    <d v="2023-11-29T00:00:00"/>
    <n v="7.4353856771179272"/>
    <n v="0.7583293102945512"/>
  </r>
  <r>
    <x v="682"/>
    <x v="1"/>
    <x v="6"/>
    <x v="4"/>
    <x v="682"/>
    <n v="96933"/>
    <n v="669930"/>
    <n v="4463"/>
    <x v="19"/>
    <d v="2023-11-21T00:00:00"/>
    <n v="14.469123639783261"/>
    <n v="0.66618900482139931"/>
  </r>
  <r>
    <x v="683"/>
    <x v="1"/>
    <x v="4"/>
    <x v="0"/>
    <x v="683"/>
    <n v="204"/>
    <n v="925032"/>
    <n v="3030"/>
    <x v="20"/>
    <d v="2023-11-26T00:00:00"/>
    <n v="2.2053291129387954E-2"/>
    <n v="0.32755623589237992"/>
  </r>
  <r>
    <x v="684"/>
    <x v="2"/>
    <x v="3"/>
    <x v="0"/>
    <x v="684"/>
    <n v="73846"/>
    <n v="605780"/>
    <n v="326"/>
    <x v="23"/>
    <d v="2023-12-02T00:00:00"/>
    <n v="12.190234078378289"/>
    <n v="5.3814916306249787E-2"/>
  </r>
  <r>
    <x v="685"/>
    <x v="1"/>
    <x v="5"/>
    <x v="1"/>
    <x v="685"/>
    <n v="59391"/>
    <n v="401179"/>
    <n v="545"/>
    <x v="7"/>
    <d v="2023-11-19T00:00:00"/>
    <n v="14.804114871416498"/>
    <n v="0.13584958335306685"/>
  </r>
  <r>
    <x v="686"/>
    <x v="3"/>
    <x v="1"/>
    <x v="4"/>
    <x v="686"/>
    <n v="16867"/>
    <n v="564531"/>
    <n v="2855"/>
    <x v="5"/>
    <d v="2023-12-16T00:00:00"/>
    <n v="2.9877898645069978"/>
    <n v="0.50572953478196947"/>
  </r>
  <r>
    <x v="687"/>
    <x v="0"/>
    <x v="1"/>
    <x v="2"/>
    <x v="687"/>
    <n v="51380"/>
    <n v="902542"/>
    <n v="2563"/>
    <x v="28"/>
    <d v="2023-12-19T00:00:00"/>
    <n v="5.6928098636960938"/>
    <n v="0.28397570417775569"/>
  </r>
  <r>
    <x v="688"/>
    <x v="1"/>
    <x v="3"/>
    <x v="2"/>
    <x v="688"/>
    <n v="28925"/>
    <n v="375700"/>
    <n v="2035"/>
    <x v="24"/>
    <d v="2023-12-03T00:00:00"/>
    <n v="7.6989619377162626"/>
    <n v="0.54165557625765237"/>
  </r>
  <r>
    <x v="689"/>
    <x v="2"/>
    <x v="2"/>
    <x v="2"/>
    <x v="689"/>
    <n v="453"/>
    <n v="354128"/>
    <n v="3233"/>
    <x v="9"/>
    <d v="2023-11-29T00:00:00"/>
    <n v="0.1279198481904848"/>
    <n v="0.91294673112546876"/>
  </r>
  <r>
    <x v="690"/>
    <x v="0"/>
    <x v="1"/>
    <x v="2"/>
    <x v="690"/>
    <n v="53583"/>
    <n v="130869"/>
    <n v="1773"/>
    <x v="8"/>
    <d v="2023-12-11T00:00:00"/>
    <n v="40.94399743254705"/>
    <n v="1.354789904408225"/>
  </r>
  <r>
    <x v="691"/>
    <x v="2"/>
    <x v="6"/>
    <x v="4"/>
    <x v="691"/>
    <n v="25676"/>
    <n v="87823"/>
    <n v="3657"/>
    <x v="23"/>
    <d v="2023-12-09T00:00:00"/>
    <n v="29.236077109640984"/>
    <n v="4.1640572515172565"/>
  </r>
  <r>
    <x v="692"/>
    <x v="2"/>
    <x v="2"/>
    <x v="2"/>
    <x v="692"/>
    <n v="79755"/>
    <n v="547069"/>
    <n v="2742"/>
    <x v="1"/>
    <d v="2023-12-08T00:00:00"/>
    <n v="14.578599774434304"/>
    <n v="0.50121648274714892"/>
  </r>
  <r>
    <x v="693"/>
    <x v="3"/>
    <x v="0"/>
    <x v="0"/>
    <x v="693"/>
    <n v="36702"/>
    <n v="155368"/>
    <n v="398"/>
    <x v="0"/>
    <d v="2023-12-10T00:00:00"/>
    <n v="23.622624993563669"/>
    <n v="0.2561660058699346"/>
  </r>
  <r>
    <x v="694"/>
    <x v="1"/>
    <x v="4"/>
    <x v="3"/>
    <x v="694"/>
    <n v="31657"/>
    <n v="771008"/>
    <n v="2660"/>
    <x v="13"/>
    <d v="2023-12-20T00:00:00"/>
    <n v="4.1059236739437202"/>
    <n v="0.34500290528762351"/>
  </r>
  <r>
    <x v="695"/>
    <x v="0"/>
    <x v="0"/>
    <x v="0"/>
    <x v="695"/>
    <n v="4810"/>
    <n v="662195"/>
    <n v="4615"/>
    <x v="0"/>
    <d v="2023-12-12T00:00:00"/>
    <n v="0.72637214113667425"/>
    <n v="0.6969246219014037"/>
  </r>
  <r>
    <x v="696"/>
    <x v="1"/>
    <x v="1"/>
    <x v="4"/>
    <x v="696"/>
    <n v="1953"/>
    <n v="483766"/>
    <n v="242"/>
    <x v="19"/>
    <d v="2023-12-05T00:00:00"/>
    <n v="0.40370757763050735"/>
    <n v="5.002418524658616E-2"/>
  </r>
  <r>
    <x v="697"/>
    <x v="1"/>
    <x v="6"/>
    <x v="2"/>
    <x v="697"/>
    <n v="3263"/>
    <n v="898416"/>
    <n v="4821"/>
    <x v="7"/>
    <d v="2023-12-01T00:00:00"/>
    <n v="0.36319477836547881"/>
    <n v="0.53661110220655017"/>
  </r>
  <r>
    <x v="698"/>
    <x v="2"/>
    <x v="4"/>
    <x v="0"/>
    <x v="698"/>
    <n v="36469"/>
    <n v="873337"/>
    <n v="1421"/>
    <x v="19"/>
    <d v="2023-12-07T00:00:00"/>
    <n v="4.1758221625787062"/>
    <n v="0.16270924053372293"/>
  </r>
  <r>
    <x v="699"/>
    <x v="2"/>
    <x v="4"/>
    <x v="3"/>
    <x v="699"/>
    <n v="24633"/>
    <n v="243063"/>
    <n v="1953"/>
    <x v="4"/>
    <d v="2023-12-30T00:00:00"/>
    <n v="10.134409597511757"/>
    <n v="0.80349539008405224"/>
  </r>
  <r>
    <x v="700"/>
    <x v="2"/>
    <x v="5"/>
    <x v="2"/>
    <x v="700"/>
    <n v="95715"/>
    <n v="335165"/>
    <n v="1916"/>
    <x v="15"/>
    <d v="2023-12-28T00:00:00"/>
    <n v="28.557576119224859"/>
    <n v="0.57165873524980237"/>
  </r>
  <r>
    <x v="701"/>
    <x v="2"/>
    <x v="5"/>
    <x v="4"/>
    <x v="701"/>
    <n v="55081"/>
    <n v="831105"/>
    <n v="3773"/>
    <x v="23"/>
    <d v="2023-12-19T00:00:00"/>
    <n v="6.6274417793178957"/>
    <n v="0.45397392627886973"/>
  </r>
  <r>
    <x v="702"/>
    <x v="0"/>
    <x v="0"/>
    <x v="2"/>
    <x v="702"/>
    <n v="62228"/>
    <n v="700184"/>
    <n v="3739"/>
    <x v="19"/>
    <d v="2023-12-11T00:00:00"/>
    <n v="8.8873781748797462"/>
    <n v="0.53400249077385376"/>
  </r>
  <r>
    <x v="703"/>
    <x v="2"/>
    <x v="1"/>
    <x v="4"/>
    <x v="703"/>
    <n v="8016"/>
    <n v="269862"/>
    <n v="4453"/>
    <x v="15"/>
    <d v="2023-12-31T00:00:00"/>
    <n v="2.9704070969606691"/>
    <n v="1.6501026450556209"/>
  </r>
  <r>
    <x v="704"/>
    <x v="1"/>
    <x v="3"/>
    <x v="4"/>
    <x v="704"/>
    <n v="7320"/>
    <n v="17685"/>
    <n v="3716"/>
    <x v="10"/>
    <d v="2023-12-26T00:00:00"/>
    <n v="41.391009329940623"/>
    <n v="21.012157195363301"/>
  </r>
  <r>
    <x v="705"/>
    <x v="0"/>
    <x v="2"/>
    <x v="3"/>
    <x v="705"/>
    <n v="34730"/>
    <n v="677124"/>
    <n v="334"/>
    <x v="25"/>
    <d v="2023-12-11T00:00:00"/>
    <n v="5.1290457877729931"/>
    <n v="4.9326268157678647E-2"/>
  </r>
  <r>
    <x v="706"/>
    <x v="0"/>
    <x v="0"/>
    <x v="2"/>
    <x v="706"/>
    <n v="97762"/>
    <n v="246719"/>
    <n v="2198"/>
    <x v="15"/>
    <d v="2024-01-03T00:00:00"/>
    <n v="39.624836352287417"/>
    <n v="0.89089206749378835"/>
  </r>
  <r>
    <x v="707"/>
    <x v="1"/>
    <x v="5"/>
    <x v="0"/>
    <x v="707"/>
    <n v="31694"/>
    <n v="93420"/>
    <n v="2208"/>
    <x v="22"/>
    <d v="2023-12-12T00:00:00"/>
    <n v="33.926354099764502"/>
    <n v="2.3635195889531153"/>
  </r>
  <r>
    <x v="708"/>
    <x v="1"/>
    <x v="1"/>
    <x v="0"/>
    <x v="708"/>
    <n v="12671"/>
    <n v="282511"/>
    <n v="4909"/>
    <x v="19"/>
    <d v="2023-12-17T00:00:00"/>
    <n v="4.48513509208491"/>
    <n v="1.7376314550583871"/>
  </r>
  <r>
    <x v="709"/>
    <x v="3"/>
    <x v="5"/>
    <x v="3"/>
    <x v="709"/>
    <n v="57561"/>
    <n v="315178"/>
    <n v="3395"/>
    <x v="12"/>
    <d v="2024-01-02T00:00:00"/>
    <n v="18.263013281383852"/>
    <n v="1.0771690917513277"/>
  </r>
  <r>
    <x v="710"/>
    <x v="1"/>
    <x v="6"/>
    <x v="0"/>
    <x v="710"/>
    <n v="80514"/>
    <n v="212879"/>
    <n v="2263"/>
    <x v="24"/>
    <d v="2023-12-25T00:00:00"/>
    <n v="37.821485444783185"/>
    <n v="1.0630452040830707"/>
  </r>
  <r>
    <x v="711"/>
    <x v="0"/>
    <x v="2"/>
    <x v="2"/>
    <x v="711"/>
    <n v="51168"/>
    <n v="274880"/>
    <n v="613"/>
    <x v="10"/>
    <d v="2024-01-02T00:00:00"/>
    <n v="18.614668218859137"/>
    <n v="0.22300640279394646"/>
  </r>
  <r>
    <x v="712"/>
    <x v="3"/>
    <x v="5"/>
    <x v="0"/>
    <x v="712"/>
    <n v="63473"/>
    <n v="374768"/>
    <n v="1575"/>
    <x v="5"/>
    <d v="2024-01-11T00:00:00"/>
    <n v="16.936611450283909"/>
    <n v="0.42026000085386161"/>
  </r>
  <r>
    <x v="713"/>
    <x v="0"/>
    <x v="5"/>
    <x v="1"/>
    <x v="713"/>
    <n v="86072"/>
    <n v="616044"/>
    <n v="2690"/>
    <x v="25"/>
    <d v="2023-12-19T00:00:00"/>
    <n v="13.971729292063554"/>
    <n v="0.43665712189389067"/>
  </r>
  <r>
    <x v="714"/>
    <x v="2"/>
    <x v="4"/>
    <x v="0"/>
    <x v="714"/>
    <n v="12995"/>
    <n v="306050"/>
    <n v="784"/>
    <x v="22"/>
    <d v="2023-12-19T00:00:00"/>
    <n v="4.2460382290475414"/>
    <n v="0.2561672929259925"/>
  </r>
  <r>
    <x v="715"/>
    <x v="1"/>
    <x v="0"/>
    <x v="3"/>
    <x v="715"/>
    <n v="60553"/>
    <n v="230089"/>
    <n v="4093"/>
    <x v="24"/>
    <d v="2023-12-30T00:00:00"/>
    <n v="26.317207689198529"/>
    <n v="1.778876869385325"/>
  </r>
  <r>
    <x v="716"/>
    <x v="2"/>
    <x v="3"/>
    <x v="1"/>
    <x v="716"/>
    <n v="71336"/>
    <n v="923626"/>
    <n v="949"/>
    <x v="10"/>
    <d v="2024-01-07T00:00:00"/>
    <n v="7.7234724877818515"/>
    <n v="0.10274721586442997"/>
  </r>
  <r>
    <x v="717"/>
    <x v="1"/>
    <x v="3"/>
    <x v="1"/>
    <x v="717"/>
    <n v="9488"/>
    <n v="876964"/>
    <n v="2498"/>
    <x v="15"/>
    <d v="2024-01-14T00:00:00"/>
    <n v="1.0819144229409645"/>
    <n v="0.28484635629284666"/>
  </r>
  <r>
    <x v="718"/>
    <x v="3"/>
    <x v="1"/>
    <x v="2"/>
    <x v="718"/>
    <n v="72763"/>
    <n v="554482"/>
    <n v="4163"/>
    <x v="1"/>
    <d v="2024-01-03T00:00:00"/>
    <n v="13.12269830219917"/>
    <n v="0.75079082819640675"/>
  </r>
  <r>
    <x v="719"/>
    <x v="1"/>
    <x v="2"/>
    <x v="2"/>
    <x v="719"/>
    <n v="59942"/>
    <n v="275728"/>
    <n v="2895"/>
    <x v="3"/>
    <d v="2024-01-11T00:00:00"/>
    <n v="21.739540416642487"/>
    <n v="1.0499477746184644"/>
  </r>
  <r>
    <x v="720"/>
    <x v="1"/>
    <x v="6"/>
    <x v="3"/>
    <x v="720"/>
    <n v="87100"/>
    <n v="497754"/>
    <n v="2457"/>
    <x v="17"/>
    <d v="2024-01-14T00:00:00"/>
    <n v="17.498603727945934"/>
    <n v="0.49361732904205691"/>
  </r>
  <r>
    <x v="721"/>
    <x v="2"/>
    <x v="0"/>
    <x v="0"/>
    <x v="721"/>
    <n v="91875"/>
    <n v="797340"/>
    <n v="1559"/>
    <x v="9"/>
    <d v="2023-12-31T00:00:00"/>
    <n v="11.522687937391828"/>
    <n v="0.19552512102741618"/>
  </r>
  <r>
    <x v="722"/>
    <x v="3"/>
    <x v="3"/>
    <x v="0"/>
    <x v="722"/>
    <n v="52999"/>
    <n v="444938"/>
    <n v="146"/>
    <x v="24"/>
    <d v="2024-01-06T00:00:00"/>
    <n v="11.911547226804634"/>
    <n v="3.28135605410192E-2"/>
  </r>
  <r>
    <x v="723"/>
    <x v="2"/>
    <x v="0"/>
    <x v="3"/>
    <x v="723"/>
    <n v="1013"/>
    <n v="926488"/>
    <n v="2588"/>
    <x v="6"/>
    <d v="2024-01-12T00:00:00"/>
    <n v="0.10933762768648919"/>
    <n v="0.27933443282589737"/>
  </r>
  <r>
    <x v="724"/>
    <x v="2"/>
    <x v="1"/>
    <x v="4"/>
    <x v="724"/>
    <n v="9062"/>
    <n v="348129"/>
    <n v="4222"/>
    <x v="7"/>
    <d v="2023-12-28T00:00:00"/>
    <n v="2.6030580618104207"/>
    <n v="1.2127688299452215"/>
  </r>
  <r>
    <x v="725"/>
    <x v="2"/>
    <x v="2"/>
    <x v="2"/>
    <x v="725"/>
    <n v="50465"/>
    <n v="967771"/>
    <n v="3534"/>
    <x v="10"/>
    <d v="2024-01-16T00:00:00"/>
    <n v="5.2145600560463166"/>
    <n v="0.36516903275671619"/>
  </r>
  <r>
    <x v="726"/>
    <x v="2"/>
    <x v="3"/>
    <x v="4"/>
    <x v="726"/>
    <n v="38157"/>
    <n v="368675"/>
    <n v="1587"/>
    <x v="21"/>
    <d v="2024-01-22T00:00:00"/>
    <n v="10.349766054112701"/>
    <n v="0.43046043263036554"/>
  </r>
  <r>
    <x v="727"/>
    <x v="1"/>
    <x v="1"/>
    <x v="4"/>
    <x v="727"/>
    <n v="85788"/>
    <n v="131536"/>
    <n v="4217"/>
    <x v="11"/>
    <d v="2024-01-08T00:00:00"/>
    <n v="65.220167862790419"/>
    <n v="3.2059664274419171"/>
  </r>
  <r>
    <x v="728"/>
    <x v="1"/>
    <x v="0"/>
    <x v="3"/>
    <x v="728"/>
    <n v="50914"/>
    <n v="629123"/>
    <n v="1113"/>
    <x v="27"/>
    <d v="2024-01-16T00:00:00"/>
    <n v="8.0928530668883507"/>
    <n v="0.17691294071270641"/>
  </r>
  <r>
    <x v="729"/>
    <x v="2"/>
    <x v="6"/>
    <x v="4"/>
    <x v="729"/>
    <n v="97937"/>
    <n v="508623"/>
    <n v="2565"/>
    <x v="11"/>
    <d v="2024-01-10T00:00:00"/>
    <n v="19.255322704635848"/>
    <n v="0.50430279401442712"/>
  </r>
  <r>
    <x v="730"/>
    <x v="2"/>
    <x v="2"/>
    <x v="1"/>
    <x v="730"/>
    <n v="76824"/>
    <n v="583151"/>
    <n v="311"/>
    <x v="11"/>
    <d v="2024-01-11T00:00:00"/>
    <n v="13.173946370665574"/>
    <n v="5.3330955447216929E-2"/>
  </r>
  <r>
    <x v="731"/>
    <x v="2"/>
    <x v="2"/>
    <x v="1"/>
    <x v="731"/>
    <n v="1299"/>
    <n v="366706"/>
    <n v="4595"/>
    <x v="3"/>
    <d v="2024-01-23T00:00:00"/>
    <n v="0.35423472754740853"/>
    <n v="1.2530474003697785"/>
  </r>
  <r>
    <x v="732"/>
    <x v="2"/>
    <x v="6"/>
    <x v="4"/>
    <x v="732"/>
    <n v="65442"/>
    <n v="146362"/>
    <n v="1929"/>
    <x v="23"/>
    <d v="2024-01-19T00:00:00"/>
    <n v="44.71242535630833"/>
    <n v="1.3179650455719381"/>
  </r>
  <r>
    <x v="733"/>
    <x v="2"/>
    <x v="4"/>
    <x v="0"/>
    <x v="733"/>
    <n v="92170"/>
    <n v="713477"/>
    <n v="4966"/>
    <x v="0"/>
    <d v="2024-01-19T00:00:00"/>
    <n v="12.918426242191408"/>
    <n v="0.69602804295022824"/>
  </r>
  <r>
    <x v="734"/>
    <x v="1"/>
    <x v="6"/>
    <x v="2"/>
    <x v="734"/>
    <n v="41933"/>
    <n v="400702"/>
    <n v="4707"/>
    <x v="6"/>
    <d v="2024-01-23T00:00:00"/>
    <n v="10.464884128354738"/>
    <n v="1.1746884218197065"/>
  </r>
  <r>
    <x v="735"/>
    <x v="2"/>
    <x v="6"/>
    <x v="3"/>
    <x v="735"/>
    <n v="25115"/>
    <n v="623017"/>
    <n v="1310"/>
    <x v="2"/>
    <d v="2024-01-12T00:00:00"/>
    <n v="4.0311901601400928"/>
    <n v="0.21026713556772927"/>
  </r>
  <r>
    <x v="736"/>
    <x v="2"/>
    <x v="5"/>
    <x v="4"/>
    <x v="736"/>
    <n v="63714"/>
    <n v="277937"/>
    <n v="2210"/>
    <x v="28"/>
    <d v="2024-02-06T00:00:00"/>
    <n v="22.923900020508245"/>
    <n v="0.79514422333118662"/>
  </r>
  <r>
    <x v="737"/>
    <x v="2"/>
    <x v="6"/>
    <x v="1"/>
    <x v="737"/>
    <n v="55474"/>
    <n v="518170"/>
    <n v="4880"/>
    <x v="9"/>
    <d v="2024-01-16T00:00:00"/>
    <n v="10.705752938224906"/>
    <n v="0.94177586506358923"/>
  </r>
  <r>
    <x v="738"/>
    <x v="1"/>
    <x v="1"/>
    <x v="1"/>
    <x v="738"/>
    <n v="18452"/>
    <n v="491436"/>
    <n v="4284"/>
    <x v="25"/>
    <d v="2024-01-13T00:00:00"/>
    <n v="3.7547106846059304"/>
    <n v="0.87173100871731013"/>
  </r>
  <r>
    <x v="739"/>
    <x v="2"/>
    <x v="3"/>
    <x v="1"/>
    <x v="739"/>
    <n v="18596"/>
    <n v="86376"/>
    <n v="3842"/>
    <x v="24"/>
    <d v="2024-01-23T00:00:00"/>
    <n v="21.529128461609705"/>
    <n v="4.4479948133740859"/>
  </r>
  <r>
    <x v="740"/>
    <x v="2"/>
    <x v="2"/>
    <x v="1"/>
    <x v="740"/>
    <n v="71431"/>
    <n v="493004"/>
    <n v="2838"/>
    <x v="10"/>
    <d v="2024-01-31T00:00:00"/>
    <n v="14.488929095909972"/>
    <n v="0.57565455858370318"/>
  </r>
  <r>
    <x v="741"/>
    <x v="0"/>
    <x v="4"/>
    <x v="3"/>
    <x v="741"/>
    <n v="28673"/>
    <n v="68484"/>
    <n v="1559"/>
    <x v="27"/>
    <d v="2024-01-29T00:00:00"/>
    <n v="41.86817358799135"/>
    <n v="2.2764441329361604"/>
  </r>
  <r>
    <x v="742"/>
    <x v="2"/>
    <x v="5"/>
    <x v="3"/>
    <x v="742"/>
    <n v="94771"/>
    <n v="566546"/>
    <n v="704"/>
    <x v="24"/>
    <d v="2024-01-26T00:00:00"/>
    <n v="16.727856167019095"/>
    <n v="0.12426175456185376"/>
  </r>
  <r>
    <x v="743"/>
    <x v="1"/>
    <x v="1"/>
    <x v="0"/>
    <x v="743"/>
    <n v="80206"/>
    <n v="673282"/>
    <n v="4049"/>
    <x v="14"/>
    <d v="2024-01-26T00:00:00"/>
    <n v="11.912690373424509"/>
    <n v="0.60138248163473851"/>
  </r>
  <r>
    <x v="744"/>
    <x v="1"/>
    <x v="5"/>
    <x v="4"/>
    <x v="744"/>
    <n v="93235"/>
    <n v="668513"/>
    <n v="3737"/>
    <x v="16"/>
    <d v="2024-02-11T00:00:00"/>
    <n v="13.946624822553938"/>
    <n v="0.55900184439195644"/>
  </r>
  <r>
    <x v="745"/>
    <x v="2"/>
    <x v="1"/>
    <x v="0"/>
    <x v="745"/>
    <n v="95270"/>
    <n v="319951"/>
    <n v="4668"/>
    <x v="4"/>
    <d v="2024-02-14T00:00:00"/>
    <n v="29.776434516535343"/>
    <n v="1.458973405302687"/>
  </r>
  <r>
    <x v="746"/>
    <x v="1"/>
    <x v="1"/>
    <x v="4"/>
    <x v="746"/>
    <n v="95148"/>
    <n v="757523"/>
    <n v="1407"/>
    <x v="2"/>
    <d v="2024-01-23T00:00:00"/>
    <n v="12.560410707001635"/>
    <n v="0.18573693472013392"/>
  </r>
  <r>
    <x v="747"/>
    <x v="0"/>
    <x v="4"/>
    <x v="1"/>
    <x v="747"/>
    <n v="21890"/>
    <n v="799639"/>
    <n v="570"/>
    <x v="20"/>
    <d v="2024-01-29T00:00:00"/>
    <n v="2.7374852902372195"/>
    <n v="7.1282166077442435E-2"/>
  </r>
  <r>
    <x v="748"/>
    <x v="0"/>
    <x v="2"/>
    <x v="4"/>
    <x v="748"/>
    <n v="92413"/>
    <n v="522479"/>
    <n v="390"/>
    <x v="10"/>
    <d v="2024-02-08T00:00:00"/>
    <n v="17.687409446121279"/>
    <n v="7.4644148377255345E-2"/>
  </r>
  <r>
    <x v="749"/>
    <x v="2"/>
    <x v="4"/>
    <x v="0"/>
    <x v="749"/>
    <n v="80884"/>
    <n v="923433"/>
    <n v="1591"/>
    <x v="7"/>
    <d v="2024-01-22T00:00:00"/>
    <n v="8.7590545280491394"/>
    <n v="0.17229187174380817"/>
  </r>
  <r>
    <x v="750"/>
    <x v="2"/>
    <x v="1"/>
    <x v="0"/>
    <x v="750"/>
    <n v="33718"/>
    <n v="689929"/>
    <n v="611"/>
    <x v="6"/>
    <d v="2024-02-08T00:00:00"/>
    <n v="4.8871695493304381"/>
    <n v="8.8559837316593448E-2"/>
  </r>
  <r>
    <x v="751"/>
    <x v="2"/>
    <x v="0"/>
    <x v="1"/>
    <x v="751"/>
    <n v="6106"/>
    <n v="907816"/>
    <n v="3707"/>
    <x v="28"/>
    <d v="2024-02-21T00:00:00"/>
    <n v="0.67260325881015537"/>
    <n v="0.40834265974602785"/>
  </r>
  <r>
    <x v="752"/>
    <x v="1"/>
    <x v="6"/>
    <x v="3"/>
    <x v="752"/>
    <n v="24656"/>
    <n v="629463"/>
    <n v="4437"/>
    <x v="5"/>
    <d v="2024-02-20T00:00:00"/>
    <n v="3.9169895609432168"/>
    <n v="0.70488654615124324"/>
  </r>
  <r>
    <x v="753"/>
    <x v="1"/>
    <x v="4"/>
    <x v="2"/>
    <x v="753"/>
    <n v="22190"/>
    <n v="388722"/>
    <n v="2372"/>
    <x v="12"/>
    <d v="2024-02-15T00:00:00"/>
    <n v="5.7084497404314654"/>
    <n v="0.61020472214075872"/>
  </r>
  <r>
    <x v="754"/>
    <x v="2"/>
    <x v="1"/>
    <x v="0"/>
    <x v="754"/>
    <n v="57592"/>
    <n v="392281"/>
    <n v="700"/>
    <x v="2"/>
    <d v="2024-01-31T00:00:00"/>
    <n v="14.68131263048682"/>
    <n v="0.17844351370573644"/>
  </r>
  <r>
    <x v="755"/>
    <x v="2"/>
    <x v="1"/>
    <x v="2"/>
    <x v="755"/>
    <n v="64299"/>
    <n v="672616"/>
    <n v="4402"/>
    <x v="15"/>
    <d v="2024-02-21T00:00:00"/>
    <n v="9.5595406591576761"/>
    <n v="0.65445960250722546"/>
  </r>
  <r>
    <x v="756"/>
    <x v="3"/>
    <x v="4"/>
    <x v="0"/>
    <x v="756"/>
    <n v="16534"/>
    <n v="787070"/>
    <n v="2007"/>
    <x v="17"/>
    <d v="2024-02-19T00:00:00"/>
    <n v="2.1007026058673306"/>
    <n v="0.25499637897518646"/>
  </r>
  <r>
    <x v="757"/>
    <x v="2"/>
    <x v="4"/>
    <x v="4"/>
    <x v="757"/>
    <n v="11081"/>
    <n v="745197"/>
    <n v="2463"/>
    <x v="11"/>
    <d v="2024-02-07T00:00:00"/>
    <n v="1.4869893464412764"/>
    <n v="0.33051662848884256"/>
  </r>
  <r>
    <x v="758"/>
    <x v="1"/>
    <x v="0"/>
    <x v="1"/>
    <x v="758"/>
    <n v="25597"/>
    <n v="719040"/>
    <n v="4662"/>
    <x v="13"/>
    <d v="2024-02-22T00:00:00"/>
    <n v="3.5598854027592344"/>
    <n v="0.64836448598130836"/>
  </r>
  <r>
    <x v="759"/>
    <x v="0"/>
    <x v="3"/>
    <x v="1"/>
    <x v="759"/>
    <n v="82376"/>
    <n v="116454"/>
    <n v="2799"/>
    <x v="6"/>
    <d v="2024-02-17T00:00:00"/>
    <n v="70.736943342435637"/>
    <n v="2.4035241382863624"/>
  </r>
  <r>
    <x v="760"/>
    <x v="2"/>
    <x v="4"/>
    <x v="2"/>
    <x v="760"/>
    <n v="55449"/>
    <n v="713111"/>
    <n v="1608"/>
    <x v="19"/>
    <d v="2024-02-07T00:00:00"/>
    <n v="7.775647830421911"/>
    <n v="0.22549084223914651"/>
  </r>
  <r>
    <x v="761"/>
    <x v="2"/>
    <x v="1"/>
    <x v="3"/>
    <x v="761"/>
    <n v="84630"/>
    <n v="208035"/>
    <n v="615"/>
    <x v="13"/>
    <d v="2024-02-25T00:00:00"/>
    <n v="40.680654697526855"/>
    <n v="0.29562333261230084"/>
  </r>
  <r>
    <x v="762"/>
    <x v="2"/>
    <x v="2"/>
    <x v="1"/>
    <x v="762"/>
    <n v="89250"/>
    <n v="388363"/>
    <n v="4483"/>
    <x v="23"/>
    <d v="2024-02-18T00:00:00"/>
    <n v="22.981076982101797"/>
    <n v="1.1543324158068611"/>
  </r>
  <r>
    <x v="763"/>
    <x v="3"/>
    <x v="4"/>
    <x v="4"/>
    <x v="763"/>
    <n v="32045"/>
    <n v="57860"/>
    <n v="941"/>
    <x v="18"/>
    <d v="2024-02-12T00:00:00"/>
    <n v="55.383684756308327"/>
    <n v="1.6263394400276532"/>
  </r>
  <r>
    <x v="764"/>
    <x v="2"/>
    <x v="4"/>
    <x v="2"/>
    <x v="764"/>
    <n v="44947"/>
    <n v="653872"/>
    <n v="1762"/>
    <x v="27"/>
    <d v="2024-02-21T00:00:00"/>
    <n v="6.8739753346220667"/>
    <n v="0.26947170088335332"/>
  </r>
  <r>
    <x v="765"/>
    <x v="2"/>
    <x v="5"/>
    <x v="0"/>
    <x v="765"/>
    <n v="91274"/>
    <n v="499968"/>
    <n v="1516"/>
    <x v="13"/>
    <d v="2024-02-29T00:00:00"/>
    <n v="18.255968381976444"/>
    <n v="0.30321940604198666"/>
  </r>
  <r>
    <x v="766"/>
    <x v="2"/>
    <x v="0"/>
    <x v="4"/>
    <x v="766"/>
    <n v="76146"/>
    <n v="326238"/>
    <n v="610"/>
    <x v="10"/>
    <d v="2024-02-26T00:00:00"/>
    <n v="23.340628620822834"/>
    <n v="0.18698005750403079"/>
  </r>
  <r>
    <x v="767"/>
    <x v="2"/>
    <x v="3"/>
    <x v="0"/>
    <x v="767"/>
    <n v="23429"/>
    <n v="499160"/>
    <n v="4332"/>
    <x v="8"/>
    <d v="2024-02-26T00:00:00"/>
    <n v="4.6936853914576488"/>
    <n v="0.86785800144242331"/>
  </r>
  <r>
    <x v="768"/>
    <x v="1"/>
    <x v="1"/>
    <x v="2"/>
    <x v="768"/>
    <n v="66511"/>
    <n v="743862"/>
    <n v="1442"/>
    <x v="7"/>
    <d v="2024-02-10T00:00:00"/>
    <n v="8.9413090062404059"/>
    <n v="0.19385316093576496"/>
  </r>
  <r>
    <x v="769"/>
    <x v="2"/>
    <x v="2"/>
    <x v="0"/>
    <x v="769"/>
    <n v="27151"/>
    <n v="523824"/>
    <n v="2847"/>
    <x v="0"/>
    <d v="2024-02-24T00:00:00"/>
    <n v="5.1832294816579614"/>
    <n v="0.5435031613671768"/>
  </r>
  <r>
    <x v="770"/>
    <x v="1"/>
    <x v="6"/>
    <x v="4"/>
    <x v="770"/>
    <n v="60809"/>
    <n v="203922"/>
    <n v="1814"/>
    <x v="28"/>
    <d v="2024-03-11T00:00:00"/>
    <n v="29.819734996714431"/>
    <n v="0.8895558105550162"/>
  </r>
  <r>
    <x v="771"/>
    <x v="1"/>
    <x v="5"/>
    <x v="3"/>
    <x v="771"/>
    <n v="24734"/>
    <n v="579983"/>
    <n v="523"/>
    <x v="3"/>
    <d v="2024-03-03T00:00:00"/>
    <n v="4.2646077557445654"/>
    <n v="9.0175056855114719E-2"/>
  </r>
  <r>
    <x v="772"/>
    <x v="0"/>
    <x v="1"/>
    <x v="1"/>
    <x v="772"/>
    <n v="10973"/>
    <n v="963940"/>
    <n v="3371"/>
    <x v="1"/>
    <d v="2024-02-26T00:00:00"/>
    <n v="1.1383488598875449"/>
    <n v="0.3497105628981057"/>
  </r>
  <r>
    <x v="773"/>
    <x v="2"/>
    <x v="3"/>
    <x v="0"/>
    <x v="773"/>
    <n v="44718"/>
    <n v="105119"/>
    <n v="2749"/>
    <x v="14"/>
    <d v="2024-02-25T00:00:00"/>
    <n v="42.540359021680189"/>
    <n v="2.6151314224830906"/>
  </r>
  <r>
    <x v="774"/>
    <x v="0"/>
    <x v="4"/>
    <x v="3"/>
    <x v="774"/>
    <n v="80141"/>
    <n v="728154"/>
    <n v="3144"/>
    <x v="20"/>
    <d v="2024-02-25T00:00:00"/>
    <n v="11.006050917800355"/>
    <n v="0.43177679446930184"/>
  </r>
  <r>
    <x v="775"/>
    <x v="1"/>
    <x v="5"/>
    <x v="4"/>
    <x v="775"/>
    <n v="70379"/>
    <n v="838965"/>
    <n v="4159"/>
    <x v="7"/>
    <d v="2024-02-17T00:00:00"/>
    <n v="8.3887885668651254"/>
    <n v="0.4957298576221893"/>
  </r>
  <r>
    <x v="776"/>
    <x v="2"/>
    <x v="6"/>
    <x v="3"/>
    <x v="776"/>
    <n v="89814"/>
    <n v="847051"/>
    <n v="1109"/>
    <x v="4"/>
    <d v="2024-03-16T00:00:00"/>
    <n v="10.603139598442123"/>
    <n v="0.13092482034729905"/>
  </r>
  <r>
    <x v="777"/>
    <x v="0"/>
    <x v="2"/>
    <x v="3"/>
    <x v="777"/>
    <n v="46384"/>
    <n v="798726"/>
    <n v="3863"/>
    <x v="9"/>
    <d v="2024-02-25T00:00:00"/>
    <n v="5.8072480425076938"/>
    <n v="0.48364520498894492"/>
  </r>
  <r>
    <x v="778"/>
    <x v="0"/>
    <x v="4"/>
    <x v="3"/>
    <x v="778"/>
    <n v="87146"/>
    <n v="460045"/>
    <n v="287"/>
    <x v="24"/>
    <d v="2024-03-02T00:00:00"/>
    <n v="18.942929496027563"/>
    <n v="6.2385201447684467E-2"/>
  </r>
  <r>
    <x v="779"/>
    <x v="2"/>
    <x v="6"/>
    <x v="0"/>
    <x v="779"/>
    <n v="31311"/>
    <n v="830973"/>
    <n v="2573"/>
    <x v="25"/>
    <d v="2024-02-23T00:00:00"/>
    <n v="3.7679924618489409"/>
    <n v="0.30963701588378922"/>
  </r>
  <r>
    <x v="780"/>
    <x v="3"/>
    <x v="3"/>
    <x v="4"/>
    <x v="780"/>
    <n v="67165"/>
    <n v="136694"/>
    <n v="1401"/>
    <x v="22"/>
    <d v="2024-02-23T00:00:00"/>
    <n v="49.135294892241063"/>
    <n v="1.0249169678259471"/>
  </r>
  <r>
    <x v="781"/>
    <x v="1"/>
    <x v="4"/>
    <x v="0"/>
    <x v="781"/>
    <n v="6405"/>
    <n v="770408"/>
    <n v="2055"/>
    <x v="26"/>
    <d v="2024-02-26T00:00:00"/>
    <n v="0.83137765962970278"/>
    <n v="0.26674177838236363"/>
  </r>
  <r>
    <x v="782"/>
    <x v="1"/>
    <x v="0"/>
    <x v="0"/>
    <x v="782"/>
    <n v="3551"/>
    <n v="734693"/>
    <n v="1695"/>
    <x v="3"/>
    <d v="2024-03-14T00:00:00"/>
    <n v="0.48333113286774204"/>
    <n v="0.23070860890194952"/>
  </r>
  <r>
    <x v="783"/>
    <x v="3"/>
    <x v="4"/>
    <x v="3"/>
    <x v="783"/>
    <n v="57505"/>
    <n v="54653"/>
    <n v="4810"/>
    <x v="22"/>
    <d v="2024-02-26T00:00:00"/>
    <n v="105.218377765173"/>
    <n v="8.8009807329881262"/>
  </r>
  <r>
    <x v="784"/>
    <x v="2"/>
    <x v="1"/>
    <x v="0"/>
    <x v="784"/>
    <n v="44667"/>
    <n v="662637"/>
    <n v="2761"/>
    <x v="14"/>
    <d v="2024-03-07T00:00:00"/>
    <n v="6.7407947337682632"/>
    <n v="0.41666855306902573"/>
  </r>
  <r>
    <x v="785"/>
    <x v="0"/>
    <x v="6"/>
    <x v="4"/>
    <x v="785"/>
    <n v="71775"/>
    <n v="268585"/>
    <n v="4789"/>
    <x v="28"/>
    <d v="2024-03-26T00:00:00"/>
    <n v="26.723383658804472"/>
    <n v="1.7830481970325969"/>
  </r>
  <r>
    <x v="786"/>
    <x v="2"/>
    <x v="0"/>
    <x v="4"/>
    <x v="786"/>
    <n v="61612"/>
    <n v="223921"/>
    <n v="2865"/>
    <x v="26"/>
    <d v="2024-03-02T00:00:00"/>
    <n v="27.515061115304057"/>
    <n v="1.279469098476695"/>
  </r>
  <r>
    <x v="787"/>
    <x v="0"/>
    <x v="4"/>
    <x v="3"/>
    <x v="787"/>
    <n v="10989"/>
    <n v="392866"/>
    <n v="2978"/>
    <x v="16"/>
    <d v="2024-03-25T00:00:00"/>
    <n v="2.7971369372763233"/>
    <n v="0.75801927374728284"/>
  </r>
  <r>
    <x v="788"/>
    <x v="1"/>
    <x v="3"/>
    <x v="4"/>
    <x v="788"/>
    <n v="13665"/>
    <n v="996182"/>
    <n v="1517"/>
    <x v="8"/>
    <d v="2024-03-18T00:00:00"/>
    <n v="1.3717372929846154"/>
    <n v="0.15228141042500265"/>
  </r>
  <r>
    <x v="789"/>
    <x v="2"/>
    <x v="6"/>
    <x v="0"/>
    <x v="789"/>
    <n v="27752"/>
    <n v="155089"/>
    <n v="2130"/>
    <x v="24"/>
    <d v="2024-03-13T00:00:00"/>
    <n v="17.894241371083698"/>
    <n v="1.3734049481265598"/>
  </r>
  <r>
    <x v="790"/>
    <x v="1"/>
    <x v="2"/>
    <x v="3"/>
    <x v="790"/>
    <n v="64995"/>
    <n v="500763"/>
    <n v="608"/>
    <x v="3"/>
    <d v="2024-03-22T00:00:00"/>
    <n v="12.979193750336988"/>
    <n v="0.12141472113554716"/>
  </r>
  <r>
    <x v="791"/>
    <x v="2"/>
    <x v="5"/>
    <x v="2"/>
    <x v="791"/>
    <n v="39803"/>
    <n v="544667"/>
    <n v="4994"/>
    <x v="12"/>
    <d v="2024-03-24T00:00:00"/>
    <n v="7.3077678655031422"/>
    <n v="0.91689050373898184"/>
  </r>
  <r>
    <x v="792"/>
    <x v="2"/>
    <x v="4"/>
    <x v="0"/>
    <x v="792"/>
    <n v="86400"/>
    <n v="899783"/>
    <n v="309"/>
    <x v="11"/>
    <d v="2024-03-13T00:00:00"/>
    <n v="9.602315224893113"/>
    <n v="3.4341613477916338E-2"/>
  </r>
  <r>
    <x v="793"/>
    <x v="2"/>
    <x v="5"/>
    <x v="0"/>
    <x v="793"/>
    <n v="85324"/>
    <n v="655810"/>
    <n v="1611"/>
    <x v="5"/>
    <d v="2024-04-01T00:00:00"/>
    <n v="13.010475595065643"/>
    <n v="0.24565041704152119"/>
  </r>
  <r>
    <x v="794"/>
    <x v="2"/>
    <x v="2"/>
    <x v="0"/>
    <x v="794"/>
    <n v="64652"/>
    <n v="615575"/>
    <n v="1702"/>
    <x v="3"/>
    <d v="2024-03-26T00:00:00"/>
    <n v="10.502700726962596"/>
    <n v="0.27648946107298056"/>
  </r>
  <r>
    <x v="795"/>
    <x v="2"/>
    <x v="4"/>
    <x v="0"/>
    <x v="795"/>
    <n v="43099"/>
    <n v="278650"/>
    <n v="4885"/>
    <x v="10"/>
    <d v="2024-03-26T00:00:00"/>
    <n v="15.467073389556793"/>
    <n v="1.7530952808182307"/>
  </r>
  <r>
    <x v="796"/>
    <x v="2"/>
    <x v="2"/>
    <x v="0"/>
    <x v="796"/>
    <n v="71101"/>
    <n v="45682"/>
    <n v="187"/>
    <x v="19"/>
    <d v="2024-03-14T00:00:00"/>
    <n v="155.64336062344032"/>
    <n v="0.40935160457072811"/>
  </r>
  <r>
    <x v="797"/>
    <x v="0"/>
    <x v="2"/>
    <x v="2"/>
    <x v="797"/>
    <n v="65235"/>
    <n v="511101"/>
    <n v="3431"/>
    <x v="15"/>
    <d v="2024-04-03T00:00:00"/>
    <n v="12.763622062958202"/>
    <n v="0.67129588867953693"/>
  </r>
  <r>
    <x v="798"/>
    <x v="0"/>
    <x v="1"/>
    <x v="1"/>
    <x v="798"/>
    <n v="41782"/>
    <n v="251510"/>
    <n v="4060"/>
    <x v="20"/>
    <d v="2024-03-20T00:00:00"/>
    <n v="16.612460737147629"/>
    <n v="1.6142499304202615"/>
  </r>
  <r>
    <x v="799"/>
    <x v="0"/>
    <x v="2"/>
    <x v="2"/>
    <x v="799"/>
    <n v="91295"/>
    <n v="177262"/>
    <n v="3265"/>
    <x v="0"/>
    <d v="2024-03-25T00:00:00"/>
    <n v="51.502860173077138"/>
    <n v="1.8419063307420653"/>
  </r>
  <r>
    <x v="800"/>
    <x v="2"/>
    <x v="1"/>
    <x v="3"/>
    <x v="800"/>
    <n v="79728"/>
    <n v="543203"/>
    <n v="3550"/>
    <x v="17"/>
    <d v="2024-04-03T00:00:00"/>
    <n v="14.677385802361179"/>
    <n v="0.65353100038107304"/>
  </r>
  <r>
    <x v="801"/>
    <x v="0"/>
    <x v="2"/>
    <x v="1"/>
    <x v="801"/>
    <n v="46177"/>
    <n v="484137"/>
    <n v="1387"/>
    <x v="24"/>
    <d v="2024-03-25T00:00:00"/>
    <n v="9.5380026727971625"/>
    <n v="0.28648915492928656"/>
  </r>
  <r>
    <x v="802"/>
    <x v="1"/>
    <x v="6"/>
    <x v="0"/>
    <x v="802"/>
    <n v="37028"/>
    <n v="161081"/>
    <n v="4455"/>
    <x v="11"/>
    <d v="2024-03-23T00:00:00"/>
    <n v="22.987192778788312"/>
    <n v="2.7656893115885794"/>
  </r>
  <r>
    <x v="803"/>
    <x v="2"/>
    <x v="6"/>
    <x v="3"/>
    <x v="803"/>
    <n v="64572"/>
    <n v="311730"/>
    <n v="4762"/>
    <x v="14"/>
    <d v="2024-03-26T00:00:00"/>
    <n v="20.714079491867963"/>
    <n v="1.5276040162961537"/>
  </r>
  <r>
    <x v="804"/>
    <x v="2"/>
    <x v="3"/>
    <x v="0"/>
    <x v="804"/>
    <n v="834"/>
    <n v="928019"/>
    <n v="616"/>
    <x v="23"/>
    <d v="2024-03-31T00:00:00"/>
    <n v="8.9868849667948614E-2"/>
    <n v="6.6377951313496816E-2"/>
  </r>
  <r>
    <x v="805"/>
    <x v="1"/>
    <x v="2"/>
    <x v="4"/>
    <x v="805"/>
    <n v="65948"/>
    <n v="693820"/>
    <n v="3895"/>
    <x v="1"/>
    <d v="2024-03-30T00:00:00"/>
    <n v="9.5050589490069477"/>
    <n v="0.56138479720965095"/>
  </r>
  <r>
    <x v="806"/>
    <x v="2"/>
    <x v="0"/>
    <x v="0"/>
    <x v="806"/>
    <n v="10000"/>
    <n v="701479"/>
    <n v="3593"/>
    <x v="13"/>
    <d v="2024-04-10T00:00:00"/>
    <n v="1.4255594251574175"/>
    <n v="0.51220350145906013"/>
  </r>
  <r>
    <x v="807"/>
    <x v="1"/>
    <x v="0"/>
    <x v="0"/>
    <x v="807"/>
    <n v="66414"/>
    <n v="551161"/>
    <n v="131"/>
    <x v="24"/>
    <d v="2024-03-31T00:00:00"/>
    <n v="12.049836617612639"/>
    <n v="2.3768009710411295E-2"/>
  </r>
  <r>
    <x v="808"/>
    <x v="3"/>
    <x v="0"/>
    <x v="3"/>
    <x v="808"/>
    <n v="22952"/>
    <n v="291914"/>
    <n v="3725"/>
    <x v="16"/>
    <d v="2024-04-15T00:00:00"/>
    <n v="7.8625896668196802"/>
    <n v="1.2760607576203951"/>
  </r>
  <r>
    <x v="809"/>
    <x v="2"/>
    <x v="3"/>
    <x v="1"/>
    <x v="809"/>
    <n v="77808"/>
    <n v="60343"/>
    <n v="988"/>
    <x v="24"/>
    <d v="2024-04-02T00:00:00"/>
    <n v="128.94287655568996"/>
    <n v="1.6373067298609614"/>
  </r>
  <r>
    <x v="810"/>
    <x v="2"/>
    <x v="6"/>
    <x v="0"/>
    <x v="810"/>
    <n v="14172"/>
    <n v="301490"/>
    <n v="2350"/>
    <x v="6"/>
    <d v="2024-04-08T00:00:00"/>
    <n v="4.7006534213406743"/>
    <n v="0.77946200537331256"/>
  </r>
  <r>
    <x v="811"/>
    <x v="3"/>
    <x v="4"/>
    <x v="1"/>
    <x v="811"/>
    <n v="51369"/>
    <n v="188171"/>
    <n v="4839"/>
    <x v="23"/>
    <d v="2024-04-07T00:00:00"/>
    <n v="27.299105600756757"/>
    <n v="2.5715971111382729"/>
  </r>
  <r>
    <x v="812"/>
    <x v="1"/>
    <x v="6"/>
    <x v="1"/>
    <x v="812"/>
    <n v="49764"/>
    <n v="65430"/>
    <n v="1168"/>
    <x v="14"/>
    <d v="2024-04-04T00:00:00"/>
    <n v="76.056854653828523"/>
    <n v="1.7851138621427483"/>
  </r>
  <r>
    <x v="813"/>
    <x v="2"/>
    <x v="4"/>
    <x v="1"/>
    <x v="813"/>
    <n v="70802"/>
    <n v="571764"/>
    <n v="2190"/>
    <x v="27"/>
    <d v="2024-04-10T00:00:00"/>
    <n v="12.383081131375882"/>
    <n v="0.38302516422859784"/>
  </r>
  <r>
    <x v="814"/>
    <x v="0"/>
    <x v="4"/>
    <x v="0"/>
    <x v="814"/>
    <n v="74936"/>
    <n v="821818"/>
    <n v="1691"/>
    <x v="2"/>
    <d v="2024-03-31T00:00:00"/>
    <n v="9.1183206013983629"/>
    <n v="0.20576331985914156"/>
  </r>
  <r>
    <x v="815"/>
    <x v="0"/>
    <x v="4"/>
    <x v="4"/>
    <x v="815"/>
    <n v="89462"/>
    <n v="738535"/>
    <n v="3642"/>
    <x v="5"/>
    <d v="2024-04-23T00:00:00"/>
    <n v="12.113440798337249"/>
    <n v="0.49313844299863918"/>
  </r>
  <r>
    <x v="816"/>
    <x v="1"/>
    <x v="2"/>
    <x v="0"/>
    <x v="816"/>
    <n v="47325"/>
    <n v="360447"/>
    <n v="1375"/>
    <x v="8"/>
    <d v="2024-04-15T00:00:00"/>
    <n v="13.129530832549586"/>
    <n v="0.38147078488654362"/>
  </r>
  <r>
    <x v="817"/>
    <x v="1"/>
    <x v="4"/>
    <x v="2"/>
    <x v="817"/>
    <n v="76914"/>
    <n v="423270"/>
    <n v="3145"/>
    <x v="11"/>
    <d v="2024-04-07T00:00:00"/>
    <n v="18.171379970231765"/>
    <n v="0.7430245469794694"/>
  </r>
  <r>
    <x v="818"/>
    <x v="2"/>
    <x v="3"/>
    <x v="1"/>
    <x v="818"/>
    <n v="74406"/>
    <n v="105663"/>
    <n v="2685"/>
    <x v="26"/>
    <d v="2024-04-03T00:00:00"/>
    <n v="70.418216404985671"/>
    <n v="2.5410976406121346"/>
  </r>
  <r>
    <x v="819"/>
    <x v="2"/>
    <x v="1"/>
    <x v="4"/>
    <x v="819"/>
    <n v="27797"/>
    <n v="554694"/>
    <n v="889"/>
    <x v="13"/>
    <d v="2024-04-23T00:00:00"/>
    <n v="5.0112314176825423"/>
    <n v="0.16026854445874661"/>
  </r>
  <r>
    <x v="820"/>
    <x v="1"/>
    <x v="4"/>
    <x v="4"/>
    <x v="820"/>
    <n v="52024"/>
    <n v="276138"/>
    <n v="4470"/>
    <x v="5"/>
    <d v="2024-04-28T00:00:00"/>
    <n v="18.839855434601542"/>
    <n v="1.6187558394715684"/>
  </r>
  <r>
    <x v="821"/>
    <x v="2"/>
    <x v="1"/>
    <x v="4"/>
    <x v="821"/>
    <n v="85717"/>
    <n v="768745"/>
    <n v="3601"/>
    <x v="4"/>
    <d v="2024-04-30T00:00:00"/>
    <n v="11.150251383748836"/>
    <n v="0.46842581089958307"/>
  </r>
  <r>
    <x v="822"/>
    <x v="1"/>
    <x v="4"/>
    <x v="1"/>
    <x v="822"/>
    <n v="64750"/>
    <n v="317158"/>
    <n v="970"/>
    <x v="16"/>
    <d v="2024-04-29T00:00:00"/>
    <n v="20.415691863361481"/>
    <n v="0.30584125262487466"/>
  </r>
  <r>
    <x v="823"/>
    <x v="0"/>
    <x v="5"/>
    <x v="1"/>
    <x v="823"/>
    <n v="99769"/>
    <n v="288311"/>
    <n v="434"/>
    <x v="17"/>
    <d v="2024-04-26T00:00:00"/>
    <n v="34.604645677757702"/>
    <n v="0.15053189090946928"/>
  </r>
  <r>
    <x v="824"/>
    <x v="2"/>
    <x v="6"/>
    <x v="2"/>
    <x v="824"/>
    <n v="59744"/>
    <n v="725202"/>
    <n v="4755"/>
    <x v="23"/>
    <d v="2024-04-20T00:00:00"/>
    <n v="8.2382563754650437"/>
    <n v="0.65567938312359864"/>
  </r>
  <r>
    <x v="825"/>
    <x v="1"/>
    <x v="0"/>
    <x v="3"/>
    <x v="825"/>
    <n v="59983"/>
    <n v="216773"/>
    <n v="4403"/>
    <x v="21"/>
    <d v="2024-04-30T00:00:00"/>
    <n v="27.670881521222661"/>
    <n v="2.0311570167871462"/>
  </r>
  <r>
    <x v="826"/>
    <x v="2"/>
    <x v="5"/>
    <x v="4"/>
    <x v="826"/>
    <n v="64483"/>
    <n v="991943"/>
    <n v="734"/>
    <x v="27"/>
    <d v="2024-04-23T00:00:00"/>
    <n v="6.5006759460977088"/>
    <n v="7.3996187280922388E-2"/>
  </r>
  <r>
    <x v="827"/>
    <x v="0"/>
    <x v="0"/>
    <x v="1"/>
    <x v="827"/>
    <n v="24593"/>
    <n v="149819"/>
    <n v="2700"/>
    <x v="2"/>
    <d v="2024-04-13T00:00:00"/>
    <n v="16.415140936730321"/>
    <n v="1.8021746240463492"/>
  </r>
  <r>
    <x v="828"/>
    <x v="2"/>
    <x v="1"/>
    <x v="3"/>
    <x v="828"/>
    <n v="13598"/>
    <n v="323768"/>
    <n v="449"/>
    <x v="16"/>
    <d v="2024-05-05T00:00:00"/>
    <n v="4.1999209310370391"/>
    <n v="0.13867954831854909"/>
  </r>
  <r>
    <x v="829"/>
    <x v="1"/>
    <x v="0"/>
    <x v="4"/>
    <x v="829"/>
    <n v="27351"/>
    <n v="75723"/>
    <n v="1049"/>
    <x v="0"/>
    <d v="2024-04-24T00:00:00"/>
    <n v="36.119805079038073"/>
    <n v="1.3853122565138729"/>
  </r>
  <r>
    <x v="830"/>
    <x v="1"/>
    <x v="0"/>
    <x v="4"/>
    <x v="830"/>
    <n v="39219"/>
    <n v="504112"/>
    <n v="2429"/>
    <x v="15"/>
    <d v="2024-05-06T00:00:00"/>
    <n v="7.7798187704319677"/>
    <n v="0.48183736947345035"/>
  </r>
  <r>
    <x v="831"/>
    <x v="2"/>
    <x v="4"/>
    <x v="4"/>
    <x v="831"/>
    <n v="57382"/>
    <n v="560252"/>
    <n v="3894"/>
    <x v="8"/>
    <d v="2024-04-30T00:00:00"/>
    <n v="10.242176734755075"/>
    <n v="0.69504437288934262"/>
  </r>
  <r>
    <x v="832"/>
    <x v="1"/>
    <x v="3"/>
    <x v="4"/>
    <x v="832"/>
    <n v="2546"/>
    <n v="1082"/>
    <n v="1231"/>
    <x v="12"/>
    <d v="2024-05-04T00:00:00"/>
    <n v="235.30499075785579"/>
    <n v="113.77079482439927"/>
  </r>
  <r>
    <x v="833"/>
    <x v="0"/>
    <x v="3"/>
    <x v="1"/>
    <x v="833"/>
    <n v="35429"/>
    <n v="212345"/>
    <n v="582"/>
    <x v="8"/>
    <d v="2024-05-02T00:00:00"/>
    <n v="16.684640561350633"/>
    <n v="0.27408227177470629"/>
  </r>
  <r>
    <x v="834"/>
    <x v="1"/>
    <x v="5"/>
    <x v="1"/>
    <x v="834"/>
    <n v="32742"/>
    <n v="767401"/>
    <n v="3315"/>
    <x v="12"/>
    <d v="2024-05-06T00:00:00"/>
    <n v="4.266608982787357"/>
    <n v="0.43197754498625879"/>
  </r>
  <r>
    <x v="835"/>
    <x v="0"/>
    <x v="4"/>
    <x v="2"/>
    <x v="835"/>
    <n v="68044"/>
    <n v="705225"/>
    <n v="3279"/>
    <x v="5"/>
    <d v="2024-05-13T00:00:00"/>
    <n v="9.6485518806054795"/>
    <n v="0.46495799213017119"/>
  </r>
  <r>
    <x v="836"/>
    <x v="3"/>
    <x v="0"/>
    <x v="1"/>
    <x v="836"/>
    <n v="14073"/>
    <n v="815253"/>
    <n v="4428"/>
    <x v="22"/>
    <d v="2024-04-19T00:00:00"/>
    <n v="1.7262125990336743"/>
    <n v="0.543144275458048"/>
  </r>
  <r>
    <x v="837"/>
    <x v="1"/>
    <x v="1"/>
    <x v="0"/>
    <x v="837"/>
    <n v="77020"/>
    <n v="242841"/>
    <n v="1584"/>
    <x v="1"/>
    <d v="2024-05-01T00:00:00"/>
    <n v="31.716225843247226"/>
    <n v="0.65227865146330311"/>
  </r>
  <r>
    <x v="838"/>
    <x v="1"/>
    <x v="3"/>
    <x v="1"/>
    <x v="838"/>
    <n v="81406"/>
    <n v="278740"/>
    <n v="710"/>
    <x v="0"/>
    <d v="2024-05-03T00:00:00"/>
    <n v="29.204993901126496"/>
    <n v="0.25471765803257512"/>
  </r>
  <r>
    <x v="839"/>
    <x v="2"/>
    <x v="3"/>
    <x v="1"/>
    <x v="839"/>
    <n v="13257"/>
    <n v="967597"/>
    <n v="944"/>
    <x v="23"/>
    <d v="2024-05-05T00:00:00"/>
    <n v="1.3700951945903099"/>
    <n v="9.7561278094082562E-2"/>
  </r>
  <r>
    <x v="840"/>
    <x v="0"/>
    <x v="3"/>
    <x v="2"/>
    <x v="840"/>
    <n v="34835"/>
    <n v="239272"/>
    <n v="1208"/>
    <x v="25"/>
    <d v="2024-04-24T00:00:00"/>
    <n v="14.558744859406866"/>
    <n v="0.50486475642783102"/>
  </r>
  <r>
    <x v="841"/>
    <x v="1"/>
    <x v="3"/>
    <x v="1"/>
    <x v="841"/>
    <n v="61666"/>
    <n v="380770"/>
    <n v="735"/>
    <x v="7"/>
    <d v="2024-04-23T00:00:00"/>
    <n v="16.195078393781024"/>
    <n v="0.19302991307088269"/>
  </r>
  <r>
    <x v="842"/>
    <x v="1"/>
    <x v="4"/>
    <x v="2"/>
    <x v="842"/>
    <n v="33803"/>
    <n v="706545"/>
    <n v="1918"/>
    <x v="7"/>
    <d v="2024-04-24T00:00:00"/>
    <n v="4.7842671025907766"/>
    <n v="0.27146183187199679"/>
  </r>
  <r>
    <x v="843"/>
    <x v="2"/>
    <x v="5"/>
    <x v="0"/>
    <x v="843"/>
    <n v="40291"/>
    <n v="709685"/>
    <n v="1544"/>
    <x v="25"/>
    <d v="2024-04-27T00:00:00"/>
    <n v="5.6773075378513003"/>
    <n v="0.2175613124132538"/>
  </r>
  <r>
    <x v="844"/>
    <x v="0"/>
    <x v="3"/>
    <x v="0"/>
    <x v="844"/>
    <n v="86716"/>
    <n v="414085"/>
    <n v="4284"/>
    <x v="1"/>
    <d v="2024-05-08T00:00:00"/>
    <n v="20.941594117149862"/>
    <n v="1.0345701969402417"/>
  </r>
  <r>
    <x v="845"/>
    <x v="2"/>
    <x v="2"/>
    <x v="2"/>
    <x v="845"/>
    <n v="52373"/>
    <n v="201809"/>
    <n v="356"/>
    <x v="12"/>
    <d v="2024-05-17T00:00:00"/>
    <n v="25.951766274051209"/>
    <n v="0.17640442200298304"/>
  </r>
  <r>
    <x v="846"/>
    <x v="1"/>
    <x v="3"/>
    <x v="4"/>
    <x v="846"/>
    <n v="80202"/>
    <n v="258814"/>
    <n v="3408"/>
    <x v="1"/>
    <d v="2024-05-10T00:00:00"/>
    <n v="30.988277295664069"/>
    <n v="1.3167757540163978"/>
  </r>
  <r>
    <x v="847"/>
    <x v="2"/>
    <x v="6"/>
    <x v="2"/>
    <x v="847"/>
    <n v="41015"/>
    <n v="516195"/>
    <n v="4507"/>
    <x v="5"/>
    <d v="2024-05-25T00:00:00"/>
    <n v="7.9456406977983134"/>
    <n v="0.87311965439417272"/>
  </r>
  <r>
    <x v="848"/>
    <x v="3"/>
    <x v="1"/>
    <x v="2"/>
    <x v="848"/>
    <n v="13385"/>
    <n v="769317"/>
    <n v="4470"/>
    <x v="21"/>
    <d v="2024-05-23T00:00:00"/>
    <n v="1.7398549622587307"/>
    <n v="0.58103486599152243"/>
  </r>
  <r>
    <x v="849"/>
    <x v="2"/>
    <x v="6"/>
    <x v="0"/>
    <x v="849"/>
    <n v="5577"/>
    <n v="663252"/>
    <n v="34"/>
    <x v="27"/>
    <d v="2024-05-16T00:00:00"/>
    <n v="0.84085686888241573"/>
    <n v="5.1262566867495314E-3"/>
  </r>
  <r>
    <x v="850"/>
    <x v="2"/>
    <x v="0"/>
    <x v="2"/>
    <x v="850"/>
    <n v="17465"/>
    <n v="295458"/>
    <n v="2335"/>
    <x v="6"/>
    <d v="2024-05-18T00:00:00"/>
    <n v="5.9111616541098906"/>
    <n v="0.79029845189502401"/>
  </r>
  <r>
    <x v="851"/>
    <x v="0"/>
    <x v="6"/>
    <x v="2"/>
    <x v="851"/>
    <n v="14553"/>
    <n v="655662"/>
    <n v="1973"/>
    <x v="8"/>
    <d v="2024-05-20T00:00:00"/>
    <n v="2.2195887515213633"/>
    <n v="0.30091724089546135"/>
  </r>
  <r>
    <x v="852"/>
    <x v="3"/>
    <x v="5"/>
    <x v="2"/>
    <x v="852"/>
    <n v="73020"/>
    <n v="616828"/>
    <n v="1916"/>
    <x v="9"/>
    <d v="2024-05-10T00:00:00"/>
    <n v="11.837984008508045"/>
    <n v="0.31062143741853482"/>
  </r>
  <r>
    <x v="853"/>
    <x v="2"/>
    <x v="1"/>
    <x v="3"/>
    <x v="853"/>
    <n v="38524"/>
    <n v="154841"/>
    <n v="500"/>
    <x v="22"/>
    <d v="2024-05-06T00:00:00"/>
    <n v="24.879715320877548"/>
    <n v="0.3229118902616232"/>
  </r>
  <r>
    <x v="854"/>
    <x v="1"/>
    <x v="0"/>
    <x v="3"/>
    <x v="854"/>
    <n v="7279"/>
    <n v="869993"/>
    <n v="1555"/>
    <x v="24"/>
    <d v="2024-05-17T00:00:00"/>
    <n v="0.83667339852159728"/>
    <n v="0.17873707029826677"/>
  </r>
  <r>
    <x v="855"/>
    <x v="0"/>
    <x v="0"/>
    <x v="1"/>
    <x v="855"/>
    <n v="99333"/>
    <n v="15580"/>
    <n v="1956"/>
    <x v="13"/>
    <d v="2024-05-29T00:00:00"/>
    <n v="637.56739409499357"/>
    <n v="12.554557124518615"/>
  </r>
  <r>
    <x v="856"/>
    <x v="0"/>
    <x v="3"/>
    <x v="2"/>
    <x v="856"/>
    <n v="66811"/>
    <n v="600222"/>
    <n v="541"/>
    <x v="21"/>
    <d v="2024-05-31T00:00:00"/>
    <n v="11.131048178840496"/>
    <n v="9.0133317339251146E-2"/>
  </r>
  <r>
    <x v="857"/>
    <x v="2"/>
    <x v="2"/>
    <x v="2"/>
    <x v="857"/>
    <n v="23272"/>
    <n v="920689"/>
    <n v="4846"/>
    <x v="20"/>
    <d v="2024-05-18T00:00:00"/>
    <n v="2.5276722107030714"/>
    <n v="0.5263449438409713"/>
  </r>
  <r>
    <x v="858"/>
    <x v="1"/>
    <x v="5"/>
    <x v="4"/>
    <x v="858"/>
    <n v="21477"/>
    <n v="478651"/>
    <n v="1857"/>
    <x v="16"/>
    <d v="2024-06-04T00:00:00"/>
    <n v="4.4869852982653331"/>
    <n v="0.38796534426962442"/>
  </r>
  <r>
    <x v="859"/>
    <x v="0"/>
    <x v="3"/>
    <x v="0"/>
    <x v="859"/>
    <n v="73314"/>
    <n v="659465"/>
    <n v="4190"/>
    <x v="0"/>
    <d v="2024-05-24T00:00:00"/>
    <n v="11.11719348259574"/>
    <n v="0.63536351436391625"/>
  </r>
  <r>
    <x v="860"/>
    <x v="0"/>
    <x v="2"/>
    <x v="4"/>
    <x v="860"/>
    <n v="82544"/>
    <n v="868338"/>
    <n v="1323"/>
    <x v="11"/>
    <d v="2024-05-20T00:00:00"/>
    <n v="9.5059757836234269"/>
    <n v="0.15236002570427645"/>
  </r>
  <r>
    <x v="861"/>
    <x v="0"/>
    <x v="3"/>
    <x v="1"/>
    <x v="861"/>
    <n v="2619"/>
    <n v="769848"/>
    <n v="2554"/>
    <x v="9"/>
    <d v="2024-05-19T00:00:00"/>
    <n v="0.34019702590641265"/>
    <n v="0.33175380075027799"/>
  </r>
  <r>
    <x v="862"/>
    <x v="1"/>
    <x v="0"/>
    <x v="4"/>
    <x v="862"/>
    <n v="80535"/>
    <n v="695736"/>
    <n v="3430"/>
    <x v="22"/>
    <d v="2024-05-15T00:00:00"/>
    <n v="11.575511400876195"/>
    <n v="0.49300309312727814"/>
  </r>
  <r>
    <x v="863"/>
    <x v="2"/>
    <x v="2"/>
    <x v="1"/>
    <x v="863"/>
    <n v="76466"/>
    <n v="910412"/>
    <n v="1392"/>
    <x v="14"/>
    <d v="2024-05-25T00:00:00"/>
    <n v="8.3990544940093059"/>
    <n v="0.15289780890410054"/>
  </r>
  <r>
    <x v="864"/>
    <x v="3"/>
    <x v="5"/>
    <x v="3"/>
    <x v="864"/>
    <n v="1673"/>
    <n v="689335"/>
    <n v="3910"/>
    <x v="10"/>
    <d v="2024-06-03T00:00:00"/>
    <n v="0.24269767239440909"/>
    <n v="0.56721332878788977"/>
  </r>
  <r>
    <x v="865"/>
    <x v="0"/>
    <x v="6"/>
    <x v="0"/>
    <x v="865"/>
    <n v="25496"/>
    <n v="998467"/>
    <n v="2528"/>
    <x v="13"/>
    <d v="2024-06-08T00:00:00"/>
    <n v="2.5535145377864268"/>
    <n v="0.25318813741465668"/>
  </r>
  <r>
    <x v="866"/>
    <x v="0"/>
    <x v="4"/>
    <x v="2"/>
    <x v="866"/>
    <n v="68477"/>
    <n v="428311"/>
    <n v="173"/>
    <x v="6"/>
    <d v="2024-06-03T00:00:00"/>
    <n v="15.987681848002969"/>
    <n v="4.0391211059253675E-2"/>
  </r>
  <r>
    <x v="867"/>
    <x v="2"/>
    <x v="2"/>
    <x v="0"/>
    <x v="867"/>
    <n v="27549"/>
    <n v="493884"/>
    <n v="4174"/>
    <x v="1"/>
    <d v="2024-05-31T00:00:00"/>
    <n v="5.5780304686930533"/>
    <n v="0.84513772464789305"/>
  </r>
  <r>
    <x v="868"/>
    <x v="2"/>
    <x v="4"/>
    <x v="2"/>
    <x v="868"/>
    <n v="4773"/>
    <n v="352308"/>
    <n v="2308"/>
    <x v="22"/>
    <d v="2024-05-21T00:00:00"/>
    <n v="1.3547804761742566"/>
    <n v="0.65510859815842959"/>
  </r>
  <r>
    <x v="869"/>
    <x v="0"/>
    <x v="6"/>
    <x v="3"/>
    <x v="869"/>
    <n v="49744"/>
    <n v="970369"/>
    <n v="2865"/>
    <x v="3"/>
    <d v="2024-06-09T00:00:00"/>
    <n v="5.1262973157633844"/>
    <n v="0.29524850855705403"/>
  </r>
  <r>
    <x v="870"/>
    <x v="2"/>
    <x v="0"/>
    <x v="4"/>
    <x v="870"/>
    <n v="45348"/>
    <n v="422582"/>
    <n v="2700"/>
    <x v="10"/>
    <d v="2024-06-09T00:00:00"/>
    <n v="10.731171701586911"/>
    <n v="0.63892924923446814"/>
  </r>
  <r>
    <x v="871"/>
    <x v="3"/>
    <x v="4"/>
    <x v="2"/>
    <x v="871"/>
    <n v="23329"/>
    <n v="165570"/>
    <n v="2215"/>
    <x v="7"/>
    <d v="2024-05-23T00:00:00"/>
    <n v="14.090112943166034"/>
    <n v="1.3378027420426406"/>
  </r>
  <r>
    <x v="872"/>
    <x v="2"/>
    <x v="5"/>
    <x v="1"/>
    <x v="872"/>
    <n v="75377"/>
    <n v="431509"/>
    <n v="2911"/>
    <x v="14"/>
    <d v="2024-06-03T00:00:00"/>
    <n v="17.468233571026328"/>
    <n v="0.67460933607410267"/>
  </r>
  <r>
    <x v="873"/>
    <x v="0"/>
    <x v="1"/>
    <x v="4"/>
    <x v="873"/>
    <n v="80108"/>
    <n v="716979"/>
    <n v="3385"/>
    <x v="19"/>
    <d v="2024-05-30T00:00:00"/>
    <n v="11.17299111968412"/>
    <n v="0.47211982498790067"/>
  </r>
  <r>
    <x v="874"/>
    <x v="0"/>
    <x v="4"/>
    <x v="3"/>
    <x v="874"/>
    <n v="98574"/>
    <n v="578767"/>
    <n v="12"/>
    <x v="0"/>
    <d v="2024-06-08T00:00:00"/>
    <n v="17.031724338118796"/>
    <n v="2.0733732227303904E-3"/>
  </r>
  <r>
    <x v="875"/>
    <x v="2"/>
    <x v="0"/>
    <x v="2"/>
    <x v="875"/>
    <n v="80622"/>
    <n v="856059"/>
    <n v="934"/>
    <x v="9"/>
    <d v="2024-06-02T00:00:00"/>
    <n v="9.4178088192519436"/>
    <n v="0.10910462947063228"/>
  </r>
  <r>
    <x v="876"/>
    <x v="2"/>
    <x v="2"/>
    <x v="0"/>
    <x v="876"/>
    <n v="26713"/>
    <n v="194511"/>
    <n v="2219"/>
    <x v="12"/>
    <d v="2024-06-17T00:00:00"/>
    <n v="13.733413534453065"/>
    <n v="1.1408095171995414"/>
  </r>
  <r>
    <x v="877"/>
    <x v="1"/>
    <x v="4"/>
    <x v="1"/>
    <x v="877"/>
    <n v="8077"/>
    <n v="245907"/>
    <n v="4225"/>
    <x v="28"/>
    <d v="2024-06-26T00:00:00"/>
    <n v="3.284575062930295"/>
    <n v="1.7181292114498572"/>
  </r>
  <r>
    <x v="878"/>
    <x v="1"/>
    <x v="2"/>
    <x v="1"/>
    <x v="878"/>
    <n v="31308"/>
    <n v="996074"/>
    <n v="66"/>
    <x v="2"/>
    <d v="2024-06-03T00:00:00"/>
    <n v="3.1431399675124538"/>
    <n v="6.6260137299036011E-3"/>
  </r>
  <r>
    <x v="879"/>
    <x v="1"/>
    <x v="6"/>
    <x v="0"/>
    <x v="879"/>
    <n v="62743"/>
    <n v="157929"/>
    <n v="4056"/>
    <x v="15"/>
    <d v="2024-06-24T00:00:00"/>
    <n v="39.728612224480621"/>
    <n v="2.5682426913359802"/>
  </r>
  <r>
    <x v="880"/>
    <x v="1"/>
    <x v="4"/>
    <x v="2"/>
    <x v="880"/>
    <n v="8798"/>
    <n v="392153"/>
    <n v="4861"/>
    <x v="10"/>
    <d v="2024-06-19T00:00:00"/>
    <n v="2.2435120985941714"/>
    <n v="1.2395672097370158"/>
  </r>
  <r>
    <x v="881"/>
    <x v="3"/>
    <x v="0"/>
    <x v="1"/>
    <x v="881"/>
    <n v="2532"/>
    <n v="85785"/>
    <n v="3176"/>
    <x v="23"/>
    <d v="2024-06-16T00:00:00"/>
    <n v="2.9515649589089001"/>
    <n v="3.702278953196946"/>
  </r>
  <r>
    <x v="882"/>
    <x v="1"/>
    <x v="3"/>
    <x v="1"/>
    <x v="882"/>
    <n v="22197"/>
    <n v="765841"/>
    <n v="1467"/>
    <x v="13"/>
    <d v="2024-06-25T00:00:00"/>
    <n v="2.8983823012870817"/>
    <n v="0.19155412154742302"/>
  </r>
  <r>
    <x v="883"/>
    <x v="2"/>
    <x v="0"/>
    <x v="1"/>
    <x v="883"/>
    <n v="99394"/>
    <n v="57012"/>
    <n v="1837"/>
    <x v="3"/>
    <d v="2024-06-23T00:00:00"/>
    <n v="174.33873570476391"/>
    <n v="3.2221286746649827"/>
  </r>
  <r>
    <x v="884"/>
    <x v="2"/>
    <x v="4"/>
    <x v="0"/>
    <x v="884"/>
    <n v="9803"/>
    <n v="894048"/>
    <n v="3542"/>
    <x v="10"/>
    <d v="2024-06-23T00:00:00"/>
    <n v="1.096473567414725"/>
    <n v="0.39617559683596409"/>
  </r>
  <r>
    <x v="885"/>
    <x v="2"/>
    <x v="3"/>
    <x v="0"/>
    <x v="885"/>
    <n v="87152"/>
    <n v="250231"/>
    <n v="708"/>
    <x v="0"/>
    <d v="2024-06-19T00:00:00"/>
    <n v="34.828618356638465"/>
    <n v="0.28293856476615609"/>
  </r>
  <r>
    <x v="886"/>
    <x v="2"/>
    <x v="6"/>
    <x v="3"/>
    <x v="886"/>
    <n v="30987"/>
    <n v="123623"/>
    <n v="320"/>
    <x v="9"/>
    <d v="2024-06-13T00:00:00"/>
    <n v="25.065724015757585"/>
    <n v="0.25885150821449088"/>
  </r>
  <r>
    <x v="887"/>
    <x v="2"/>
    <x v="5"/>
    <x v="2"/>
    <x v="887"/>
    <n v="30626"/>
    <n v="34019"/>
    <n v="3265"/>
    <x v="16"/>
    <d v="2024-07-03T00:00:00"/>
    <n v="90.026161850730475"/>
    <n v="9.5975778241570886"/>
  </r>
  <r>
    <x v="888"/>
    <x v="1"/>
    <x v="1"/>
    <x v="2"/>
    <x v="888"/>
    <n v="65962"/>
    <n v="763905"/>
    <n v="4892"/>
    <x v="8"/>
    <d v="2024-06-26T00:00:00"/>
    <n v="8.6348433378496008"/>
    <n v="0.64039376624056654"/>
  </r>
  <r>
    <x v="889"/>
    <x v="2"/>
    <x v="1"/>
    <x v="4"/>
    <x v="889"/>
    <n v="22763"/>
    <n v="460744"/>
    <n v="4733"/>
    <x v="20"/>
    <d v="2024-06-19T00:00:00"/>
    <n v="4.9404875592519923"/>
    <n v="1.0272515757123262"/>
  </r>
  <r>
    <x v="890"/>
    <x v="3"/>
    <x v="6"/>
    <x v="2"/>
    <x v="890"/>
    <n v="3762"/>
    <n v="814428"/>
    <n v="1758"/>
    <x v="3"/>
    <d v="2024-06-30T00:00:00"/>
    <n v="0.46191928568271223"/>
    <n v="0.21585701866831691"/>
  </r>
  <r>
    <x v="891"/>
    <x v="2"/>
    <x v="4"/>
    <x v="2"/>
    <x v="891"/>
    <n v="44300"/>
    <n v="365165"/>
    <n v="394"/>
    <x v="28"/>
    <d v="2024-07-10T00:00:00"/>
    <n v="12.131502197636685"/>
    <n v="0.10789643038078678"/>
  </r>
  <r>
    <x v="892"/>
    <x v="2"/>
    <x v="4"/>
    <x v="3"/>
    <x v="892"/>
    <n v="69961"/>
    <n v="758182"/>
    <n v="1421"/>
    <x v="6"/>
    <d v="2024-06-29T00:00:00"/>
    <n v="9.2274678111587995"/>
    <n v="0.187422017404792"/>
  </r>
  <r>
    <x v="893"/>
    <x v="0"/>
    <x v="3"/>
    <x v="0"/>
    <x v="893"/>
    <n v="9309"/>
    <n v="355640"/>
    <n v="3543"/>
    <x v="3"/>
    <d v="2024-07-03T00:00:00"/>
    <n v="2.6175345855359353"/>
    <n v="0.99623214486559442"/>
  </r>
  <r>
    <x v="894"/>
    <x v="0"/>
    <x v="4"/>
    <x v="3"/>
    <x v="894"/>
    <n v="6709"/>
    <n v="169997"/>
    <n v="2409"/>
    <x v="7"/>
    <d v="2024-06-15T00:00:00"/>
    <n v="3.9465402330629362"/>
    <n v="1.4170838308911333"/>
  </r>
  <r>
    <x v="895"/>
    <x v="2"/>
    <x v="4"/>
    <x v="0"/>
    <x v="895"/>
    <n v="4271"/>
    <n v="832812"/>
    <n v="1342"/>
    <x v="21"/>
    <d v="2024-07-09T00:00:00"/>
    <n v="0.51284083322526564"/>
    <n v="0.1611408096905424"/>
  </r>
  <r>
    <x v="896"/>
    <x v="2"/>
    <x v="6"/>
    <x v="2"/>
    <x v="896"/>
    <n v="65423"/>
    <n v="363530"/>
    <n v="3255"/>
    <x v="17"/>
    <d v="2024-07-08T00:00:00"/>
    <n v="17.996589002283166"/>
    <n v="0.89538690066844551"/>
  </r>
  <r>
    <x v="897"/>
    <x v="2"/>
    <x v="0"/>
    <x v="0"/>
    <x v="897"/>
    <n v="38168"/>
    <n v="432390"/>
    <n v="2799"/>
    <x v="8"/>
    <d v="2024-07-05T00:00:00"/>
    <n v="8.8272161705867394"/>
    <n v="0.64733226947894262"/>
  </r>
  <r>
    <x v="898"/>
    <x v="1"/>
    <x v="1"/>
    <x v="2"/>
    <x v="898"/>
    <n v="96783"/>
    <n v="84870"/>
    <n v="738"/>
    <x v="7"/>
    <d v="2024-06-19T00:00:00"/>
    <n v="114.03676210675151"/>
    <n v="0.86956521739130432"/>
  </r>
  <r>
    <x v="899"/>
    <x v="1"/>
    <x v="2"/>
    <x v="0"/>
    <x v="899"/>
    <n v="79677"/>
    <n v="971547"/>
    <n v="53"/>
    <x v="2"/>
    <d v="2024-06-24T00:00:00"/>
    <n v="8.2010443138623259"/>
    <n v="5.4552172977735507E-3"/>
  </r>
  <r>
    <x v="900"/>
    <x v="2"/>
    <x v="3"/>
    <x v="0"/>
    <x v="900"/>
    <n v="59219"/>
    <n v="486773"/>
    <n v="618"/>
    <x v="9"/>
    <d v="2024-06-27T00:00:00"/>
    <n v="12.165629564499264"/>
    <n v="0.12695856179369028"/>
  </r>
  <r>
    <x v="901"/>
    <x v="2"/>
    <x v="6"/>
    <x v="3"/>
    <x v="901"/>
    <n v="58989"/>
    <n v="845793"/>
    <n v="4769"/>
    <x v="1"/>
    <d v="2024-07-04T00:00:00"/>
    <n v="6.9744015379649626"/>
    <n v="0.56384954711140911"/>
  </r>
  <r>
    <x v="902"/>
    <x v="1"/>
    <x v="3"/>
    <x v="1"/>
    <x v="902"/>
    <n v="56480"/>
    <n v="250018"/>
    <n v="107"/>
    <x v="1"/>
    <d v="2024-07-05T00:00:00"/>
    <n v="22.590373493108494"/>
    <n v="4.2796918621859227E-2"/>
  </r>
  <r>
    <x v="903"/>
    <x v="3"/>
    <x v="0"/>
    <x v="3"/>
    <x v="903"/>
    <n v="33260"/>
    <n v="986239"/>
    <n v="2272"/>
    <x v="20"/>
    <d v="2024-07-03T00:00:00"/>
    <n v="3.3724077023926249"/>
    <n v="0.23037012326626707"/>
  </r>
  <r>
    <x v="904"/>
    <x v="1"/>
    <x v="2"/>
    <x v="2"/>
    <x v="904"/>
    <n v="79757"/>
    <n v="195407"/>
    <n v="1680"/>
    <x v="17"/>
    <d v="2024-07-16T00:00:00"/>
    <n v="40.81583566607133"/>
    <n v="0.85974402145266027"/>
  </r>
  <r>
    <x v="905"/>
    <x v="1"/>
    <x v="0"/>
    <x v="2"/>
    <x v="905"/>
    <n v="76418"/>
    <n v="344209"/>
    <n v="419"/>
    <x v="8"/>
    <d v="2024-07-13T00:00:00"/>
    <n v="22.201046457239642"/>
    <n v="0.12172836852028855"/>
  </r>
  <r>
    <x v="906"/>
    <x v="2"/>
    <x v="4"/>
    <x v="2"/>
    <x v="906"/>
    <n v="60596"/>
    <n v="828327"/>
    <n v="2325"/>
    <x v="13"/>
    <d v="2024-07-19T00:00:00"/>
    <n v="7.3154684080079484"/>
    <n v="0.28068625071982439"/>
  </r>
  <r>
    <x v="907"/>
    <x v="2"/>
    <x v="6"/>
    <x v="1"/>
    <x v="907"/>
    <n v="57079"/>
    <n v="161545"/>
    <n v="3949"/>
    <x v="4"/>
    <d v="2024-07-25T00:00:00"/>
    <n v="35.333188894735216"/>
    <n v="2.4445201027577452"/>
  </r>
  <r>
    <x v="908"/>
    <x v="2"/>
    <x v="5"/>
    <x v="1"/>
    <x v="908"/>
    <n v="40035"/>
    <n v="820742"/>
    <n v="4858"/>
    <x v="17"/>
    <d v="2024-07-20T00:00:00"/>
    <n v="4.8779031656720377"/>
    <n v="0.59190342397489104"/>
  </r>
  <r>
    <x v="909"/>
    <x v="0"/>
    <x v="3"/>
    <x v="2"/>
    <x v="909"/>
    <n v="84720"/>
    <n v="962717"/>
    <n v="3501"/>
    <x v="10"/>
    <d v="2024-07-18T00:00:00"/>
    <n v="8.8000939009075356"/>
    <n v="0.36365827132999629"/>
  </r>
  <r>
    <x v="910"/>
    <x v="0"/>
    <x v="6"/>
    <x v="3"/>
    <x v="910"/>
    <n v="3280"/>
    <n v="664996"/>
    <n v="1074"/>
    <x v="24"/>
    <d v="2024-07-12T00:00:00"/>
    <n v="0.4932360495401476"/>
    <n v="0.16150473085552394"/>
  </r>
  <r>
    <x v="911"/>
    <x v="3"/>
    <x v="4"/>
    <x v="2"/>
    <x v="911"/>
    <n v="52825"/>
    <n v="987501"/>
    <n v="4768"/>
    <x v="19"/>
    <d v="2024-07-07T00:00:00"/>
    <n v="5.3493616715324839"/>
    <n v="0.48283495409118571"/>
  </r>
  <r>
    <x v="912"/>
    <x v="3"/>
    <x v="2"/>
    <x v="2"/>
    <x v="912"/>
    <n v="98283"/>
    <n v="84939"/>
    <n v="4028"/>
    <x v="18"/>
    <d v="2024-07-10T00:00:00"/>
    <n v="115.71009783491681"/>
    <n v="4.7422267745087652"/>
  </r>
  <r>
    <x v="913"/>
    <x v="3"/>
    <x v="1"/>
    <x v="4"/>
    <x v="913"/>
    <n v="20933"/>
    <n v="158981"/>
    <n v="1506"/>
    <x v="3"/>
    <d v="2024-07-23T00:00:00"/>
    <n v="13.166982218000895"/>
    <n v="0.94728300866141235"/>
  </r>
  <r>
    <x v="914"/>
    <x v="3"/>
    <x v="0"/>
    <x v="4"/>
    <x v="914"/>
    <n v="80289"/>
    <n v="273306"/>
    <n v="1505"/>
    <x v="20"/>
    <d v="2024-07-14T00:00:00"/>
    <n v="29.376962086452547"/>
    <n v="0.55066482257981897"/>
  </r>
  <r>
    <x v="915"/>
    <x v="2"/>
    <x v="1"/>
    <x v="0"/>
    <x v="915"/>
    <n v="96220"/>
    <n v="970982"/>
    <n v="960"/>
    <x v="13"/>
    <d v="2024-07-28T00:00:00"/>
    <n v="9.9095554809460928"/>
    <n v="9.8868980063482131E-2"/>
  </r>
  <r>
    <x v="916"/>
    <x v="2"/>
    <x v="0"/>
    <x v="4"/>
    <x v="916"/>
    <n v="46514"/>
    <n v="290732"/>
    <n v="1043"/>
    <x v="24"/>
    <d v="2024-07-18T00:00:00"/>
    <n v="15.998926846717939"/>
    <n v="0.35874963884264544"/>
  </r>
  <r>
    <x v="917"/>
    <x v="2"/>
    <x v="3"/>
    <x v="4"/>
    <x v="917"/>
    <n v="54995"/>
    <n v="841989"/>
    <n v="1661"/>
    <x v="11"/>
    <d v="2024-07-16T00:00:00"/>
    <n v="6.5315580132282021"/>
    <n v="0.19727098572546675"/>
  </r>
  <r>
    <x v="918"/>
    <x v="1"/>
    <x v="2"/>
    <x v="1"/>
    <x v="918"/>
    <n v="22055"/>
    <n v="624188"/>
    <n v="3427"/>
    <x v="10"/>
    <d v="2024-07-27T00:00:00"/>
    <n v="3.5333905810428909"/>
    <n v="0.54903330406864592"/>
  </r>
  <r>
    <x v="919"/>
    <x v="2"/>
    <x v="0"/>
    <x v="0"/>
    <x v="919"/>
    <n v="89086"/>
    <n v="618968"/>
    <n v="4317"/>
    <x v="8"/>
    <d v="2024-07-27T00:00:00"/>
    <n v="14.392666502953302"/>
    <n v="0.6974512414212044"/>
  </r>
  <r>
    <x v="920"/>
    <x v="0"/>
    <x v="3"/>
    <x v="0"/>
    <x v="920"/>
    <n v="89710"/>
    <n v="400715"/>
    <n v="4234"/>
    <x v="13"/>
    <d v="2024-08-02T00:00:00"/>
    <n v="22.387482375254233"/>
    <n v="1.0566113072882224"/>
  </r>
  <r>
    <x v="921"/>
    <x v="1"/>
    <x v="1"/>
    <x v="1"/>
    <x v="921"/>
    <n v="65907"/>
    <n v="491545"/>
    <n v="4143"/>
    <x v="11"/>
    <d v="2024-07-20T00:00:00"/>
    <n v="13.408131503728042"/>
    <n v="0.84285263811044764"/>
  </r>
  <r>
    <x v="922"/>
    <x v="1"/>
    <x v="2"/>
    <x v="4"/>
    <x v="922"/>
    <n v="14524"/>
    <n v="340308"/>
    <n v="3091"/>
    <x v="1"/>
    <d v="2024-07-25T00:00:00"/>
    <n v="4.2678984919543472"/>
    <n v="0.90829483879309325"/>
  </r>
  <r>
    <x v="923"/>
    <x v="2"/>
    <x v="4"/>
    <x v="2"/>
    <x v="923"/>
    <n v="11541"/>
    <n v="700230"/>
    <n v="1320"/>
    <x v="8"/>
    <d v="2024-07-31T00:00:00"/>
    <n v="1.6481727432415063"/>
    <n v="0.18850948973908574"/>
  </r>
  <r>
    <x v="924"/>
    <x v="2"/>
    <x v="5"/>
    <x v="1"/>
    <x v="924"/>
    <n v="17455"/>
    <n v="476598"/>
    <n v="1257"/>
    <x v="23"/>
    <d v="2024-07-29T00:00:00"/>
    <n v="3.6624157046399692"/>
    <n v="0.26374428763863889"/>
  </r>
  <r>
    <x v="925"/>
    <x v="2"/>
    <x v="4"/>
    <x v="3"/>
    <x v="925"/>
    <n v="28089"/>
    <n v="678970"/>
    <n v="932"/>
    <x v="5"/>
    <d v="2024-08-11T00:00:00"/>
    <n v="4.1370016348292262"/>
    <n v="0.13726674227138166"/>
  </r>
  <r>
    <x v="926"/>
    <x v="0"/>
    <x v="0"/>
    <x v="4"/>
    <x v="926"/>
    <n v="43803"/>
    <n v="651320"/>
    <n v="611"/>
    <x v="6"/>
    <d v="2024-08-02T00:00:00"/>
    <n v="6.7252656144445133"/>
    <n v="9.3809494564883619E-2"/>
  </r>
  <r>
    <x v="927"/>
    <x v="1"/>
    <x v="1"/>
    <x v="0"/>
    <x v="927"/>
    <n v="33358"/>
    <n v="596036"/>
    <n v="3594"/>
    <x v="24"/>
    <d v="2024-07-29T00:00:00"/>
    <n v="5.59664181358173"/>
    <n v="0.60298371239321114"/>
  </r>
  <r>
    <x v="928"/>
    <x v="0"/>
    <x v="1"/>
    <x v="0"/>
    <x v="928"/>
    <n v="52595"/>
    <n v="315279"/>
    <n v="4036"/>
    <x v="11"/>
    <d v="2024-07-27T00:00:00"/>
    <n v="16.682049866943245"/>
    <n v="1.2801360065212082"/>
  </r>
  <r>
    <x v="929"/>
    <x v="2"/>
    <x v="6"/>
    <x v="3"/>
    <x v="929"/>
    <n v="28007"/>
    <n v="765052"/>
    <n v="2168"/>
    <x v="0"/>
    <d v="2024-08-02T00:00:00"/>
    <n v="3.6607969131510014"/>
    <n v="0.28337943041780167"/>
  </r>
  <r>
    <x v="930"/>
    <x v="2"/>
    <x v="6"/>
    <x v="4"/>
    <x v="930"/>
    <n v="69451"/>
    <n v="957623"/>
    <n v="4765"/>
    <x v="19"/>
    <d v="2024-07-26T00:00:00"/>
    <n v="7.2524365016295551"/>
    <n v="0.49758621085750865"/>
  </r>
  <r>
    <x v="931"/>
    <x v="1"/>
    <x v="0"/>
    <x v="4"/>
    <x v="931"/>
    <n v="65175"/>
    <n v="720471"/>
    <n v="563"/>
    <x v="2"/>
    <d v="2024-07-26T00:00:00"/>
    <n v="9.0461656333148728"/>
    <n v="7.8143325685558471E-2"/>
  </r>
  <r>
    <x v="932"/>
    <x v="0"/>
    <x v="2"/>
    <x v="4"/>
    <x v="932"/>
    <n v="7802"/>
    <n v="204265"/>
    <n v="4682"/>
    <x v="8"/>
    <d v="2024-08-09T00:00:00"/>
    <n v="3.819548135999804"/>
    <n v="2.2921205297040608"/>
  </r>
  <r>
    <x v="933"/>
    <x v="0"/>
    <x v="0"/>
    <x v="1"/>
    <x v="933"/>
    <n v="44694"/>
    <n v="138520"/>
    <n v="2280"/>
    <x v="5"/>
    <d v="2024-08-19T00:00:00"/>
    <n v="32.265376840889402"/>
    <n v="1.6459717008374242"/>
  </r>
  <r>
    <x v="934"/>
    <x v="2"/>
    <x v="2"/>
    <x v="1"/>
    <x v="934"/>
    <n v="98614"/>
    <n v="407526"/>
    <n v="2824"/>
    <x v="4"/>
    <d v="2024-08-21T00:00:00"/>
    <n v="24.198210666313315"/>
    <n v="0.69296192144795665"/>
  </r>
  <r>
    <x v="935"/>
    <x v="3"/>
    <x v="4"/>
    <x v="0"/>
    <x v="935"/>
    <n v="79217"/>
    <n v="575037"/>
    <n v="3426"/>
    <x v="9"/>
    <d v="2024-08-01T00:00:00"/>
    <n v="13.77598311065201"/>
    <n v="0.59578774931004441"/>
  </r>
  <r>
    <x v="936"/>
    <x v="2"/>
    <x v="2"/>
    <x v="3"/>
    <x v="936"/>
    <n v="94469"/>
    <n v="877568"/>
    <n v="4964"/>
    <x v="6"/>
    <d v="2024-08-12T00:00:00"/>
    <n v="10.764863805425904"/>
    <n v="0.5656541715285881"/>
  </r>
  <r>
    <x v="937"/>
    <x v="0"/>
    <x v="3"/>
    <x v="0"/>
    <x v="937"/>
    <n v="29279"/>
    <n v="457091"/>
    <n v="531"/>
    <x v="24"/>
    <d v="2024-08-08T00:00:00"/>
    <n v="6.4055078747995475"/>
    <n v="0.11616942796948528"/>
  </r>
  <r>
    <x v="938"/>
    <x v="2"/>
    <x v="2"/>
    <x v="0"/>
    <x v="938"/>
    <n v="53699"/>
    <n v="750206"/>
    <n v="2471"/>
    <x v="21"/>
    <d v="2024-08-21T00:00:00"/>
    <n v="7.1579006299603041"/>
    <n v="0.32937619800428147"/>
  </r>
  <r>
    <x v="939"/>
    <x v="2"/>
    <x v="4"/>
    <x v="4"/>
    <x v="939"/>
    <n v="34661"/>
    <n v="358324"/>
    <n v="2572"/>
    <x v="18"/>
    <d v="2024-08-06T00:00:00"/>
    <n v="9.6730891595315978"/>
    <n v="0.71778613768544663"/>
  </r>
  <r>
    <x v="940"/>
    <x v="0"/>
    <x v="3"/>
    <x v="0"/>
    <x v="940"/>
    <n v="66065"/>
    <n v="645941"/>
    <n v="4909"/>
    <x v="26"/>
    <d v="2024-08-03T00:00:00"/>
    <n v="10.227714295887704"/>
    <n v="0.7599765303642283"/>
  </r>
  <r>
    <x v="941"/>
    <x v="2"/>
    <x v="2"/>
    <x v="2"/>
    <x v="941"/>
    <n v="22182"/>
    <n v="159598"/>
    <n v="918"/>
    <x v="12"/>
    <d v="2024-08-21T00:00:00"/>
    <n v="13.898670409403627"/>
    <n v="0.57519517788443464"/>
  </r>
  <r>
    <x v="942"/>
    <x v="1"/>
    <x v="4"/>
    <x v="1"/>
    <x v="942"/>
    <n v="4509"/>
    <n v="569499"/>
    <n v="3548"/>
    <x v="26"/>
    <d v="2024-08-05T00:00:00"/>
    <n v="0.79174853687188218"/>
    <n v="0.62300372783797686"/>
  </r>
  <r>
    <x v="943"/>
    <x v="1"/>
    <x v="3"/>
    <x v="0"/>
    <x v="943"/>
    <n v="98389"/>
    <n v="700237"/>
    <n v="2760"/>
    <x v="7"/>
    <d v="2024-08-03T00:00:00"/>
    <n v="14.050814224326908"/>
    <n v="0.39415226559007877"/>
  </r>
  <r>
    <x v="944"/>
    <x v="2"/>
    <x v="4"/>
    <x v="1"/>
    <x v="944"/>
    <n v="28012"/>
    <n v="669065"/>
    <n v="531"/>
    <x v="25"/>
    <d v="2024-08-06T00:00:00"/>
    <n v="4.1867382092920717"/>
    <n v="7.9364486260677214E-2"/>
  </r>
  <r>
    <x v="945"/>
    <x v="0"/>
    <x v="3"/>
    <x v="2"/>
    <x v="945"/>
    <n v="35883"/>
    <n v="500784"/>
    <n v="2953"/>
    <x v="16"/>
    <d v="2024-08-30T00:00:00"/>
    <n v="7.1653647081376404"/>
    <n v="0.58967538899006355"/>
  </r>
  <r>
    <x v="946"/>
    <x v="0"/>
    <x v="4"/>
    <x v="3"/>
    <x v="946"/>
    <n v="26912"/>
    <n v="586022"/>
    <n v="2109"/>
    <x v="6"/>
    <d v="2024-08-22T00:00:00"/>
    <n v="4.5923190596940051"/>
    <n v="0.35988409991433767"/>
  </r>
  <r>
    <x v="947"/>
    <x v="0"/>
    <x v="4"/>
    <x v="0"/>
    <x v="947"/>
    <n v="73289"/>
    <n v="521001"/>
    <n v="3016"/>
    <x v="15"/>
    <d v="2024-08-31T00:00:00"/>
    <n v="14.066959564377035"/>
    <n v="0.57888564513311869"/>
  </r>
  <r>
    <x v="948"/>
    <x v="2"/>
    <x v="2"/>
    <x v="0"/>
    <x v="948"/>
    <n v="22590"/>
    <n v="279885"/>
    <n v="977"/>
    <x v="26"/>
    <d v="2024-08-11T00:00:00"/>
    <n v="8.0711720885363629"/>
    <n v="0.34907194026117871"/>
  </r>
  <r>
    <x v="949"/>
    <x v="1"/>
    <x v="1"/>
    <x v="1"/>
    <x v="949"/>
    <n v="1208"/>
    <n v="350758"/>
    <n v="4830"/>
    <x v="20"/>
    <d v="2024-08-18T00:00:00"/>
    <n v="0.34439699165806625"/>
    <n v="1.3770177729374669"/>
  </r>
  <r>
    <x v="950"/>
    <x v="2"/>
    <x v="4"/>
    <x v="3"/>
    <x v="950"/>
    <n v="97434"/>
    <n v="983959"/>
    <n v="4849"/>
    <x v="2"/>
    <d v="2024-08-14T00:00:00"/>
    <n v="9.9022418617035868"/>
    <n v="0.49280508639079473"/>
  </r>
  <r>
    <x v="951"/>
    <x v="2"/>
    <x v="5"/>
    <x v="4"/>
    <x v="951"/>
    <n v="48694"/>
    <n v="559500"/>
    <n v="4649"/>
    <x v="27"/>
    <d v="2024-08-26T00:00:00"/>
    <n v="8.7031277926720296"/>
    <n v="0.83092046470062542"/>
  </r>
  <r>
    <x v="952"/>
    <x v="2"/>
    <x v="0"/>
    <x v="1"/>
    <x v="952"/>
    <n v="38989"/>
    <n v="153817"/>
    <n v="377"/>
    <x v="16"/>
    <d v="2024-09-06T00:00:00"/>
    <n v="25.34765338031557"/>
    <n v="0.24509644577647466"/>
  </r>
  <r>
    <x v="953"/>
    <x v="3"/>
    <x v="3"/>
    <x v="3"/>
    <x v="953"/>
    <n v="58971"/>
    <n v="268554"/>
    <n v="4875"/>
    <x v="26"/>
    <d v="2024-08-16T00:00:00"/>
    <n v="21.958712214303269"/>
    <n v="1.8152773743828055"/>
  </r>
  <r>
    <x v="954"/>
    <x v="0"/>
    <x v="6"/>
    <x v="4"/>
    <x v="954"/>
    <n v="40453"/>
    <n v="421532"/>
    <n v="447"/>
    <x v="6"/>
    <d v="2024-08-30T00:00:00"/>
    <n v="9.5966617006538044"/>
    <n v="0.1060417714432119"/>
  </r>
  <r>
    <x v="955"/>
    <x v="0"/>
    <x v="1"/>
    <x v="2"/>
    <x v="955"/>
    <n v="65858"/>
    <n v="969351"/>
    <n v="4808"/>
    <x v="9"/>
    <d v="2024-08-21T00:00:00"/>
    <n v="6.7940302325989244"/>
    <n v="0.49600196420079001"/>
  </r>
  <r>
    <x v="956"/>
    <x v="1"/>
    <x v="4"/>
    <x v="3"/>
    <x v="956"/>
    <n v="63148"/>
    <n v="864210"/>
    <n v="4994"/>
    <x v="8"/>
    <d v="2024-09-02T00:00:00"/>
    <n v="7.3070202844216103"/>
    <n v="0.57786880503581306"/>
  </r>
  <r>
    <x v="957"/>
    <x v="1"/>
    <x v="2"/>
    <x v="1"/>
    <x v="957"/>
    <n v="30451"/>
    <n v="779048"/>
    <n v="2058"/>
    <x v="15"/>
    <d v="2024-09-10T00:00:00"/>
    <n v="3.9087450323985173"/>
    <n v="0.26416857497869195"/>
  </r>
  <r>
    <x v="958"/>
    <x v="1"/>
    <x v="2"/>
    <x v="2"/>
    <x v="958"/>
    <n v="30469"/>
    <n v="541213"/>
    <n v="4408"/>
    <x v="13"/>
    <d v="2024-09-09T00:00:00"/>
    <n v="5.6297612954603826"/>
    <n v="0.81446676262395767"/>
  </r>
  <r>
    <x v="959"/>
    <x v="1"/>
    <x v="4"/>
    <x v="2"/>
    <x v="959"/>
    <n v="47207"/>
    <n v="842309"/>
    <n v="4939"/>
    <x v="12"/>
    <d v="2024-09-08T00:00:00"/>
    <n v="5.6044753172529322"/>
    <n v="0.58636438646624933"/>
  </r>
  <r>
    <x v="960"/>
    <x v="1"/>
    <x v="1"/>
    <x v="0"/>
    <x v="960"/>
    <n v="87382"/>
    <n v="986466"/>
    <n v="184"/>
    <x v="21"/>
    <d v="2024-09-12T00:00:00"/>
    <n v="8.8580853268130877"/>
    <n v="1.8652442152086335E-2"/>
  </r>
  <r>
    <x v="961"/>
    <x v="2"/>
    <x v="4"/>
    <x v="3"/>
    <x v="961"/>
    <n v="24181"/>
    <n v="513941"/>
    <n v="1052"/>
    <x v="26"/>
    <d v="2024-08-24T00:00:00"/>
    <n v="4.7050147779608942"/>
    <n v="0.20469275656155084"/>
  </r>
  <r>
    <x v="962"/>
    <x v="2"/>
    <x v="1"/>
    <x v="4"/>
    <x v="962"/>
    <n v="85825"/>
    <n v="11518"/>
    <n v="4760"/>
    <x v="24"/>
    <d v="2024-09-02T00:00:00"/>
    <n v="745.1380447994444"/>
    <n v="41.326619204723045"/>
  </r>
  <r>
    <x v="963"/>
    <x v="3"/>
    <x v="3"/>
    <x v="3"/>
    <x v="963"/>
    <n v="61969"/>
    <n v="368521"/>
    <n v="4325"/>
    <x v="0"/>
    <d v="2024-09-05T00:00:00"/>
    <n v="16.815595312071768"/>
    <n v="1.1736101877504945"/>
  </r>
  <r>
    <x v="964"/>
    <x v="1"/>
    <x v="3"/>
    <x v="4"/>
    <x v="964"/>
    <n v="34346"/>
    <n v="498013"/>
    <n v="2639"/>
    <x v="14"/>
    <d v="2024-09-03T00:00:00"/>
    <n v="6.8966071166816922"/>
    <n v="0.52990584583133371"/>
  </r>
  <r>
    <x v="965"/>
    <x v="3"/>
    <x v="4"/>
    <x v="1"/>
    <x v="965"/>
    <n v="24338"/>
    <n v="919344"/>
    <n v="298"/>
    <x v="8"/>
    <d v="2024-09-11T00:00:00"/>
    <n v="2.6473224386083993"/>
    <n v="3.24144172366383E-2"/>
  </r>
  <r>
    <x v="966"/>
    <x v="2"/>
    <x v="4"/>
    <x v="4"/>
    <x v="966"/>
    <n v="20338"/>
    <n v="583306"/>
    <n v="1049"/>
    <x v="1"/>
    <d v="2024-09-07T00:00:00"/>
    <n v="3.4866776614675659"/>
    <n v="0.17983699807648132"/>
  </r>
  <r>
    <x v="967"/>
    <x v="1"/>
    <x v="0"/>
    <x v="1"/>
    <x v="967"/>
    <n v="2423"/>
    <n v="680534"/>
    <n v="1258"/>
    <x v="12"/>
    <d v="2024-09-16T00:00:00"/>
    <n v="0.3560439302077486"/>
    <n v="0.18485483458578117"/>
  </r>
  <r>
    <x v="968"/>
    <x v="2"/>
    <x v="6"/>
    <x v="2"/>
    <x v="968"/>
    <n v="4707"/>
    <n v="874765"/>
    <n v="3253"/>
    <x v="1"/>
    <d v="2024-09-09T00:00:00"/>
    <n v="0.53808737203706136"/>
    <n v="0.37187130257840678"/>
  </r>
  <r>
    <x v="969"/>
    <x v="2"/>
    <x v="0"/>
    <x v="2"/>
    <x v="969"/>
    <n v="39516"/>
    <n v="708267"/>
    <n v="4203"/>
    <x v="28"/>
    <d v="2024-09-26T00:00:00"/>
    <n v="5.5792518922948551"/>
    <n v="0.59342027794602881"/>
  </r>
  <r>
    <x v="970"/>
    <x v="2"/>
    <x v="3"/>
    <x v="3"/>
    <x v="970"/>
    <n v="13968"/>
    <n v="345818"/>
    <n v="589"/>
    <x v="27"/>
    <d v="2024-09-14T00:00:00"/>
    <n v="4.0391188428595388"/>
    <n v="0.17032080458507076"/>
  </r>
  <r>
    <x v="971"/>
    <x v="2"/>
    <x v="2"/>
    <x v="3"/>
    <x v="971"/>
    <n v="11520"/>
    <n v="230813"/>
    <n v="4397"/>
    <x v="23"/>
    <d v="2024-09-14T00:00:00"/>
    <n v="4.9910533635453804"/>
    <n v="1.9050053506518263"/>
  </r>
  <r>
    <x v="972"/>
    <x v="3"/>
    <x v="3"/>
    <x v="0"/>
    <x v="972"/>
    <n v="73547"/>
    <n v="281624"/>
    <n v="3134"/>
    <x v="8"/>
    <d v="2024-09-18T00:00:00"/>
    <n v="26.115316876402577"/>
    <n v="1.1128312927875466"/>
  </r>
  <r>
    <x v="973"/>
    <x v="2"/>
    <x v="1"/>
    <x v="1"/>
    <x v="973"/>
    <n v="38487"/>
    <n v="353411"/>
    <n v="792"/>
    <x v="19"/>
    <d v="2024-09-07T00:00:00"/>
    <n v="10.890153390811266"/>
    <n v="0.22410168330923488"/>
  </r>
  <r>
    <x v="974"/>
    <x v="1"/>
    <x v="4"/>
    <x v="3"/>
    <x v="974"/>
    <n v="58372"/>
    <n v="444318"/>
    <n v="3729"/>
    <x v="25"/>
    <d v="2024-09-05T00:00:00"/>
    <n v="13.137437600997485"/>
    <n v="0.83926377054271939"/>
  </r>
  <r>
    <x v="975"/>
    <x v="1"/>
    <x v="6"/>
    <x v="3"/>
    <x v="975"/>
    <n v="13159"/>
    <n v="408533"/>
    <n v="2467"/>
    <x v="12"/>
    <d v="2024-09-24T00:00:00"/>
    <n v="3.2210372234311548"/>
    <n v="0.6038679861847146"/>
  </r>
  <r>
    <x v="976"/>
    <x v="1"/>
    <x v="5"/>
    <x v="3"/>
    <x v="976"/>
    <n v="70970"/>
    <n v="386654"/>
    <n v="340"/>
    <x v="8"/>
    <d v="2024-09-22T00:00:00"/>
    <n v="18.354911626415348"/>
    <n v="8.7933915076528368E-2"/>
  </r>
  <r>
    <x v="977"/>
    <x v="1"/>
    <x v="4"/>
    <x v="3"/>
    <x v="977"/>
    <n v="12458"/>
    <n v="690320"/>
    <n v="3856"/>
    <x v="22"/>
    <d v="2024-09-07T00:00:00"/>
    <n v="1.8046702978328892"/>
    <n v="0.55858152740757905"/>
  </r>
  <r>
    <x v="978"/>
    <x v="2"/>
    <x v="3"/>
    <x v="0"/>
    <x v="978"/>
    <n v="54008"/>
    <n v="283412"/>
    <n v="1.296"/>
    <x v="25"/>
    <d v="2024-09-09T00:00:00"/>
    <n v="19.056356117595584"/>
    <n v="4.5728480092586054E-4"/>
  </r>
  <r>
    <x v="979"/>
    <x v="3"/>
    <x v="5"/>
    <x v="2"/>
    <x v="979"/>
    <n v="94489"/>
    <n v="291659"/>
    <n v="3708"/>
    <x v="16"/>
    <d v="2024-10-03T00:00:00"/>
    <n v="32.397080151821136"/>
    <n v="1.2713477039967909"/>
  </r>
  <r>
    <x v="980"/>
    <x v="0"/>
    <x v="3"/>
    <x v="3"/>
    <x v="980"/>
    <n v="40750"/>
    <n v="583999"/>
    <n v="4079"/>
    <x v="19"/>
    <d v="2024-09-14T00:00:00"/>
    <n v="6.9777516742323185"/>
    <n v="0.69846010010291115"/>
  </r>
  <r>
    <x v="981"/>
    <x v="0"/>
    <x v="3"/>
    <x v="0"/>
    <x v="981"/>
    <n v="51278"/>
    <n v="236573"/>
    <n v="1508"/>
    <x v="26"/>
    <d v="2024-09-13T00:00:00"/>
    <n v="21.675339113085602"/>
    <n v="0.63743537935436412"/>
  </r>
  <r>
    <x v="982"/>
    <x v="1"/>
    <x v="3"/>
    <x v="0"/>
    <x v="982"/>
    <n v="47964"/>
    <n v="276234"/>
    <n v="1512"/>
    <x v="6"/>
    <d v="2024-09-27T00:00:00"/>
    <n v="17.363539607723887"/>
    <n v="0.54736201915767069"/>
  </r>
  <r>
    <x v="983"/>
    <x v="2"/>
    <x v="6"/>
    <x v="0"/>
    <x v="983"/>
    <n v="20351"/>
    <n v="453521"/>
    <n v="4136"/>
    <x v="14"/>
    <d v="2024-09-22T00:00:00"/>
    <n v="4.48733355236031"/>
    <n v="0.9119754101794626"/>
  </r>
  <r>
    <x v="984"/>
    <x v="3"/>
    <x v="5"/>
    <x v="3"/>
    <x v="984"/>
    <n v="15889"/>
    <n v="704679"/>
    <n v="4539"/>
    <x v="14"/>
    <d v="2024-09-23T00:00:00"/>
    <n v="2.2547855122687066"/>
    <n v="0.64412306880153936"/>
  </r>
  <r>
    <x v="985"/>
    <x v="2"/>
    <x v="0"/>
    <x v="0"/>
    <x v="985"/>
    <n v="9727"/>
    <n v="958908"/>
    <n v="2579"/>
    <x v="13"/>
    <d v="2024-10-06T00:00:00"/>
    <n v="1.014383027360289"/>
    <n v="0.26895176596712095"/>
  </r>
  <r>
    <x v="986"/>
    <x v="2"/>
    <x v="6"/>
    <x v="4"/>
    <x v="986"/>
    <n v="46920"/>
    <n v="798950"/>
    <n v="3323"/>
    <x v="14"/>
    <d v="2024-09-25T00:00:00"/>
    <n v="5.872707929157019"/>
    <n v="0.41592089617623129"/>
  </r>
  <r>
    <x v="987"/>
    <x v="2"/>
    <x v="5"/>
    <x v="3"/>
    <x v="987"/>
    <n v="90772"/>
    <n v="946166"/>
    <n v="3335"/>
    <x v="16"/>
    <d v="2024-10-11T00:00:00"/>
    <n v="9.5936653821845219"/>
    <n v="0.35247514706721655"/>
  </r>
  <r>
    <x v="988"/>
    <x v="0"/>
    <x v="0"/>
    <x v="3"/>
    <x v="988"/>
    <n v="75539"/>
    <n v="35970"/>
    <n v="2733"/>
    <x v="28"/>
    <d v="2024-10-15T00:00:00"/>
    <n v="210.00556018904643"/>
    <n v="7.5979983319432858"/>
  </r>
  <r>
    <x v="989"/>
    <x v="1"/>
    <x v="0"/>
    <x v="3"/>
    <x v="989"/>
    <n v="43507"/>
    <n v="8926"/>
    <n v="393"/>
    <x v="25"/>
    <d v="2024-09-20T00:00:00"/>
    <n v="487.41877660766295"/>
    <n v="4.4028680259914852"/>
  </r>
  <r>
    <x v="990"/>
    <x v="0"/>
    <x v="1"/>
    <x v="2"/>
    <x v="990"/>
    <n v="95332"/>
    <n v="779332"/>
    <n v="3082"/>
    <x v="2"/>
    <d v="2024-09-23T00:00:00"/>
    <n v="12.232527343930442"/>
    <n v="0.3954668870263251"/>
  </r>
  <r>
    <x v="991"/>
    <x v="0"/>
    <x v="1"/>
    <x v="1"/>
    <x v="991"/>
    <n v="93783"/>
    <n v="457078"/>
    <n v="677"/>
    <x v="12"/>
    <d v="2024-10-10T00:00:00"/>
    <n v="20.517942233054313"/>
    <n v="0.14811476378211161"/>
  </r>
  <r>
    <x v="992"/>
    <x v="2"/>
    <x v="4"/>
    <x v="4"/>
    <x v="992"/>
    <n v="98036"/>
    <n v="542885"/>
    <n v="2046"/>
    <x v="19"/>
    <d v="2024-09-26T00:00:00"/>
    <n v="18.058336480101676"/>
    <n v="0.37687539718356561"/>
  </r>
  <r>
    <x v="993"/>
    <x v="3"/>
    <x v="2"/>
    <x v="4"/>
    <x v="993"/>
    <n v="22563"/>
    <n v="456338"/>
    <n v="4230"/>
    <x v="9"/>
    <d v="2024-09-28T00:00:00"/>
    <n v="4.944361416318606"/>
    <n v="0.92694450166324083"/>
  </r>
  <r>
    <x v="994"/>
    <x v="1"/>
    <x v="6"/>
    <x v="0"/>
    <x v="994"/>
    <n v="64470"/>
    <n v="327764"/>
    <n v="2838"/>
    <x v="12"/>
    <d v="2024-10-13T00:00:00"/>
    <n v="19.669640350984245"/>
    <n v="0.86586690423597468"/>
  </r>
  <r>
    <x v="995"/>
    <x v="1"/>
    <x v="1"/>
    <x v="3"/>
    <x v="995"/>
    <n v="27888"/>
    <n v="52993"/>
    <n v="2628"/>
    <x v="11"/>
    <d v="2024-10-02T00:00:00"/>
    <n v="52.625818504330759"/>
    <n v="4.9591455475251447"/>
  </r>
  <r>
    <x v="996"/>
    <x v="2"/>
    <x v="4"/>
    <x v="2"/>
    <x v="996"/>
    <n v="59515"/>
    <n v="924889"/>
    <n v="2787"/>
    <x v="9"/>
    <d v="2024-10-01T00:00:00"/>
    <n v="6.4348262332020383"/>
    <n v="0.30133345731217476"/>
  </r>
  <r>
    <x v="997"/>
    <x v="3"/>
    <x v="1"/>
    <x v="1"/>
    <x v="997"/>
    <n v="25653"/>
    <n v="879661"/>
    <n v="4645"/>
    <x v="23"/>
    <d v="2024-10-10T00:00:00"/>
    <n v="2.9162370504091917"/>
    <n v="0.52804432616655739"/>
  </r>
  <r>
    <x v="998"/>
    <x v="2"/>
    <x v="5"/>
    <x v="2"/>
    <x v="998"/>
    <n v="62616"/>
    <n v="753385"/>
    <n v="3382"/>
    <x v="8"/>
    <d v="2024-10-14T00:00:00"/>
    <n v="8.3112883850886341"/>
    <n v="0.44890726520968699"/>
  </r>
  <r>
    <x v="999"/>
    <x v="2"/>
    <x v="4"/>
    <x v="2"/>
    <x v="999"/>
    <n v="76686"/>
    <n v="845576"/>
    <n v="2046"/>
    <x v="9"/>
    <d v="2024-10-04T00:00:00"/>
    <n v="9.0690842691845557"/>
    <n v="0.2419652402622591"/>
  </r>
  <r>
    <x v="1000"/>
    <x v="1"/>
    <x v="4"/>
    <x v="2"/>
    <x v="1000"/>
    <n v="57151"/>
    <n v="20715"/>
    <n v="3032"/>
    <x v="22"/>
    <d v="2024-09-30T00:00:00"/>
    <n v="275.89186579773116"/>
    <n v="14.636736664252956"/>
  </r>
  <r>
    <x v="1001"/>
    <x v="2"/>
    <x v="0"/>
    <x v="3"/>
    <x v="1001"/>
    <n v="75895"/>
    <n v="991422"/>
    <n v="3891"/>
    <x v="6"/>
    <d v="2024-10-16T00:00:00"/>
    <n v="7.6551660140686817"/>
    <n v="0.39246657830873233"/>
  </r>
  <r>
    <x v="1002"/>
    <x v="2"/>
    <x v="6"/>
    <x v="4"/>
    <x v="1002"/>
    <n v="82255"/>
    <n v="785007"/>
    <n v="10"/>
    <x v="6"/>
    <d v="2024-10-17T00:00:00"/>
    <n v="10.478250512415812"/>
    <n v="1.273873990932565E-3"/>
  </r>
  <r>
    <x v="1003"/>
    <x v="1"/>
    <x v="2"/>
    <x v="2"/>
    <x v="1003"/>
    <n v="24607"/>
    <n v="628814"/>
    <n v="1778"/>
    <x v="6"/>
    <d v="2024-10-18T00:00:00"/>
    <n v="3.9132398451688415"/>
    <n v="0.2827545188243264"/>
  </r>
  <r>
    <x v="1004"/>
    <x v="2"/>
    <x v="3"/>
    <x v="0"/>
    <x v="1004"/>
    <n v="58262"/>
    <n v="300799"/>
    <n v="190"/>
    <x v="2"/>
    <d v="2024-10-07T00:00:00"/>
    <n v="19.369080349336269"/>
    <n v="6.3165103607392317E-2"/>
  </r>
  <r>
    <x v="1005"/>
    <x v="3"/>
    <x v="4"/>
    <x v="3"/>
    <x v="1005"/>
    <n v="24626"/>
    <n v="571171"/>
    <n v="4382"/>
    <x v="7"/>
    <d v="2024-10-04T00:00:00"/>
    <n v="4.3114934056525982"/>
    <n v="0.76719581351294097"/>
  </r>
  <r>
    <x v="1006"/>
    <x v="2"/>
    <x v="3"/>
    <x v="3"/>
    <x v="1006"/>
    <n v="48969"/>
    <n v="219369"/>
    <n v="3238"/>
    <x v="0"/>
    <d v="2024-10-18T00:00:00"/>
    <n v="22.322661816391559"/>
    <n v="1.4760517666580053"/>
  </r>
  <r>
    <x v="1007"/>
    <x v="0"/>
    <x v="2"/>
    <x v="3"/>
    <x v="1007"/>
    <n v="94580"/>
    <n v="175391"/>
    <n v="2750"/>
    <x v="22"/>
    <d v="2024-10-07T00:00:00"/>
    <n v="53.925229914875906"/>
    <n v="1.5679253781550935"/>
  </r>
  <r>
    <x v="1008"/>
    <x v="1"/>
    <x v="1"/>
    <x v="0"/>
    <x v="1008"/>
    <n v="67950"/>
    <n v="259651"/>
    <n v="1306"/>
    <x v="26"/>
    <d v="2024-10-10T00:00:00"/>
    <n v="26.169743232261766"/>
    <n v="0.50298285005642185"/>
  </r>
  <r>
    <x v="1009"/>
    <x v="1"/>
    <x v="1"/>
    <x v="2"/>
    <x v="1009"/>
    <n v="69070"/>
    <n v="302234"/>
    <n v="969"/>
    <x v="6"/>
    <d v="2024-10-24T00:00:00"/>
    <n v="22.853153516811478"/>
    <n v="0.32061250554206344"/>
  </r>
  <r>
    <x v="1010"/>
    <x v="1"/>
    <x v="4"/>
    <x v="4"/>
    <x v="1010"/>
    <n v="26194"/>
    <n v="774483"/>
    <n v="2445"/>
    <x v="27"/>
    <d v="2024-10-24T00:00:00"/>
    <n v="3.3821271738695362"/>
    <n v="0.31569446973012966"/>
  </r>
  <r>
    <x v="1011"/>
    <x v="1"/>
    <x v="6"/>
    <x v="3"/>
    <x v="1011"/>
    <n v="7904"/>
    <n v="22548"/>
    <n v="77"/>
    <x v="7"/>
    <d v="2024-10-10T00:00:00"/>
    <n v="35.05410679439418"/>
    <n v="0.34149370232393117"/>
  </r>
  <r>
    <x v="1012"/>
    <x v="3"/>
    <x v="1"/>
    <x v="3"/>
    <x v="1012"/>
    <n v="49247"/>
    <n v="823477"/>
    <n v="1292"/>
    <x v="26"/>
    <d v="2024-10-14T00:00:00"/>
    <n v="5.9803734651969638"/>
    <n v="0.15689569957630875"/>
  </r>
  <r>
    <x v="1013"/>
    <x v="2"/>
    <x v="5"/>
    <x v="3"/>
    <x v="1013"/>
    <n v="21452"/>
    <n v="630310"/>
    <n v="663"/>
    <x v="27"/>
    <d v="2024-10-27T00:00:00"/>
    <n v="3.4034046738906252"/>
    <n v="0.10518633688185179"/>
  </r>
  <r>
    <x v="1014"/>
    <x v="2"/>
    <x v="6"/>
    <x v="0"/>
    <x v="1014"/>
    <n v="51315"/>
    <n v="256142"/>
    <n v="915"/>
    <x v="5"/>
    <d v="2024-11-08T00:00:00"/>
    <n v="20.033809371364324"/>
    <n v="0.35722372746367248"/>
  </r>
  <r>
    <x v="1015"/>
    <x v="1"/>
    <x v="0"/>
    <x v="4"/>
    <x v="1015"/>
    <n v="70315"/>
    <n v="846834"/>
    <n v="4815"/>
    <x v="3"/>
    <d v="2024-11-02T00:00:00"/>
    <n v="8.3032802178467087"/>
    <n v="0.56858841284124162"/>
  </r>
  <r>
    <x v="1016"/>
    <x v="0"/>
    <x v="3"/>
    <x v="2"/>
    <x v="1016"/>
    <n v="73541"/>
    <n v="94547"/>
    <n v="2012"/>
    <x v="0"/>
    <d v="2024-10-28T00:00:00"/>
    <n v="77.782478555638988"/>
    <n v="2.1280421377727476"/>
  </r>
  <r>
    <x v="1017"/>
    <x v="2"/>
    <x v="4"/>
    <x v="2"/>
    <x v="1017"/>
    <n v="31960"/>
    <n v="293661"/>
    <n v="429"/>
    <x v="13"/>
    <d v="2024-11-07T00:00:00"/>
    <n v="10.88329740755497"/>
    <n v="0.14608681438801882"/>
  </r>
  <r>
    <x v="1018"/>
    <x v="1"/>
    <x v="0"/>
    <x v="1"/>
    <x v="1018"/>
    <n v="24179"/>
    <n v="520700"/>
    <n v="2082"/>
    <x v="0"/>
    <d v="2024-10-30T00:00:00"/>
    <n v="4.6435567505281359"/>
    <n v="0.39984636066833112"/>
  </r>
  <r>
    <x v="1019"/>
    <x v="0"/>
    <x v="0"/>
    <x v="2"/>
    <x v="1019"/>
    <n v="82556"/>
    <n v="710493"/>
    <n v="700"/>
    <x v="4"/>
    <d v="2024-11-14T00:00:00"/>
    <n v="11.619537419791609"/>
    <n v="9.8523138158996645E-2"/>
  </r>
  <r>
    <x v="1020"/>
    <x v="0"/>
    <x v="3"/>
    <x v="2"/>
    <x v="1020"/>
    <n v="84862"/>
    <n v="901550"/>
    <n v="1658"/>
    <x v="15"/>
    <d v="2024-11-12T00:00:00"/>
    <n v="9.412900005546005"/>
    <n v="0.18390549609006709"/>
  </r>
  <r>
    <x v="1021"/>
    <x v="3"/>
    <x v="3"/>
    <x v="0"/>
    <x v="1021"/>
    <n v="76110"/>
    <n v="892070"/>
    <n v="2419"/>
    <x v="21"/>
    <d v="2024-11-12T00:00:00"/>
    <n v="8.5318416716176984"/>
    <n v="0.27116706088087261"/>
  </r>
  <r>
    <x v="1022"/>
    <x v="1"/>
    <x v="2"/>
    <x v="4"/>
    <x v="1022"/>
    <n v="61535"/>
    <n v="637899"/>
    <n v="2292"/>
    <x v="8"/>
    <d v="2024-11-07T00:00:00"/>
    <n v="9.6465114383311477"/>
    <n v="0.35930452940042235"/>
  </r>
  <r>
    <x v="1023"/>
    <x v="1"/>
    <x v="5"/>
    <x v="1"/>
    <x v="1023"/>
    <n v="73544"/>
    <n v="464292"/>
    <n v="65"/>
    <x v="8"/>
    <d v="2024-11-08T00:00:00"/>
    <n v="15.840031704186158"/>
    <n v="1.3999810464104485E-2"/>
  </r>
  <r>
    <x v="1024"/>
    <x v="2"/>
    <x v="1"/>
    <x v="0"/>
    <x v="1024"/>
    <n v="61844"/>
    <n v="214838"/>
    <n v="4717"/>
    <x v="14"/>
    <d v="2024-11-02T00:00:00"/>
    <n v="28.786341336262673"/>
    <n v="2.1956078533592756"/>
  </r>
  <r>
    <x v="1025"/>
    <x v="3"/>
    <x v="1"/>
    <x v="4"/>
    <x v="1025"/>
    <n v="44670"/>
    <n v="767421"/>
    <n v="1439"/>
    <x v="21"/>
    <d v="2024-11-16T00:00:00"/>
    <n v="5.8207945834164043"/>
    <n v="0.18751115750025082"/>
  </r>
  <r>
    <x v="1026"/>
    <x v="2"/>
    <x v="2"/>
    <x v="0"/>
    <x v="1026"/>
    <n v="74456"/>
    <n v="293489"/>
    <n v="109"/>
    <x v="8"/>
    <d v="2024-11-11T00:00:00"/>
    <n v="25.369264265440954"/>
    <n v="3.7139381714476526E-2"/>
  </r>
  <r>
    <x v="1027"/>
    <x v="0"/>
    <x v="6"/>
    <x v="1"/>
    <x v="1027"/>
    <n v="28617"/>
    <n v="733903"/>
    <n v="2547"/>
    <x v="20"/>
    <d v="2024-11-04T00:00:00"/>
    <n v="3.8992891431156433"/>
    <n v="0.34704858816492101"/>
  </r>
  <r>
    <x v="1028"/>
    <x v="1"/>
    <x v="6"/>
    <x v="4"/>
    <x v="1028"/>
    <n v="79602"/>
    <n v="344484"/>
    <n v="404"/>
    <x v="22"/>
    <d v="2024-10-28T00:00:00"/>
    <n v="23.107604417041138"/>
    <n v="0.11727685465798121"/>
  </r>
  <r>
    <x v="1029"/>
    <x v="1"/>
    <x v="4"/>
    <x v="0"/>
    <x v="1029"/>
    <n v="17363"/>
    <n v="228642"/>
    <n v="3722"/>
    <x v="3"/>
    <d v="2024-11-16T00:00:00"/>
    <n v="7.5939678624224767"/>
    <n v="1.6278723943982296"/>
  </r>
  <r>
    <x v="1030"/>
    <x v="0"/>
    <x v="3"/>
    <x v="2"/>
    <x v="1030"/>
    <n v="57885"/>
    <n v="615330"/>
    <n v="4497"/>
    <x v="11"/>
    <d v="2024-11-06T00:00:00"/>
    <n v="9.4071473843303597"/>
    <n v="0.73082736092828238"/>
  </r>
  <r>
    <x v="1031"/>
    <x v="1"/>
    <x v="0"/>
    <x v="0"/>
    <x v="1031"/>
    <n v="32595"/>
    <n v="290299"/>
    <n v="3546"/>
    <x v="4"/>
    <d v="2024-11-26T00:00:00"/>
    <n v="11.228078636164781"/>
    <n v="1.2214992128805129"/>
  </r>
  <r>
    <x v="1032"/>
    <x v="3"/>
    <x v="3"/>
    <x v="3"/>
    <x v="1032"/>
    <n v="53278"/>
    <n v="538349"/>
    <n v="168"/>
    <x v="24"/>
    <d v="2024-11-11T00:00:00"/>
    <n v="9.8965540940913801"/>
    <n v="3.1206522163132092E-2"/>
  </r>
  <r>
    <x v="1033"/>
    <x v="1"/>
    <x v="4"/>
    <x v="4"/>
    <x v="1033"/>
    <n v="72450"/>
    <n v="862362"/>
    <n v="2193"/>
    <x v="7"/>
    <d v="2024-11-01T00:00:00"/>
    <n v="8.4013442150744115"/>
    <n v="0.25430155781446773"/>
  </r>
  <r>
    <x v="1034"/>
    <x v="1"/>
    <x v="3"/>
    <x v="3"/>
    <x v="1034"/>
    <n v="97330"/>
    <n v="563023"/>
    <n v="3833"/>
    <x v="10"/>
    <d v="2024-11-20T00:00:00"/>
    <n v="17.287038007328299"/>
    <n v="0.68078923951597003"/>
  </r>
  <r>
    <x v="1035"/>
    <x v="2"/>
    <x v="6"/>
    <x v="0"/>
    <x v="1035"/>
    <n v="92953"/>
    <n v="366478"/>
    <n v="895"/>
    <x v="6"/>
    <d v="2024-11-19T00:00:00"/>
    <n v="25.363869045345151"/>
    <n v="0.24421656961673005"/>
  </r>
  <r>
    <x v="1036"/>
    <x v="1"/>
    <x v="6"/>
    <x v="3"/>
    <x v="1036"/>
    <n v="31681"/>
    <n v="435815"/>
    <n v="3635"/>
    <x v="17"/>
    <d v="2024-11-25T00:00:00"/>
    <n v="7.2693688835859245"/>
    <n v="0.83406950196757801"/>
  </r>
  <r>
    <x v="1037"/>
    <x v="1"/>
    <x v="0"/>
    <x v="0"/>
    <x v="1037"/>
    <n v="11880"/>
    <n v="188042"/>
    <n v="2271"/>
    <x v="2"/>
    <d v="2024-11-09T00:00:00"/>
    <n v="6.3177375267227536"/>
    <n v="1.2077089160932131"/>
  </r>
  <r>
    <x v="1038"/>
    <x v="2"/>
    <x v="6"/>
    <x v="3"/>
    <x v="1038"/>
    <n v="24377"/>
    <n v="209808"/>
    <n v="3366"/>
    <x v="15"/>
    <d v="2024-11-30T00:00:00"/>
    <n v="11.618718066041334"/>
    <n v="1.6043239533287579"/>
  </r>
  <r>
    <x v="1039"/>
    <x v="2"/>
    <x v="2"/>
    <x v="3"/>
    <x v="1039"/>
    <n v="72152"/>
    <n v="418051"/>
    <n v="4337"/>
    <x v="12"/>
    <d v="2024-11-27T00:00:00"/>
    <n v="17.259138239114368"/>
    <n v="1.0374332318305661"/>
  </r>
  <r>
    <x v="1040"/>
    <x v="1"/>
    <x v="1"/>
    <x v="1"/>
    <x v="1040"/>
    <n v="32278"/>
    <n v="949979"/>
    <n v="314"/>
    <x v="19"/>
    <d v="2024-11-13T00:00:00"/>
    <n v="3.3977593188902069"/>
    <n v="3.3053362232217769E-2"/>
  </r>
  <r>
    <x v="1041"/>
    <x v="1"/>
    <x v="5"/>
    <x v="2"/>
    <x v="1041"/>
    <n v="68341"/>
    <n v="312578"/>
    <n v="3482"/>
    <x v="0"/>
    <d v="2024-11-22T00:00:00"/>
    <n v="21.863662829757693"/>
    <n v="1.113961955096008"/>
  </r>
  <r>
    <x v="1042"/>
    <x v="1"/>
    <x v="3"/>
    <x v="0"/>
    <x v="1042"/>
    <n v="79804"/>
    <n v="806063"/>
    <n v="4279"/>
    <x v="19"/>
    <d v="2024-11-15T00:00:00"/>
    <n v="9.900466836959394"/>
    <n v="0.53085180686869393"/>
  </r>
  <r>
    <x v="1043"/>
    <x v="2"/>
    <x v="1"/>
    <x v="1"/>
    <x v="1043"/>
    <n v="24817"/>
    <n v="209006"/>
    <n v="453"/>
    <x v="13"/>
    <d v="2024-12-03T00:00:00"/>
    <n v="11.873821804158732"/>
    <n v="0.21674018927686287"/>
  </r>
  <r>
    <x v="1044"/>
    <x v="2"/>
    <x v="4"/>
    <x v="0"/>
    <x v="1044"/>
    <n v="50816"/>
    <n v="333523"/>
    <n v="2167"/>
    <x v="28"/>
    <d v="2024-12-10T00:00:00"/>
    <n v="15.236130641664895"/>
    <n v="0.64973030345733285"/>
  </r>
  <r>
    <x v="1045"/>
    <x v="2"/>
    <x v="2"/>
    <x v="3"/>
    <x v="1045"/>
    <n v="84200"/>
    <n v="887944"/>
    <n v="2539"/>
    <x v="11"/>
    <d v="2024-11-21T00:00:00"/>
    <n v="9.4825799825214201"/>
    <n v="0.28594145576748087"/>
  </r>
  <r>
    <x v="1046"/>
    <x v="0"/>
    <x v="4"/>
    <x v="2"/>
    <x v="1046"/>
    <n v="19468"/>
    <n v="764568"/>
    <n v="2730"/>
    <x v="4"/>
    <d v="2024-12-11T00:00:00"/>
    <n v="2.5462744974940095"/>
    <n v="0.35706438145462532"/>
  </r>
  <r>
    <x v="1047"/>
    <x v="0"/>
    <x v="2"/>
    <x v="0"/>
    <x v="1047"/>
    <n v="719"/>
    <n v="677206"/>
    <n v="4880"/>
    <x v="26"/>
    <d v="2024-11-18T00:00:00"/>
    <n v="0.10617153421558581"/>
    <n v="0.72060790955780074"/>
  </r>
  <r>
    <x v="1048"/>
    <x v="2"/>
    <x v="2"/>
    <x v="4"/>
    <x v="1048"/>
    <n v="94947"/>
    <n v="704081"/>
    <n v="2"/>
    <x v="15"/>
    <d v="2024-12-10T00:00:00"/>
    <n v="13.485238204127082"/>
    <n v="2.840582262552178E-4"/>
  </r>
  <r>
    <x v="1049"/>
    <x v="1"/>
    <x v="2"/>
    <x v="0"/>
    <x v="1049"/>
    <n v="93134"/>
    <n v="210252"/>
    <n v="764"/>
    <x v="21"/>
    <d v="2024-12-10T00:00:00"/>
    <n v="44.296368167722541"/>
    <n v="0.36337347563875727"/>
  </r>
  <r>
    <x v="1050"/>
    <x v="2"/>
    <x v="5"/>
    <x v="3"/>
    <x v="1050"/>
    <n v="84001"/>
    <n v="425080"/>
    <n v="1802"/>
    <x v="21"/>
    <d v="2024-12-11T00:00:00"/>
    <n v="19.761221417145009"/>
    <n v="0.42392020325585772"/>
  </r>
  <r>
    <x v="1051"/>
    <x v="2"/>
    <x v="1"/>
    <x v="4"/>
    <x v="1051"/>
    <n v="67900"/>
    <n v="876014"/>
    <n v="3699"/>
    <x v="5"/>
    <d v="2024-12-15T00:00:00"/>
    <n v="7.7510176777996698"/>
    <n v="0.42225352562858581"/>
  </r>
  <r>
    <x v="1052"/>
    <x v="2"/>
    <x v="1"/>
    <x v="1"/>
    <x v="1052"/>
    <n v="76813"/>
    <n v="417099"/>
    <n v="2317"/>
    <x v="0"/>
    <d v="2024-12-03T00:00:00"/>
    <n v="18.416011546419437"/>
    <n v="0.55550360945482968"/>
  </r>
  <r>
    <x v="1053"/>
    <x v="2"/>
    <x v="3"/>
    <x v="4"/>
    <x v="1053"/>
    <n v="36084"/>
    <n v="269229"/>
    <n v="3468"/>
    <x v="19"/>
    <d v="2024-11-26T00:00:00"/>
    <n v="13.402716646423677"/>
    <n v="1.2881227505209318"/>
  </r>
  <r>
    <x v="1054"/>
    <x v="1"/>
    <x v="5"/>
    <x v="3"/>
    <x v="1054"/>
    <n v="863"/>
    <n v="404881"/>
    <n v="1947"/>
    <x v="25"/>
    <d v="2024-11-24T00:00:00"/>
    <n v="0.21314904873283752"/>
    <n v="0.48088203694418852"/>
  </r>
  <r>
    <x v="1055"/>
    <x v="3"/>
    <x v="4"/>
    <x v="4"/>
    <x v="1055"/>
    <n v="26446"/>
    <n v="98085"/>
    <n v="2749"/>
    <x v="13"/>
    <d v="2024-12-15T00:00:00"/>
    <n v="26.96232859254728"/>
    <n v="2.8026711525717491"/>
  </r>
  <r>
    <x v="1056"/>
    <x v="2"/>
    <x v="3"/>
    <x v="3"/>
    <x v="1056"/>
    <n v="57389"/>
    <n v="702464"/>
    <n v="2371"/>
    <x v="18"/>
    <d v="2024-12-01T00:00:00"/>
    <n v="8.16967132835277"/>
    <n v="0.33752619351311952"/>
  </r>
  <r>
    <x v="1057"/>
    <x v="1"/>
    <x v="6"/>
    <x v="2"/>
    <x v="1057"/>
    <n v="12420"/>
    <n v="974970"/>
    <n v="4413"/>
    <x v="9"/>
    <d v="2024-12-01T00:00:00"/>
    <n v="1.2738853503184715"/>
    <n v="0.45262931167112835"/>
  </r>
  <r>
    <x v="1058"/>
    <x v="0"/>
    <x v="4"/>
    <x v="4"/>
    <x v="1058"/>
    <n v="52315"/>
    <n v="709046"/>
    <n v="1900"/>
    <x v="11"/>
    <d v="2024-12-04T00:00:00"/>
    <n v="7.3782236977572673"/>
    <n v="0.26796568910902818"/>
  </r>
  <r>
    <x v="1059"/>
    <x v="3"/>
    <x v="4"/>
    <x v="3"/>
    <x v="1059"/>
    <n v="47790"/>
    <n v="93946"/>
    <n v="2703"/>
    <x v="16"/>
    <d v="2024-12-22T00:00:00"/>
    <n v="50.869648521491072"/>
    <n v="2.8771847657164753"/>
  </r>
  <r>
    <x v="1060"/>
    <x v="1"/>
    <x v="0"/>
    <x v="4"/>
    <x v="1060"/>
    <n v="71916"/>
    <n v="424042"/>
    <n v="1998"/>
    <x v="28"/>
    <d v="2024-12-26T00:00:00"/>
    <n v="16.959640790299073"/>
    <n v="0.47117974162936688"/>
  </r>
  <r>
    <x v="1061"/>
    <x v="2"/>
    <x v="5"/>
    <x v="3"/>
    <x v="1061"/>
    <n v="35269"/>
    <n v="879229"/>
    <n v="4401"/>
    <x v="10"/>
    <d v="2024-12-17T00:00:00"/>
    <n v="4.0113554034273209"/>
    <n v="0.50055218833773685"/>
  </r>
  <r>
    <x v="1062"/>
    <x v="1"/>
    <x v="5"/>
    <x v="2"/>
    <x v="1062"/>
    <n v="35628"/>
    <n v="830082"/>
    <n v="94"/>
    <x v="25"/>
    <d v="2024-12-02T00:00:00"/>
    <n v="4.292106081085965"/>
    <n v="1.132418243016955E-2"/>
  </r>
  <r>
    <x v="1063"/>
    <x v="2"/>
    <x v="2"/>
    <x v="0"/>
    <x v="1063"/>
    <n v="81033"/>
    <n v="570682"/>
    <n v="3343"/>
    <x v="25"/>
    <d v="2024-12-03T00:00:00"/>
    <n v="14.199326419967687"/>
    <n v="0.58579033507277256"/>
  </r>
  <r>
    <x v="1064"/>
    <x v="3"/>
    <x v="1"/>
    <x v="4"/>
    <x v="1064"/>
    <n v="48881"/>
    <n v="381876"/>
    <n v="4157"/>
    <x v="16"/>
    <d v="2024-12-27T00:00:00"/>
    <n v="12.800228346374215"/>
    <n v="1.0885732541453248"/>
  </r>
  <r>
    <x v="1065"/>
    <x v="2"/>
    <x v="1"/>
    <x v="3"/>
    <x v="1065"/>
    <n v="77234"/>
    <n v="282894"/>
    <n v="980"/>
    <x v="22"/>
    <d v="2024-12-04T00:00:00"/>
    <n v="27.301392040835083"/>
    <n v="0.34641950695313439"/>
  </r>
  <r>
    <x v="1066"/>
    <x v="1"/>
    <x v="2"/>
    <x v="2"/>
    <x v="1066"/>
    <n v="76393"/>
    <n v="275434"/>
    <n v="4924"/>
    <x v="20"/>
    <d v="2024-12-13T00:00:00"/>
    <n v="27.735501063775715"/>
    <n v="1.7877241008735307"/>
  </r>
  <r>
    <x v="1067"/>
    <x v="2"/>
    <x v="2"/>
    <x v="2"/>
    <x v="1067"/>
    <n v="10537"/>
    <n v="904352"/>
    <n v="4805"/>
    <x v="15"/>
    <d v="2024-12-29T00:00:00"/>
    <n v="1.1651436608754113"/>
    <n v="0.53131966314001633"/>
  </r>
  <r>
    <x v="1068"/>
    <x v="1"/>
    <x v="3"/>
    <x v="2"/>
    <x v="1068"/>
    <n v="71590"/>
    <n v="983840"/>
    <n v="1882"/>
    <x v="2"/>
    <d v="2024-12-10T00:00:00"/>
    <n v="7.2765896893803879"/>
    <n v="0.19129126687266221"/>
  </r>
  <r>
    <x v="1069"/>
    <x v="0"/>
    <x v="2"/>
    <x v="1"/>
    <x v="1069"/>
    <n v="9331"/>
    <n v="182868"/>
    <n v="3624"/>
    <x v="27"/>
    <d v="2024-12-22T00:00:00"/>
    <n v="5.1025876588577557"/>
    <n v="1.9817573331583436"/>
  </r>
  <r>
    <x v="1070"/>
    <x v="1"/>
    <x v="1"/>
    <x v="0"/>
    <x v="1070"/>
    <n v="50790"/>
    <n v="156332"/>
    <n v="1582"/>
    <x v="19"/>
    <d v="2024-12-13T00:00:00"/>
    <n v="32.488550008955301"/>
    <n v="1.0119489292019548"/>
  </r>
  <r>
    <x v="1071"/>
    <x v="1"/>
    <x v="6"/>
    <x v="2"/>
    <x v="1071"/>
    <n v="1854"/>
    <n v="690017"/>
    <n v="407"/>
    <x v="7"/>
    <d v="2024-12-09T00:00:00"/>
    <n v="0.26868903229920421"/>
    <n v="5.8984054016060473E-2"/>
  </r>
  <r>
    <x v="1072"/>
    <x v="3"/>
    <x v="6"/>
    <x v="3"/>
    <x v="1072"/>
    <n v="46435"/>
    <n v="319538"/>
    <n v="348"/>
    <x v="0"/>
    <d v="2024-12-23T00:00:00"/>
    <n v="14.531917956549769"/>
    <n v="0.10890723482027177"/>
  </r>
  <r>
    <x v="1073"/>
    <x v="0"/>
    <x v="0"/>
    <x v="4"/>
    <x v="1073"/>
    <n v="78401"/>
    <n v="644217"/>
    <n v="2396"/>
    <x v="16"/>
    <d v="2025-01-05T00:00:00"/>
    <n v="12.169967573038278"/>
    <n v="0.37192436709990578"/>
  </r>
  <r>
    <x v="1074"/>
    <x v="2"/>
    <x v="6"/>
    <x v="0"/>
    <x v="1074"/>
    <n v="9860"/>
    <n v="315266"/>
    <n v="3876"/>
    <x v="0"/>
    <d v="2024-12-25T00:00:00"/>
    <n v="3.1275177151992288"/>
    <n v="1.2294379983886623"/>
  </r>
  <r>
    <x v="1075"/>
    <x v="1"/>
    <x v="4"/>
    <x v="0"/>
    <x v="1075"/>
    <n v="28032"/>
    <n v="316476"/>
    <n v="4025"/>
    <x v="17"/>
    <d v="2025-01-03T00:00:00"/>
    <n v="8.8575436999962083"/>
    <n v="1.2718184001314474"/>
  </r>
  <r>
    <x v="1076"/>
    <x v="1"/>
    <x v="4"/>
    <x v="2"/>
    <x v="1076"/>
    <n v="88670"/>
    <n v="687083"/>
    <n v="1238"/>
    <x v="17"/>
    <d v="2025-01-04T00:00:00"/>
    <n v="12.905282185703912"/>
    <n v="0.18018201585543522"/>
  </r>
  <r>
    <x v="1077"/>
    <x v="1"/>
    <x v="6"/>
    <x v="0"/>
    <x v="1077"/>
    <n v="36737"/>
    <n v="374183"/>
    <n v="1277"/>
    <x v="17"/>
    <d v="2025-01-05T00:00:00"/>
    <n v="9.8179233155969143"/>
    <n v="0.34127686185636441"/>
  </r>
  <r>
    <x v="1078"/>
    <x v="2"/>
    <x v="6"/>
    <x v="2"/>
    <x v="1078"/>
    <n v="95175"/>
    <n v="963017"/>
    <n v="1965"/>
    <x v="18"/>
    <d v="2024-12-23T00:00:00"/>
    <n v="9.8830031037873685"/>
    <n v="0.20404624217433337"/>
  </r>
  <r>
    <x v="1079"/>
    <x v="2"/>
    <x v="0"/>
    <x v="0"/>
    <x v="1079"/>
    <n v="66813"/>
    <n v="763296"/>
    <n v="4641"/>
    <x v="5"/>
    <d v="2025-01-12T00:00:00"/>
    <n v="8.7532228650484214"/>
    <n v="0.60802100364734002"/>
  </r>
  <r>
    <x v="1080"/>
    <x v="3"/>
    <x v="1"/>
    <x v="0"/>
    <x v="1080"/>
    <n v="83875"/>
    <n v="844484"/>
    <n v="3556"/>
    <x v="8"/>
    <d v="2025-01-04T00:00:00"/>
    <n v="9.9321005489742848"/>
    <n v="0.42108553862476966"/>
  </r>
  <r>
    <x v="1081"/>
    <x v="3"/>
    <x v="2"/>
    <x v="1"/>
    <x v="1081"/>
    <n v="60630"/>
    <n v="977470"/>
    <n v="327"/>
    <x v="1"/>
    <d v="2024-12-31T00:00:00"/>
    <n v="6.2027479104218033"/>
    <n v="3.3453712134387761E-2"/>
  </r>
  <r>
    <x v="1082"/>
    <x v="0"/>
    <x v="5"/>
    <x v="4"/>
    <x v="1082"/>
    <n v="14047"/>
    <n v="83533"/>
    <n v="3169"/>
    <x v="6"/>
    <d v="2025-01-05T00:00:00"/>
    <n v="16.816108603785331"/>
    <n v="3.7937102701926184"/>
  </r>
  <r>
    <x v="1083"/>
    <x v="3"/>
    <x v="0"/>
    <x v="0"/>
    <x v="1083"/>
    <n v="51596"/>
    <n v="588165"/>
    <n v="3590"/>
    <x v="13"/>
    <d v="2025-01-12T00:00:00"/>
    <n v="8.772368298011612"/>
    <n v="0.61037293956627814"/>
  </r>
  <r>
    <x v="1084"/>
    <x v="0"/>
    <x v="4"/>
    <x v="1"/>
    <x v="1084"/>
    <n v="62463"/>
    <n v="727960"/>
    <n v="3889"/>
    <x v="18"/>
    <d v="2024-12-29T00:00:00"/>
    <n v="8.5805538765866256"/>
    <n v="0.53423265014561239"/>
  </r>
  <r>
    <x v="1085"/>
    <x v="0"/>
    <x v="3"/>
    <x v="3"/>
    <x v="1085"/>
    <n v="68700"/>
    <n v="671990"/>
    <n v="3487"/>
    <x v="25"/>
    <d v="2024-12-25T00:00:00"/>
    <n v="10.223366419143142"/>
    <n v="0.51890653134719267"/>
  </r>
  <r>
    <x v="1086"/>
    <x v="0"/>
    <x v="6"/>
    <x v="2"/>
    <x v="1086"/>
    <n v="43669"/>
    <n v="103969"/>
    <n v="2768"/>
    <x v="20"/>
    <d v="2025-01-02T00:00:00"/>
    <n v="42.001942886822036"/>
    <n v="2.6623320412815357"/>
  </r>
  <r>
    <x v="1087"/>
    <x v="1"/>
    <x v="3"/>
    <x v="3"/>
    <x v="1087"/>
    <n v="31251"/>
    <n v="670217"/>
    <n v="3950"/>
    <x v="20"/>
    <d v="2025-01-03T00:00:00"/>
    <n v="4.6628181618789135"/>
    <n v="0.58936135609809959"/>
  </r>
  <r>
    <x v="1088"/>
    <x v="1"/>
    <x v="2"/>
    <x v="2"/>
    <x v="1088"/>
    <n v="17226"/>
    <n v="239065"/>
    <n v="2731"/>
    <x v="18"/>
    <d v="2025-01-02T00:00:00"/>
    <n v="7.2055717064396712"/>
    <n v="1.1423671386443017"/>
  </r>
  <r>
    <x v="1089"/>
    <x v="2"/>
    <x v="4"/>
    <x v="4"/>
    <x v="1089"/>
    <n v="83680"/>
    <n v="741628"/>
    <n v="2223"/>
    <x v="21"/>
    <d v="2025-01-19T00:00:00"/>
    <n v="11.283284881369097"/>
    <n v="0.29974596428398065"/>
  </r>
  <r>
    <x v="1090"/>
    <x v="1"/>
    <x v="0"/>
    <x v="2"/>
    <x v="1090"/>
    <n v="7260"/>
    <n v="238989"/>
    <n v="3971"/>
    <x v="28"/>
    <d v="2025-01-25T00:00:00"/>
    <n v="3.0377967186774284"/>
    <n v="1.661582750670533"/>
  </r>
  <r>
    <x v="1091"/>
    <x v="2"/>
    <x v="3"/>
    <x v="1"/>
    <x v="1091"/>
    <n v="58434"/>
    <n v="908678"/>
    <n v="164"/>
    <x v="7"/>
    <d v="2024-12-29T00:00:00"/>
    <n v="6.4306608061381487"/>
    <n v="1.8048197491300551E-2"/>
  </r>
  <r>
    <x v="1092"/>
    <x v="2"/>
    <x v="6"/>
    <x v="4"/>
    <x v="1092"/>
    <n v="5106"/>
    <n v="608037"/>
    <n v="4735"/>
    <x v="17"/>
    <d v="2025-01-20T00:00:00"/>
    <n v="0.8397515282787068"/>
    <n v="0.7787355045827804"/>
  </r>
  <r>
    <x v="1093"/>
    <x v="1"/>
    <x v="2"/>
    <x v="1"/>
    <x v="1093"/>
    <n v="82681"/>
    <n v="296959"/>
    <n v="557"/>
    <x v="24"/>
    <d v="2025-01-11T00:00:00"/>
    <n v="27.84256412501389"/>
    <n v="0.18756798076502143"/>
  </r>
  <r>
    <x v="1094"/>
    <x v="1"/>
    <x v="6"/>
    <x v="0"/>
    <x v="1094"/>
    <n v="12046"/>
    <n v="322068"/>
    <n v="4613"/>
    <x v="26"/>
    <d v="2025-01-04T00:00:00"/>
    <n v="3.7402039320888756"/>
    <n v="1.432306221046487"/>
  </r>
  <r>
    <x v="1095"/>
    <x v="2"/>
    <x v="1"/>
    <x v="0"/>
    <x v="1095"/>
    <n v="25717"/>
    <n v="686625"/>
    <n v="2945"/>
    <x v="6"/>
    <d v="2025-01-18T00:00:00"/>
    <n v="3.7454214454760604"/>
    <n v="0.42890952120881126"/>
  </r>
  <r>
    <x v="1096"/>
    <x v="0"/>
    <x v="1"/>
    <x v="2"/>
    <x v="1096"/>
    <n v="32041"/>
    <n v="479632"/>
    <n v="989"/>
    <x v="20"/>
    <d v="2025-01-12T00:00:00"/>
    <n v="6.6803299196050308"/>
    <n v="0.20619975314407715"/>
  </r>
  <r>
    <x v="1097"/>
    <x v="0"/>
    <x v="1"/>
    <x v="0"/>
    <x v="1097"/>
    <n v="31723"/>
    <n v="183568"/>
    <n v="1842"/>
    <x v="15"/>
    <d v="2025-01-28T00:00:00"/>
    <n v="17.281334437374706"/>
    <n v="1.0034428658589734"/>
  </r>
  <r>
    <x v="1098"/>
    <x v="2"/>
    <x v="0"/>
    <x v="1"/>
    <x v="1098"/>
    <n v="89160"/>
    <n v="868745"/>
    <n v="1186"/>
    <x v="26"/>
    <d v="2025-01-08T00:00:00"/>
    <n v="10.263080650823889"/>
    <n v="0.13651877133105803"/>
  </r>
  <r>
    <x v="1099"/>
    <x v="2"/>
    <x v="4"/>
    <x v="1"/>
    <x v="1099"/>
    <n v="76125"/>
    <n v="346246"/>
    <n v="2736"/>
    <x v="7"/>
    <d v="2025-01-06T00:00:00"/>
    <n v="21.985813554524817"/>
    <n v="0.79018963395967035"/>
  </r>
  <r>
    <x v="1100"/>
    <x v="2"/>
    <x v="3"/>
    <x v="4"/>
    <x v="1100"/>
    <n v="33098"/>
    <n v="387248"/>
    <n v="397"/>
    <x v="28"/>
    <d v="2025-02-04T00:00:00"/>
    <n v="8.5469776473990837"/>
    <n v="0.10251828285749701"/>
  </r>
  <r>
    <x v="1101"/>
    <x v="0"/>
    <x v="4"/>
    <x v="4"/>
    <x v="1101"/>
    <n v="96250"/>
    <n v="92554"/>
    <n v="4716"/>
    <x v="15"/>
    <d v="2025-02-01T00:00:00"/>
    <n v="103.99334442595674"/>
    <n v="5.0954037642889558"/>
  </r>
  <r>
    <x v="1102"/>
    <x v="0"/>
    <x v="4"/>
    <x v="1"/>
    <x v="1102"/>
    <n v="17840"/>
    <n v="756891"/>
    <n v="1578"/>
    <x v="24"/>
    <d v="2025-01-20T00:00:00"/>
    <n v="2.3570104546097128"/>
    <n v="0.20848444492007437"/>
  </r>
  <r>
    <x v="1103"/>
    <x v="2"/>
    <x v="2"/>
    <x v="1"/>
    <x v="1103"/>
    <n v="10053"/>
    <n v="112512"/>
    <n v="276"/>
    <x v="18"/>
    <d v="2025-01-17T00:00:00"/>
    <n v="8.9350469283276439"/>
    <n v="0.24530716723549489"/>
  </r>
  <r>
    <x v="1104"/>
    <x v="0"/>
    <x v="6"/>
    <x v="2"/>
    <x v="1104"/>
    <n v="68400"/>
    <n v="192669"/>
    <n v="4088"/>
    <x v="5"/>
    <d v="2025-02-06T00:00:00"/>
    <n v="35.501300157264531"/>
    <n v="2.121773611738266"/>
  </r>
  <r>
    <x v="1105"/>
    <x v="2"/>
    <x v="0"/>
    <x v="3"/>
    <x v="1105"/>
    <n v="6790"/>
    <n v="519712"/>
    <n v="4955"/>
    <x v="25"/>
    <d v="2025-01-14T00:00:00"/>
    <n v="1.3064928267963796"/>
    <n v="0.95341265931900743"/>
  </r>
  <r>
    <x v="1106"/>
    <x v="2"/>
    <x v="6"/>
    <x v="1"/>
    <x v="1106"/>
    <n v="46139"/>
    <n v="872042"/>
    <n v="1709"/>
    <x v="13"/>
    <d v="2025-02-04T00:00:00"/>
    <n v="5.2909148871269966"/>
    <n v="0.19597679928260334"/>
  </r>
  <r>
    <x v="1107"/>
    <x v="3"/>
    <x v="3"/>
    <x v="1"/>
    <x v="1107"/>
    <n v="78532"/>
    <n v="487241"/>
    <n v="4191"/>
    <x v="10"/>
    <d v="2025-02-01T00:00:00"/>
    <n v="16.11769124519488"/>
    <n v="0.86014928957128001"/>
  </r>
  <r>
    <x v="1108"/>
    <x v="2"/>
    <x v="6"/>
    <x v="4"/>
    <x v="1108"/>
    <n v="34692"/>
    <n v="143315"/>
    <n v="932"/>
    <x v="4"/>
    <d v="2025-02-11T00:00:00"/>
    <n v="24.206817151030947"/>
    <n v="0.65031573805951925"/>
  </r>
  <r>
    <x v="1109"/>
    <x v="2"/>
    <x v="5"/>
    <x v="4"/>
    <x v="1109"/>
    <n v="91841"/>
    <n v="725447"/>
    <n v="2756"/>
    <x v="18"/>
    <d v="2025-01-23T00:00:00"/>
    <n v="12.659918643264085"/>
    <n v="0.37990370075277724"/>
  </r>
  <r>
    <x v="1110"/>
    <x v="1"/>
    <x v="0"/>
    <x v="1"/>
    <x v="1110"/>
    <n v="18942"/>
    <n v="198324"/>
    <n v="91"/>
    <x v="20"/>
    <d v="2025-01-26T00:00:00"/>
    <n v="9.551037695891571"/>
    <n v="4.5884512212339405E-2"/>
  </r>
  <r>
    <x v="1111"/>
    <x v="1"/>
    <x v="0"/>
    <x v="3"/>
    <x v="1111"/>
    <n v="26219"/>
    <n v="418661"/>
    <n v="2838"/>
    <x v="4"/>
    <d v="2025-02-14T00:00:00"/>
    <n v="6.2625847642842309"/>
    <n v="0.67787541710357546"/>
  </r>
  <r>
    <x v="1112"/>
    <x v="3"/>
    <x v="3"/>
    <x v="4"/>
    <x v="1112"/>
    <n v="32620"/>
    <n v="869142"/>
    <n v="2982"/>
    <x v="27"/>
    <d v="2025-02-03T00:00:00"/>
    <n v="3.7531266467389677"/>
    <n v="0.34309698530274685"/>
  </r>
  <r>
    <x v="1113"/>
    <x v="3"/>
    <x v="6"/>
    <x v="3"/>
    <x v="1113"/>
    <n v="59480"/>
    <n v="2274"/>
    <n v="3126"/>
    <x v="21"/>
    <d v="2025-02-12T00:00:00"/>
    <n v="2615.6552330694813"/>
    <n v="137.46701846965698"/>
  </r>
  <r>
    <x v="1114"/>
    <x v="2"/>
    <x v="3"/>
    <x v="2"/>
    <x v="1114"/>
    <n v="40229"/>
    <n v="11765"/>
    <n v="388"/>
    <x v="23"/>
    <d v="2025-02-04T00:00:00"/>
    <n v="341.9379515512112"/>
    <n v="3.2979175520611985"/>
  </r>
  <r>
    <x v="1115"/>
    <x v="2"/>
    <x v="5"/>
    <x v="2"/>
    <x v="1115"/>
    <n v="75311"/>
    <n v="667365"/>
    <n v="4652"/>
    <x v="16"/>
    <d v="2025-02-16T00:00:00"/>
    <n v="11.284829141474306"/>
    <n v="0.69706981936421597"/>
  </r>
  <r>
    <x v="1116"/>
    <x v="0"/>
    <x v="4"/>
    <x v="3"/>
    <x v="1116"/>
    <n v="80479"/>
    <n v="528641"/>
    <n v="2201"/>
    <x v="19"/>
    <d v="2025-01-28T00:00:00"/>
    <n v="15.223752981702138"/>
    <n v="0.41635060466365642"/>
  </r>
  <r>
    <x v="1117"/>
    <x v="2"/>
    <x v="5"/>
    <x v="1"/>
    <x v="1117"/>
    <n v="39209"/>
    <n v="645896"/>
    <n v="3481"/>
    <x v="10"/>
    <d v="2025-02-11T00:00:00"/>
    <n v="6.0704819351722259"/>
    <n v="0.53894125370028612"/>
  </r>
  <r>
    <x v="1118"/>
    <x v="0"/>
    <x v="2"/>
    <x v="1"/>
    <x v="1118"/>
    <n v="58464"/>
    <n v="905191"/>
    <n v="2326"/>
    <x v="4"/>
    <d v="2025-02-21T00:00:00"/>
    <n v="6.4587473803871225"/>
    <n v="0.25696234275418117"/>
  </r>
  <r>
    <x v="1119"/>
    <x v="1"/>
    <x v="5"/>
    <x v="4"/>
    <x v="1119"/>
    <n v="7082"/>
    <n v="654892"/>
    <n v="3911"/>
    <x v="23"/>
    <d v="2025-02-09T00:00:00"/>
    <n v="1.0813996811688034"/>
    <n v="0.59719770588127508"/>
  </r>
  <r>
    <x v="1120"/>
    <x v="2"/>
    <x v="4"/>
    <x v="4"/>
    <x v="1120"/>
    <n v="94987"/>
    <n v="532748"/>
    <n v="2487"/>
    <x v="9"/>
    <d v="2025-02-02T00:00:00"/>
    <n v="17.829630519495147"/>
    <n v="0.46682484026218773"/>
  </r>
  <r>
    <x v="1121"/>
    <x v="0"/>
    <x v="3"/>
    <x v="4"/>
    <x v="1121"/>
    <n v="22964"/>
    <n v="468291"/>
    <n v="1671"/>
    <x v="11"/>
    <d v="2025-02-05T00:00:00"/>
    <n v="4.903788456323098"/>
    <n v="0.35682940735568269"/>
  </r>
  <r>
    <x v="1122"/>
    <x v="2"/>
    <x v="5"/>
    <x v="1"/>
    <x v="1122"/>
    <n v="5343"/>
    <n v="917741"/>
    <n v="1030"/>
    <x v="3"/>
    <d v="2025-02-17T00:00:00"/>
    <n v="0.5821904001237822"/>
    <n v="0.11223210034203551"/>
  </r>
  <r>
    <x v="1123"/>
    <x v="1"/>
    <x v="3"/>
    <x v="0"/>
    <x v="1123"/>
    <n v="49407"/>
    <n v="553346"/>
    <n v="4836"/>
    <x v="9"/>
    <d v="2025-02-05T00:00:00"/>
    <n v="8.9287715100497689"/>
    <n v="0.87395589739511992"/>
  </r>
  <r>
    <x v="1124"/>
    <x v="1"/>
    <x v="3"/>
    <x v="1"/>
    <x v="1124"/>
    <n v="93814"/>
    <n v="290840"/>
    <n v="118"/>
    <x v="19"/>
    <d v="2025-02-05T00:00:00"/>
    <n v="32.256223353046352"/>
    <n v="4.0572135882272042E-2"/>
  </r>
  <r>
    <x v="1125"/>
    <x v="1"/>
    <x v="0"/>
    <x v="3"/>
    <x v="1125"/>
    <n v="79132"/>
    <n v="411168"/>
    <n v="4562"/>
    <x v="15"/>
    <d v="2025-02-25T00:00:00"/>
    <n v="19.245661140944819"/>
    <n v="1.1095221418009182"/>
  </r>
  <r>
    <x v="1126"/>
    <x v="1"/>
    <x v="5"/>
    <x v="1"/>
    <x v="1126"/>
    <n v="17946"/>
    <n v="828426"/>
    <n v="3160"/>
    <x v="24"/>
    <d v="2025-02-13T00:00:00"/>
    <n v="2.1662767706469861"/>
    <n v="0.38144626074024718"/>
  </r>
  <r>
    <x v="1127"/>
    <x v="1"/>
    <x v="1"/>
    <x v="3"/>
    <x v="1127"/>
    <n v="31983"/>
    <n v="397960"/>
    <n v="2406"/>
    <x v="6"/>
    <d v="2025-02-19T00:00:00"/>
    <n v="8.0367373605387478"/>
    <n v="0.60458337521358929"/>
  </r>
  <r>
    <x v="1128"/>
    <x v="3"/>
    <x v="6"/>
    <x v="0"/>
    <x v="1128"/>
    <n v="58114"/>
    <n v="236774"/>
    <n v="3563"/>
    <x v="25"/>
    <d v="2025-02-06T00:00:00"/>
    <n v="24.54408000878475"/>
    <n v="1.5048104943954996"/>
  </r>
  <r>
    <x v="1129"/>
    <x v="3"/>
    <x v="0"/>
    <x v="3"/>
    <x v="1129"/>
    <n v="36007"/>
    <n v="288261"/>
    <n v="1067"/>
    <x v="9"/>
    <d v="2025-02-11T00:00:00"/>
    <n v="12.491110486677004"/>
    <n v="0.37015066207360692"/>
  </r>
  <r>
    <x v="1130"/>
    <x v="1"/>
    <x v="6"/>
    <x v="4"/>
    <x v="1130"/>
    <n v="24984"/>
    <n v="53808"/>
    <n v="4500"/>
    <x v="18"/>
    <d v="2025-02-13T00:00:00"/>
    <n v="46.431757359500445"/>
    <n v="8.3630686886708308"/>
  </r>
  <r>
    <x v="1131"/>
    <x v="2"/>
    <x v="0"/>
    <x v="2"/>
    <x v="1131"/>
    <n v="59917"/>
    <n v="320785"/>
    <n v="2906"/>
    <x v="27"/>
    <d v="2025-02-22T00:00:00"/>
    <n v="18.678242436522904"/>
    <n v="0.90590270742085832"/>
  </r>
  <r>
    <x v="1132"/>
    <x v="0"/>
    <x v="3"/>
    <x v="4"/>
    <x v="1132"/>
    <n v="36584"/>
    <n v="291033"/>
    <n v="3108"/>
    <x v="5"/>
    <d v="2025-03-06T00:00:00"/>
    <n v="12.570395797040199"/>
    <n v="1.0679201327684491"/>
  </r>
  <r>
    <x v="1133"/>
    <x v="3"/>
    <x v="3"/>
    <x v="1"/>
    <x v="1133"/>
    <n v="65561"/>
    <n v="68818"/>
    <n v="3069"/>
    <x v="26"/>
    <d v="2025-02-12T00:00:00"/>
    <n v="95.267226597692471"/>
    <n v="4.4595890610014823"/>
  </r>
  <r>
    <x v="1134"/>
    <x v="2"/>
    <x v="6"/>
    <x v="1"/>
    <x v="1134"/>
    <n v="26514"/>
    <n v="445400"/>
    <n v="1064"/>
    <x v="17"/>
    <d v="2025-03-03T00:00:00"/>
    <n v="5.9528513695554555"/>
    <n v="0.23888639425235741"/>
  </r>
  <r>
    <x v="1135"/>
    <x v="1"/>
    <x v="6"/>
    <x v="2"/>
    <x v="1135"/>
    <n v="56020"/>
    <n v="787618"/>
    <n v="623"/>
    <x v="13"/>
    <d v="2025-03-05T00:00:00"/>
    <n v="7.1125850348773136"/>
    <n v="7.9099258777732356E-2"/>
  </r>
  <r>
    <x v="1136"/>
    <x v="1"/>
    <x v="5"/>
    <x v="1"/>
    <x v="1136"/>
    <n v="46339"/>
    <n v="85289"/>
    <n v="3466"/>
    <x v="1"/>
    <d v="2025-02-24T00:00:00"/>
    <n v="54.331742663180485"/>
    <n v="4.0638300366987536"/>
  </r>
  <r>
    <x v="1137"/>
    <x v="2"/>
    <x v="5"/>
    <x v="4"/>
    <x v="1137"/>
    <n v="20077"/>
    <n v="362045"/>
    <n v="3928"/>
    <x v="8"/>
    <d v="2025-03-02T00:00:00"/>
    <n v="5.5454432460053305"/>
    <n v="1.0849480037011974"/>
  </r>
  <r>
    <x v="1138"/>
    <x v="1"/>
    <x v="0"/>
    <x v="4"/>
    <x v="1138"/>
    <n v="72142"/>
    <n v="606856"/>
    <n v="3589"/>
    <x v="13"/>
    <d v="2025-03-08T00:00:00"/>
    <n v="11.88782841398948"/>
    <n v="0.59140883504488706"/>
  </r>
  <r>
    <x v="1139"/>
    <x v="2"/>
    <x v="6"/>
    <x v="1"/>
    <x v="1139"/>
    <n v="44920"/>
    <n v="108218"/>
    <n v="2678"/>
    <x v="12"/>
    <d v="2025-03-07T00:00:00"/>
    <n v="41.50880629839768"/>
    <n v="2.474634533996193"/>
  </r>
  <r>
    <x v="1140"/>
    <x v="0"/>
    <x v="1"/>
    <x v="2"/>
    <x v="1140"/>
    <n v="50856"/>
    <n v="516150"/>
    <n v="18"/>
    <x v="28"/>
    <d v="2025-03-16T00:00:00"/>
    <n v="9.8529497239174653"/>
    <n v="3.4873583260680032E-3"/>
  </r>
  <r>
    <x v="1141"/>
    <x v="0"/>
    <x v="1"/>
    <x v="0"/>
    <x v="1141"/>
    <n v="92345"/>
    <n v="731315"/>
    <n v="39"/>
    <x v="16"/>
    <d v="2025-03-14T00:00:00"/>
    <n v="12.627253645829772"/>
    <n v="5.3328593013954317E-3"/>
  </r>
  <r>
    <x v="1142"/>
    <x v="0"/>
    <x v="4"/>
    <x v="1"/>
    <x v="1142"/>
    <n v="39007"/>
    <n v="21064"/>
    <n v="2082"/>
    <x v="6"/>
    <d v="2025-03-06T00:00:00"/>
    <n v="185.18325104443599"/>
    <n v="9.8841625522218006"/>
  </r>
  <r>
    <x v="1143"/>
    <x v="1"/>
    <x v="0"/>
    <x v="4"/>
    <x v="1143"/>
    <n v="15481"/>
    <n v="795924"/>
    <n v="3621"/>
    <x v="28"/>
    <d v="2025-03-19T00:00:00"/>
    <n v="1.945034953085973"/>
    <n v="0.45494293425000376"/>
  </r>
  <r>
    <x v="1144"/>
    <x v="2"/>
    <x v="1"/>
    <x v="2"/>
    <x v="1144"/>
    <n v="88682"/>
    <n v="352622"/>
    <n v="4066"/>
    <x v="2"/>
    <d v="2025-02-24T00:00:00"/>
    <n v="25.149310026033543"/>
    <n v="1.1530760984850632"/>
  </r>
  <r>
    <x v="1145"/>
    <x v="0"/>
    <x v="2"/>
    <x v="3"/>
    <x v="1145"/>
    <n v="64129"/>
    <n v="40197"/>
    <n v="979"/>
    <x v="5"/>
    <d v="2025-03-19T00:00:00"/>
    <n v="159.53678135184217"/>
    <n v="2.4355051371992937"/>
  </r>
  <r>
    <x v="1146"/>
    <x v="0"/>
    <x v="3"/>
    <x v="0"/>
    <x v="1146"/>
    <n v="28774"/>
    <n v="331519"/>
    <n v="2434"/>
    <x v="6"/>
    <d v="2025-03-10T00:00:00"/>
    <n v="8.6794422039159151"/>
    <n v="0.73419623008032731"/>
  </r>
  <r>
    <x v="1147"/>
    <x v="1"/>
    <x v="3"/>
    <x v="2"/>
    <x v="1147"/>
    <n v="68855"/>
    <n v="655272"/>
    <n v="4515"/>
    <x v="7"/>
    <d v="2025-02-23T00:00:00"/>
    <n v="10.507850175194424"/>
    <n v="0.68902684686664462"/>
  </r>
  <r>
    <x v="1148"/>
    <x v="0"/>
    <x v="3"/>
    <x v="1"/>
    <x v="1148"/>
    <n v="53316"/>
    <n v="490946"/>
    <n v="3208"/>
    <x v="5"/>
    <d v="2025-03-22T00:00:00"/>
    <n v="10.85985016682079"/>
    <n v="0.65343235304901148"/>
  </r>
  <r>
    <x v="1149"/>
    <x v="2"/>
    <x v="6"/>
    <x v="2"/>
    <x v="1149"/>
    <n v="60113"/>
    <n v="890579"/>
    <n v="4408"/>
    <x v="17"/>
    <d v="2025-03-18T00:00:00"/>
    <n v="6.7498784498623925"/>
    <n v="0.49495889752621602"/>
  </r>
  <r>
    <x v="1150"/>
    <x v="0"/>
    <x v="6"/>
    <x v="2"/>
    <x v="1150"/>
    <n v="93206"/>
    <n v="575198"/>
    <n v="3310"/>
    <x v="14"/>
    <d v="2025-03-08T00:00:00"/>
    <n v="16.204159263418859"/>
    <n v="0.57545401757307912"/>
  </r>
  <r>
    <x v="1151"/>
    <x v="2"/>
    <x v="0"/>
    <x v="4"/>
    <x v="1151"/>
    <n v="78160"/>
    <n v="653305"/>
    <n v="3293"/>
    <x v="5"/>
    <d v="2025-03-25T00:00:00"/>
    <n v="11.96378414370011"/>
    <n v="0.50405247166331191"/>
  </r>
  <r>
    <x v="1152"/>
    <x v="2"/>
    <x v="3"/>
    <x v="1"/>
    <x v="1152"/>
    <n v="23781"/>
    <n v="128701"/>
    <n v="677"/>
    <x v="19"/>
    <d v="2025-03-05T00:00:00"/>
    <n v="18.477711905890398"/>
    <n v="0.5260254388077793"/>
  </r>
  <r>
    <x v="1153"/>
    <x v="1"/>
    <x v="2"/>
    <x v="4"/>
    <x v="1153"/>
    <n v="66289"/>
    <n v="524467"/>
    <n v="366"/>
    <x v="15"/>
    <d v="2025-03-25T00:00:00"/>
    <n v="12.639308097554277"/>
    <n v="6.9785134241048541E-2"/>
  </r>
  <r>
    <x v="1154"/>
    <x v="2"/>
    <x v="5"/>
    <x v="4"/>
    <x v="1154"/>
    <n v="6016"/>
    <n v="677558"/>
    <n v="4943"/>
    <x v="16"/>
    <d v="2025-03-27T00:00:00"/>
    <n v="0.88789446807505767"/>
    <n v="0.72953164157164407"/>
  </r>
  <r>
    <x v="1155"/>
    <x v="2"/>
    <x v="2"/>
    <x v="2"/>
    <x v="1155"/>
    <n v="75065"/>
    <n v="917257"/>
    <n v="4373"/>
    <x v="13"/>
    <d v="2025-03-25T00:00:00"/>
    <n v="8.1836388275041774"/>
    <n v="0.47674752005163218"/>
  </r>
  <r>
    <x v="1156"/>
    <x v="2"/>
    <x v="6"/>
    <x v="0"/>
    <x v="1156"/>
    <n v="78385"/>
    <n v="589136"/>
    <n v="1633"/>
    <x v="15"/>
    <d v="2025-03-28T00:00:00"/>
    <n v="13.305077265690773"/>
    <n v="0.2771855734499335"/>
  </r>
  <r>
    <x v="1157"/>
    <x v="1"/>
    <x v="2"/>
    <x v="0"/>
    <x v="1157"/>
    <n v="76868"/>
    <n v="357048"/>
    <n v="2455"/>
    <x v="11"/>
    <d v="2025-03-13T00:00:00"/>
    <n v="21.528758038134928"/>
    <n v="0.68758262194438835"/>
  </r>
  <r>
    <x v="1158"/>
    <x v="0"/>
    <x v="6"/>
    <x v="0"/>
    <x v="1158"/>
    <n v="53505"/>
    <n v="223099"/>
    <n v="2063"/>
    <x v="6"/>
    <d v="2025-03-22T00:00:00"/>
    <n v="23.982626546958976"/>
    <n v="0.92470158987713968"/>
  </r>
  <r>
    <x v="1159"/>
    <x v="2"/>
    <x v="2"/>
    <x v="0"/>
    <x v="1159"/>
    <n v="93227"/>
    <n v="456031"/>
    <n v="387"/>
    <x v="8"/>
    <d v="2025-03-24T00:00:00"/>
    <n v="20.443127769822667"/>
    <n v="8.4862651881122117E-2"/>
  </r>
  <r>
    <x v="1160"/>
    <x v="1"/>
    <x v="4"/>
    <x v="4"/>
    <x v="1160"/>
    <n v="97092"/>
    <n v="797769"/>
    <n v="1641"/>
    <x v="5"/>
    <d v="2025-04-03T00:00:00"/>
    <n v="12.170440315429655"/>
    <n v="0.20569864208812325"/>
  </r>
  <r>
    <x v="1161"/>
    <x v="0"/>
    <x v="6"/>
    <x v="0"/>
    <x v="1161"/>
    <n v="12105"/>
    <n v="815345"/>
    <n v="1671"/>
    <x v="7"/>
    <d v="2025-03-09T00:00:00"/>
    <n v="1.4846476031618518"/>
    <n v="0.20494391944514287"/>
  </r>
  <r>
    <x v="1162"/>
    <x v="2"/>
    <x v="1"/>
    <x v="3"/>
    <x v="1162"/>
    <n v="12851"/>
    <n v="357008"/>
    <n v="3198"/>
    <x v="10"/>
    <d v="2025-03-28T00:00:00"/>
    <n v="3.5996392237708958"/>
    <n v="0.89577824586563881"/>
  </r>
  <r>
    <x v="1163"/>
    <x v="2"/>
    <x v="2"/>
    <x v="4"/>
    <x v="1163"/>
    <n v="16834"/>
    <n v="574012"/>
    <n v="3033"/>
    <x v="12"/>
    <d v="2025-03-31T00:00:00"/>
    <n v="2.9326913026208512"/>
    <n v="0.52838616614286804"/>
  </r>
  <r>
    <x v="1164"/>
    <x v="0"/>
    <x v="4"/>
    <x v="3"/>
    <x v="1164"/>
    <n v="89920"/>
    <n v="496419"/>
    <n v="2483"/>
    <x v="9"/>
    <d v="2025-03-18T00:00:00"/>
    <n v="18.113730538113973"/>
    <n v="0.50018230567323163"/>
  </r>
  <r>
    <x v="1165"/>
    <x v="0"/>
    <x v="1"/>
    <x v="3"/>
    <x v="1165"/>
    <n v="73993"/>
    <n v="433735"/>
    <n v="3377"/>
    <x v="28"/>
    <d v="2025-04-10T00:00:00"/>
    <n v="17.059494852847937"/>
    <n v="0.77858600297416625"/>
  </r>
  <r>
    <x v="1166"/>
    <x v="1"/>
    <x v="1"/>
    <x v="4"/>
    <x v="1166"/>
    <n v="11589"/>
    <n v="584834"/>
    <n v="495"/>
    <x v="19"/>
    <d v="2025-03-19T00:00:00"/>
    <n v="1.9815879377737957"/>
    <n v="8.4639401949955034E-2"/>
  </r>
  <r>
    <x v="1167"/>
    <x v="0"/>
    <x v="4"/>
    <x v="1"/>
    <x v="1167"/>
    <n v="70356"/>
    <n v="324813"/>
    <n v="4642"/>
    <x v="16"/>
    <d v="2025-04-09T00:00:00"/>
    <n v="21.660463097228252"/>
    <n v="1.4291299917183118"/>
  </r>
  <r>
    <x v="1168"/>
    <x v="2"/>
    <x v="1"/>
    <x v="3"/>
    <x v="1168"/>
    <n v="79901"/>
    <n v="959002"/>
    <n v="1747"/>
    <x v="14"/>
    <d v="2025-03-26T00:00:00"/>
    <n v="8.3316823114028971"/>
    <n v="0.18216854605099883"/>
  </r>
  <r>
    <x v="1169"/>
    <x v="2"/>
    <x v="5"/>
    <x v="1"/>
    <x v="1169"/>
    <n v="23255"/>
    <n v="194624"/>
    <n v="3260"/>
    <x v="16"/>
    <d v="2025-04-11T00:00:00"/>
    <n v="11.9486805327195"/>
    <n v="1.6750246629398224"/>
  </r>
  <r>
    <x v="1170"/>
    <x v="0"/>
    <x v="4"/>
    <x v="0"/>
    <x v="1170"/>
    <n v="39950"/>
    <n v="436525"/>
    <n v="1709"/>
    <x v="26"/>
    <d v="2025-03-21T00:00:00"/>
    <n v="9.1518240650592748"/>
    <n v="0.39150105950403757"/>
  </r>
  <r>
    <x v="1171"/>
    <x v="2"/>
    <x v="2"/>
    <x v="0"/>
    <x v="1171"/>
    <n v="54328"/>
    <n v="599143"/>
    <n v="3169"/>
    <x v="2"/>
    <d v="2025-03-23T00:00:00"/>
    <n v="9.0676182480643188"/>
    <n v="0.52892214379538771"/>
  </r>
  <r>
    <x v="1172"/>
    <x v="0"/>
    <x v="0"/>
    <x v="4"/>
    <x v="1172"/>
    <n v="14570"/>
    <n v="597852"/>
    <n v="1943"/>
    <x v="10"/>
    <d v="2025-04-07T00:00:00"/>
    <n v="2.4370580009768306"/>
    <n v="0.3249968219559356"/>
  </r>
  <r>
    <x v="1173"/>
    <x v="1"/>
    <x v="0"/>
    <x v="3"/>
    <x v="1173"/>
    <n v="25231"/>
    <n v="532068"/>
    <n v="2432"/>
    <x v="13"/>
    <d v="2025-04-12T00:00:00"/>
    <n v="4.7420630445732499"/>
    <n v="0.45708443281685801"/>
  </r>
  <r>
    <x v="1174"/>
    <x v="0"/>
    <x v="5"/>
    <x v="4"/>
    <x v="1174"/>
    <n v="10966"/>
    <n v="693817"/>
    <n v="594"/>
    <x v="27"/>
    <d v="2025-04-06T00:00:00"/>
    <n v="1.5805320423108689"/>
    <n v="8.5613353377043233E-2"/>
  </r>
  <r>
    <x v="1175"/>
    <x v="1"/>
    <x v="4"/>
    <x v="2"/>
    <x v="1175"/>
    <n v="80991"/>
    <n v="914152"/>
    <n v="1801"/>
    <x v="0"/>
    <d v="2025-04-05T00:00:00"/>
    <n v="8.8596863541292912"/>
    <n v="0.19701318817877114"/>
  </r>
  <r>
    <x v="1176"/>
    <x v="2"/>
    <x v="0"/>
    <x v="4"/>
    <x v="1176"/>
    <n v="35485"/>
    <n v="6781"/>
    <n v="326"/>
    <x v="13"/>
    <d v="2025-04-15T00:00:00"/>
    <n v="523.30039817136117"/>
    <n v="4.8075505087745167"/>
  </r>
  <r>
    <x v="1177"/>
    <x v="2"/>
    <x v="5"/>
    <x v="1"/>
    <x v="1177"/>
    <n v="27445"/>
    <n v="602670"/>
    <n v="693"/>
    <x v="14"/>
    <d v="2025-04-04T00:00:00"/>
    <n v="4.5539018036404668"/>
    <n v="0.11498830205585145"/>
  </r>
  <r>
    <x v="1178"/>
    <x v="2"/>
    <x v="5"/>
    <x v="2"/>
    <x v="1178"/>
    <n v="69142"/>
    <n v="107751"/>
    <n v="573"/>
    <x v="18"/>
    <d v="2025-04-02T00:00:00"/>
    <n v="64.168313983164893"/>
    <n v="0.53178160759528914"/>
  </r>
  <r>
    <x v="1179"/>
    <x v="0"/>
    <x v="5"/>
    <x v="0"/>
    <x v="1179"/>
    <n v="65801"/>
    <n v="323677"/>
    <n v="4216"/>
    <x v="16"/>
    <d v="2025-04-21T00:00:00"/>
    <n v="20.329217089876636"/>
    <n v="1.3025330808182232"/>
  </r>
  <r>
    <x v="1180"/>
    <x v="2"/>
    <x v="5"/>
    <x v="0"/>
    <x v="1180"/>
    <n v="52970"/>
    <n v="381270"/>
    <n v="1219"/>
    <x v="6"/>
    <d v="2025-04-13T00:00:00"/>
    <n v="13.893041676502216"/>
    <n v="0.31972093267238438"/>
  </r>
  <r>
    <x v="1181"/>
    <x v="2"/>
    <x v="2"/>
    <x v="3"/>
    <x v="1181"/>
    <n v="22544"/>
    <n v="664183"/>
    <n v="4076"/>
    <x v="3"/>
    <d v="2025-04-17T00:00:00"/>
    <n v="3.3942452607188081"/>
    <n v="0.6136862882669385"/>
  </r>
  <r>
    <x v="1182"/>
    <x v="2"/>
    <x v="0"/>
    <x v="2"/>
    <x v="1182"/>
    <n v="1630"/>
    <n v="985569"/>
    <n v="3914"/>
    <x v="20"/>
    <d v="2025-04-08T00:00:00"/>
    <n v="0.16538669540133669"/>
    <n v="0.39713099742382318"/>
  </r>
  <r>
    <x v="1183"/>
    <x v="2"/>
    <x v="4"/>
    <x v="4"/>
    <x v="1183"/>
    <n v="95267"/>
    <n v="479598"/>
    <n v="3447"/>
    <x v="0"/>
    <d v="2025-04-13T00:00:00"/>
    <n v="19.863927706120542"/>
    <n v="0.71872693380706343"/>
  </r>
  <r>
    <x v="1184"/>
    <x v="0"/>
    <x v="2"/>
    <x v="4"/>
    <x v="1184"/>
    <n v="1648"/>
    <n v="189713"/>
    <n v="1987"/>
    <x v="3"/>
    <d v="2025-04-20T00:00:00"/>
    <n v="0.86868058593770592"/>
    <n v="1.0473715559819305"/>
  </r>
  <r>
    <x v="1185"/>
    <x v="2"/>
    <x v="4"/>
    <x v="1"/>
    <x v="1185"/>
    <n v="60073"/>
    <n v="823316"/>
    <n v="1382"/>
    <x v="28"/>
    <d v="2025-04-30T00:00:00"/>
    <n v="7.2964693993557761"/>
    <n v="0.16785778486024808"/>
  </r>
  <r>
    <x v="1186"/>
    <x v="3"/>
    <x v="4"/>
    <x v="3"/>
    <x v="1186"/>
    <n v="61216"/>
    <n v="835828"/>
    <n v="3136"/>
    <x v="11"/>
    <d v="2025-04-11T00:00:00"/>
    <n v="7.3239948889005868"/>
    <n v="0.37519681082710798"/>
  </r>
  <r>
    <x v="1187"/>
    <x v="2"/>
    <x v="1"/>
    <x v="3"/>
    <x v="1187"/>
    <n v="21761"/>
    <n v="917281"/>
    <n v="2898"/>
    <x v="25"/>
    <d v="2025-04-06T00:00:00"/>
    <n v="2.372337375351719"/>
    <n v="0.31593372150954835"/>
  </r>
  <r>
    <x v="1188"/>
    <x v="1"/>
    <x v="5"/>
    <x v="1"/>
    <x v="1188"/>
    <n v="12729"/>
    <n v="27332"/>
    <n v="4604"/>
    <x v="3"/>
    <d v="2025-04-24T00:00:00"/>
    <n v="46.571783989462901"/>
    <n v="16.844724132884529"/>
  </r>
  <r>
    <x v="1189"/>
    <x v="1"/>
    <x v="4"/>
    <x v="0"/>
    <x v="1189"/>
    <n v="67253"/>
    <n v="355266"/>
    <n v="1832"/>
    <x v="3"/>
    <d v="2025-04-25T00:00:00"/>
    <n v="18.93032263149302"/>
    <n v="0.51566994871448435"/>
  </r>
  <r>
    <x v="1190"/>
    <x v="2"/>
    <x v="4"/>
    <x v="4"/>
    <x v="1190"/>
    <n v="50143"/>
    <n v="983543"/>
    <n v="4151"/>
    <x v="18"/>
    <d v="2025-04-14T00:00:00"/>
    <n v="5.0982010954274495"/>
    <n v="0.42204560451347833"/>
  </r>
  <r>
    <x v="1191"/>
    <x v="0"/>
    <x v="6"/>
    <x v="2"/>
    <x v="1191"/>
    <n v="59899"/>
    <n v="847179"/>
    <n v="3332"/>
    <x v="12"/>
    <d v="2025-04-28T00:00:00"/>
    <n v="7.0704066082846708"/>
    <n v="0.39330531092012433"/>
  </r>
  <r>
    <x v="1192"/>
    <x v="3"/>
    <x v="0"/>
    <x v="0"/>
    <x v="1192"/>
    <n v="42752"/>
    <n v="197653"/>
    <n v="3239"/>
    <x v="27"/>
    <d v="2025-04-24T00:00:00"/>
    <n v="21.629826008206301"/>
    <n v="1.6387305024462062"/>
  </r>
  <r>
    <x v="1193"/>
    <x v="0"/>
    <x v="2"/>
    <x v="3"/>
    <x v="1193"/>
    <n v="31397"/>
    <n v="453799"/>
    <n v="4010"/>
    <x v="22"/>
    <d v="2025-04-11T00:00:00"/>
    <n v="6.9187018922474488"/>
    <n v="0.88365113188878774"/>
  </r>
  <r>
    <x v="1194"/>
    <x v="2"/>
    <x v="4"/>
    <x v="0"/>
    <x v="1194"/>
    <n v="19737"/>
    <n v="574118"/>
    <n v="4678"/>
    <x v="20"/>
    <d v="2025-04-20T00:00:00"/>
    <n v="3.4377950177489645"/>
    <n v="0.81481507285958643"/>
  </r>
  <r>
    <x v="1195"/>
    <x v="2"/>
    <x v="2"/>
    <x v="4"/>
    <x v="1195"/>
    <n v="5504"/>
    <n v="106795"/>
    <n v="2979"/>
    <x v="19"/>
    <d v="2025-04-17T00:00:00"/>
    <n v="5.1537993351748677"/>
    <n v="2.7894564352263682"/>
  </r>
  <r>
    <x v="1196"/>
    <x v="1"/>
    <x v="0"/>
    <x v="2"/>
    <x v="1196"/>
    <n v="20544"/>
    <n v="514482"/>
    <n v="4224"/>
    <x v="7"/>
    <d v="2025-04-13T00:00:00"/>
    <n v="3.993142617234422"/>
    <n v="0.82101997737530175"/>
  </r>
  <r>
    <x v="1197"/>
    <x v="2"/>
    <x v="5"/>
    <x v="2"/>
    <x v="1197"/>
    <n v="72138"/>
    <n v="712637"/>
    <n v="474"/>
    <x v="22"/>
    <d v="2025-04-15T00:00:00"/>
    <n v="10.122685181936946"/>
    <n v="6.6513526521917887E-2"/>
  </r>
  <r>
    <x v="1198"/>
    <x v="0"/>
    <x v="5"/>
    <x v="2"/>
    <x v="1198"/>
    <n v="94111"/>
    <n v="900124"/>
    <n v="367"/>
    <x v="13"/>
    <d v="2025-05-07T00:00:00"/>
    <n v="10.455337264643539"/>
    <n v="4.0772160280139177E-2"/>
  </r>
  <r>
    <x v="1199"/>
    <x v="1"/>
    <x v="4"/>
    <x v="0"/>
    <x v="1199"/>
    <n v="95241"/>
    <n v="339463"/>
    <n v="1788"/>
    <x v="22"/>
    <d v="2025-04-17T00:00:00"/>
    <n v="28.056371386572319"/>
    <n v="0.52671425162683416"/>
  </r>
  <r>
    <x v="1200"/>
    <x v="1"/>
    <x v="2"/>
    <x v="3"/>
    <x v="1200"/>
    <n v="17963"/>
    <n v="731634"/>
    <n v="3666"/>
    <x v="6"/>
    <d v="2025-05-03T00:00:00"/>
    <n v="2.4551893433055327"/>
    <n v="0.50107020723476492"/>
  </r>
  <r>
    <x v="1201"/>
    <x v="0"/>
    <x v="2"/>
    <x v="2"/>
    <x v="1201"/>
    <n v="19824"/>
    <n v="974637"/>
    <n v="3075"/>
    <x v="27"/>
    <d v="2025-05-03T00:00:00"/>
    <n v="2.0339880386236109"/>
    <n v="0.31550207923565388"/>
  </r>
  <r>
    <x v="1202"/>
    <x v="0"/>
    <x v="6"/>
    <x v="0"/>
    <x v="1202"/>
    <n v="49735"/>
    <n v="951528"/>
    <n v="1503"/>
    <x v="22"/>
    <d v="2025-04-20T00:00:00"/>
    <n v="5.2268561723879907"/>
    <n v="0.15795646581078016"/>
  </r>
  <r>
    <x v="1203"/>
    <x v="2"/>
    <x v="1"/>
    <x v="1"/>
    <x v="1203"/>
    <n v="87105"/>
    <n v="211799"/>
    <n v="3535"/>
    <x v="3"/>
    <d v="2025-05-09T00:00:00"/>
    <n v="41.126256497906034"/>
    <n v="1.6690352645668771"/>
  </r>
  <r>
    <x v="1204"/>
    <x v="2"/>
    <x v="5"/>
    <x v="0"/>
    <x v="1204"/>
    <n v="26414"/>
    <n v="507945"/>
    <n v="831"/>
    <x v="28"/>
    <d v="2025-05-19T00:00:00"/>
    <n v="5.200169309669354"/>
    <n v="0.16360038980598293"/>
  </r>
  <r>
    <x v="1205"/>
    <x v="1"/>
    <x v="1"/>
    <x v="2"/>
    <x v="1205"/>
    <n v="50746"/>
    <n v="861202"/>
    <n v="4608"/>
    <x v="21"/>
    <d v="2025-05-15T00:00:00"/>
    <n v="5.8924619311148829"/>
    <n v="0.53506610528075882"/>
  </r>
  <r>
    <x v="1206"/>
    <x v="1"/>
    <x v="4"/>
    <x v="0"/>
    <x v="1206"/>
    <n v="80417"/>
    <n v="193413"/>
    <n v="3247"/>
    <x v="12"/>
    <d v="2025-05-13T00:00:00"/>
    <n v="41.577867051335744"/>
    <n v="1.6787909809578467"/>
  </r>
  <r>
    <x v="1207"/>
    <x v="2"/>
    <x v="5"/>
    <x v="1"/>
    <x v="1207"/>
    <n v="70919"/>
    <n v="674964"/>
    <n v="4001"/>
    <x v="13"/>
    <d v="2025-05-16T00:00:00"/>
    <n v="10.507078896059642"/>
    <n v="0.59277235526635497"/>
  </r>
  <r>
    <x v="1208"/>
    <x v="1"/>
    <x v="4"/>
    <x v="3"/>
    <x v="1208"/>
    <n v="12047"/>
    <n v="732780"/>
    <n v="2620"/>
    <x v="16"/>
    <d v="2025-05-20T00:00:00"/>
    <n v="1.6440132099675209"/>
    <n v="0.35754250934796256"/>
  </r>
  <r>
    <x v="1209"/>
    <x v="0"/>
    <x v="4"/>
    <x v="0"/>
    <x v="1209"/>
    <n v="95183"/>
    <n v="215010"/>
    <n v="2156"/>
    <x v="14"/>
    <d v="2025-05-06T00:00:00"/>
    <n v="44.269103762615693"/>
    <n v="1.0027440584158875"/>
  </r>
  <r>
    <x v="1210"/>
    <x v="0"/>
    <x v="5"/>
    <x v="2"/>
    <x v="1210"/>
    <n v="64440"/>
    <n v="915049"/>
    <n v="4076"/>
    <x v="17"/>
    <d v="2025-05-18T00:00:00"/>
    <n v="7.0422458250869626"/>
    <n v="0.44544062667682277"/>
  </r>
  <r>
    <x v="1211"/>
    <x v="1"/>
    <x v="4"/>
    <x v="0"/>
    <x v="1211"/>
    <n v="46035"/>
    <n v="72664"/>
    <n v="4703"/>
    <x v="24"/>
    <d v="2025-05-09T00:00:00"/>
    <n v="63.353242320819113"/>
    <n v="6.4722558626004627"/>
  </r>
  <r>
    <x v="1212"/>
    <x v="2"/>
    <x v="3"/>
    <x v="0"/>
    <x v="1212"/>
    <n v="56545"/>
    <n v="987547"/>
    <n v="495"/>
    <x v="13"/>
    <d v="2025-05-21T00:00:00"/>
    <n v="5.7258034301152252"/>
    <n v="5.0124196620515281E-2"/>
  </r>
  <r>
    <x v="1213"/>
    <x v="2"/>
    <x v="2"/>
    <x v="3"/>
    <x v="1213"/>
    <n v="18979"/>
    <n v="660621"/>
    <n v="2266"/>
    <x v="8"/>
    <d v="2025-05-17T00:00:00"/>
    <n v="2.8729029201312097"/>
    <n v="0.34301059154946634"/>
  </r>
  <r>
    <x v="1214"/>
    <x v="1"/>
    <x v="5"/>
    <x v="0"/>
    <x v="1214"/>
    <n v="81173"/>
    <n v="11162"/>
    <n v="2452"/>
    <x v="6"/>
    <d v="2025-05-17T00:00:00"/>
    <n v="727.22630352983333"/>
    <n v="21.967389356746104"/>
  </r>
  <r>
    <x v="1215"/>
    <x v="2"/>
    <x v="6"/>
    <x v="2"/>
    <x v="1215"/>
    <n v="99169"/>
    <n v="969363"/>
    <n v="221"/>
    <x v="9"/>
    <d v="2025-05-08T00:00:00"/>
    <n v="10.230326513390754"/>
    <n v="2.2798476937947912E-2"/>
  </r>
  <r>
    <x v="1216"/>
    <x v="1"/>
    <x v="5"/>
    <x v="4"/>
    <x v="1216"/>
    <n v="17478"/>
    <n v="378524"/>
    <n v="1711"/>
    <x v="8"/>
    <d v="2025-05-20T00:00:00"/>
    <n v="4.6174086715769675"/>
    <n v="0.4520188944426245"/>
  </r>
  <r>
    <x v="1217"/>
    <x v="1"/>
    <x v="4"/>
    <x v="2"/>
    <x v="1217"/>
    <n v="95188"/>
    <n v="492689"/>
    <n v="789"/>
    <x v="17"/>
    <d v="2025-05-25T00:00:00"/>
    <n v="19.320098479974181"/>
    <n v="0.16014159033386174"/>
  </r>
  <r>
    <x v="1218"/>
    <x v="2"/>
    <x v="6"/>
    <x v="1"/>
    <x v="1218"/>
    <n v="68271"/>
    <n v="994551"/>
    <n v="1861"/>
    <x v="7"/>
    <d v="2025-05-05T00:00:00"/>
    <n v="6.8645046860342003"/>
    <n v="0.18711961478094136"/>
  </r>
  <r>
    <x v="1219"/>
    <x v="2"/>
    <x v="5"/>
    <x v="1"/>
    <x v="1219"/>
    <n v="87944"/>
    <n v="440327"/>
    <n v="840"/>
    <x v="18"/>
    <d v="2025-05-13T00:00:00"/>
    <n v="19.972429580743402"/>
    <n v="0.19076731610825592"/>
  </r>
  <r>
    <x v="1220"/>
    <x v="2"/>
    <x v="2"/>
    <x v="4"/>
    <x v="1220"/>
    <n v="33591"/>
    <n v="444187"/>
    <n v="4361"/>
    <x v="20"/>
    <d v="2025-05-16T00:00:00"/>
    <n v="7.5623554944201432"/>
    <n v="0.98179370400304378"/>
  </r>
  <r>
    <x v="1221"/>
    <x v="0"/>
    <x v="5"/>
    <x v="1"/>
    <x v="1221"/>
    <n v="42821"/>
    <n v="697796"/>
    <n v="2205"/>
    <x v="23"/>
    <d v="2025-05-22T00:00:00"/>
    <n v="6.1366072605747242"/>
    <n v="0.31599493261640937"/>
  </r>
  <r>
    <x v="1222"/>
    <x v="1"/>
    <x v="3"/>
    <x v="2"/>
    <x v="1222"/>
    <n v="68390"/>
    <n v="353235"/>
    <n v="2810"/>
    <x v="16"/>
    <d v="2025-06-03T00:00:00"/>
    <n v="19.3610485937124"/>
    <n v="0.79550440924596943"/>
  </r>
  <r>
    <x v="1223"/>
    <x v="2"/>
    <x v="0"/>
    <x v="1"/>
    <x v="1223"/>
    <n v="82568"/>
    <n v="968981"/>
    <n v="762"/>
    <x v="14"/>
    <d v="2025-05-20T00:00:00"/>
    <n v="8.521116513120484"/>
    <n v="7.86393128451435E-2"/>
  </r>
  <r>
    <x v="1224"/>
    <x v="0"/>
    <x v="4"/>
    <x v="0"/>
    <x v="1224"/>
    <n v="1815"/>
    <n v="26805"/>
    <n v="3322"/>
    <x v="11"/>
    <d v="2025-05-19T00:00:00"/>
    <n v="6.7711247901510907"/>
    <n v="12.393210221973511"/>
  </r>
  <r>
    <x v="1225"/>
    <x v="1"/>
    <x v="3"/>
    <x v="4"/>
    <x v="1225"/>
    <n v="89013"/>
    <n v="756669"/>
    <n v="4663"/>
    <x v="21"/>
    <d v="2025-06-04T00:00:00"/>
    <n v="11.76379632309504"/>
    <n v="0.61625360626641235"/>
  </r>
  <r>
    <x v="1226"/>
    <x v="1"/>
    <x v="0"/>
    <x v="0"/>
    <x v="1226"/>
    <n v="67234"/>
    <n v="980117"/>
    <n v="808"/>
    <x v="6"/>
    <d v="2025-05-29T00:00:00"/>
    <n v="6.8597932695790398"/>
    <n v="8.243913736829378E-2"/>
  </r>
  <r>
    <x v="1227"/>
    <x v="3"/>
    <x v="0"/>
    <x v="3"/>
    <x v="1227"/>
    <n v="48352"/>
    <n v="418170"/>
    <n v="2573"/>
    <x v="2"/>
    <d v="2025-05-18T00:00:00"/>
    <n v="11.562761556304853"/>
    <n v="0.61529999760862808"/>
  </r>
  <r>
    <x v="1228"/>
    <x v="2"/>
    <x v="1"/>
    <x v="4"/>
    <x v="1228"/>
    <n v="75191"/>
    <n v="230427"/>
    <n v="4363"/>
    <x v="19"/>
    <d v="2025-05-20T00:00:00"/>
    <n v="32.631158674981663"/>
    <n v="1.8934413067913047"/>
  </r>
  <r>
    <x v="1229"/>
    <x v="2"/>
    <x v="6"/>
    <x v="3"/>
    <x v="1229"/>
    <n v="97362"/>
    <n v="412242"/>
    <n v="1321"/>
    <x v="24"/>
    <d v="2025-05-27T00:00:00"/>
    <n v="23.61768087676656"/>
    <n v="0.32044284667743705"/>
  </r>
  <r>
    <x v="1230"/>
    <x v="1"/>
    <x v="2"/>
    <x v="3"/>
    <x v="1230"/>
    <n v="77739"/>
    <n v="376720"/>
    <n v="2581"/>
    <x v="10"/>
    <d v="2025-06-04T00:00:00"/>
    <n v="20.635750690167765"/>
    <n v="0.68512423019749424"/>
  </r>
  <r>
    <x v="1231"/>
    <x v="2"/>
    <x v="0"/>
    <x v="3"/>
    <x v="1231"/>
    <n v="79578"/>
    <n v="188479"/>
    <n v="786"/>
    <x v="0"/>
    <d v="2025-05-31T00:00:00"/>
    <n v="42.221149305758196"/>
    <n v="0.41702258607059672"/>
  </r>
  <r>
    <x v="1232"/>
    <x v="1"/>
    <x v="3"/>
    <x v="4"/>
    <x v="1232"/>
    <n v="75712"/>
    <n v="629072"/>
    <n v="2908"/>
    <x v="27"/>
    <d v="2025-06-03T00:00:00"/>
    <n v="12.035506269552611"/>
    <n v="0.46226823002772338"/>
  </r>
  <r>
    <x v="1233"/>
    <x v="2"/>
    <x v="3"/>
    <x v="0"/>
    <x v="1233"/>
    <n v="59499"/>
    <n v="145149"/>
    <n v="923"/>
    <x v="16"/>
    <d v="2025-06-14T00:00:00"/>
    <n v="40.991670628113184"/>
    <n v="0.6358982838324756"/>
  </r>
  <r>
    <x v="1234"/>
    <x v="2"/>
    <x v="5"/>
    <x v="4"/>
    <x v="1234"/>
    <n v="66404"/>
    <n v="307609"/>
    <n v="1875"/>
    <x v="10"/>
    <d v="2025-06-08T00:00:00"/>
    <n v="21.587144719432786"/>
    <n v="0.609540032963925"/>
  </r>
  <r>
    <x v="1235"/>
    <x v="2"/>
    <x v="0"/>
    <x v="4"/>
    <x v="1235"/>
    <n v="61012"/>
    <n v="516309"/>
    <n v="2087"/>
    <x v="22"/>
    <d v="2025-05-23T00:00:00"/>
    <n v="11.816954575651401"/>
    <n v="0.40421530517577653"/>
  </r>
  <r>
    <x v="1236"/>
    <x v="1"/>
    <x v="1"/>
    <x v="0"/>
    <x v="1236"/>
    <n v="22399"/>
    <n v="708578"/>
    <n v="4578"/>
    <x v="8"/>
    <d v="2025-06-09T00:00:00"/>
    <n v="3.1611198767108211"/>
    <n v="0.64608271778124637"/>
  </r>
  <r>
    <x v="1237"/>
    <x v="2"/>
    <x v="1"/>
    <x v="2"/>
    <x v="1237"/>
    <n v="21660"/>
    <n v="315998"/>
    <n v="4766"/>
    <x v="13"/>
    <d v="2025-06-15T00:00:00"/>
    <n v="6.8544737624921677"/>
    <n v="1.5082373939075564"/>
  </r>
  <r>
    <x v="1238"/>
    <x v="2"/>
    <x v="2"/>
    <x v="3"/>
    <x v="1238"/>
    <n v="53404"/>
    <n v="112801"/>
    <n v="819"/>
    <x v="0"/>
    <d v="2025-06-07T00:00:00"/>
    <n v="47.34355191886597"/>
    <n v="0.72605739310821715"/>
  </r>
  <r>
    <x v="1239"/>
    <x v="0"/>
    <x v="2"/>
    <x v="2"/>
    <x v="1239"/>
    <n v="49846"/>
    <n v="250294"/>
    <n v="4925"/>
    <x v="4"/>
    <d v="2025-06-22T00:00:00"/>
    <n v="19.914979983539357"/>
    <n v="1.9676860012625152"/>
  </r>
  <r>
    <x v="1240"/>
    <x v="2"/>
    <x v="3"/>
    <x v="3"/>
    <x v="1240"/>
    <n v="76223"/>
    <n v="538674"/>
    <n v="3734"/>
    <x v="17"/>
    <d v="2025-06-17T00:00:00"/>
    <n v="14.150116768212314"/>
    <n v="0.69318363240104408"/>
  </r>
  <r>
    <x v="1241"/>
    <x v="2"/>
    <x v="4"/>
    <x v="2"/>
    <x v="1241"/>
    <n v="89526"/>
    <n v="850878"/>
    <n v="4017"/>
    <x v="10"/>
    <d v="2025-06-15T00:00:00"/>
    <n v="10.521602391882269"/>
    <n v="0.4721005831623335"/>
  </r>
  <r>
    <x v="1242"/>
    <x v="2"/>
    <x v="6"/>
    <x v="0"/>
    <x v="1242"/>
    <n v="88985"/>
    <n v="597168"/>
    <n v="536"/>
    <x v="10"/>
    <d v="2025-06-16T00:00:00"/>
    <n v="14.901166840822015"/>
    <n v="8.9756986308710443E-2"/>
  </r>
  <r>
    <x v="1243"/>
    <x v="2"/>
    <x v="2"/>
    <x v="2"/>
    <x v="1243"/>
    <n v="22365"/>
    <n v="659832"/>
    <n v="4880"/>
    <x v="5"/>
    <d v="2025-06-25T00:00:00"/>
    <n v="3.3894991452369698"/>
    <n v="0.73958219668036718"/>
  </r>
  <r>
    <x v="1244"/>
    <x v="2"/>
    <x v="1"/>
    <x v="0"/>
    <x v="1244"/>
    <n v="87043"/>
    <n v="383685"/>
    <n v="3430"/>
    <x v="19"/>
    <d v="2025-06-05T00:00:00"/>
    <n v="22.686057573269739"/>
    <n v="0.89396249527607285"/>
  </r>
  <r>
    <x v="1245"/>
    <x v="1"/>
    <x v="0"/>
    <x v="0"/>
    <x v="1245"/>
    <n v="23300"/>
    <n v="952151"/>
    <n v="1849"/>
    <x v="4"/>
    <d v="2025-06-28T00:00:00"/>
    <n v="2.4470908500857531"/>
    <n v="0.19419188763126857"/>
  </r>
  <r>
    <x v="1246"/>
    <x v="2"/>
    <x v="2"/>
    <x v="4"/>
    <x v="1246"/>
    <n v="96106"/>
    <n v="718366"/>
    <n v="2898"/>
    <x v="26"/>
    <d v="2025-06-05T00:00:00"/>
    <n v="13.378417129986664"/>
    <n v="0.40341552913138984"/>
  </r>
  <r>
    <x v="1247"/>
    <x v="0"/>
    <x v="0"/>
    <x v="0"/>
    <x v="1247"/>
    <n v="9842"/>
    <n v="735439"/>
    <n v="3037"/>
    <x v="1"/>
    <d v="2025-06-15T00:00:00"/>
    <n v="1.3382483115526917"/>
    <n v="0.41295063220742984"/>
  </r>
  <r>
    <x v="1248"/>
    <x v="3"/>
    <x v="2"/>
    <x v="3"/>
    <x v="1248"/>
    <n v="32514"/>
    <n v="495407"/>
    <n v="999"/>
    <x v="28"/>
    <d v="2025-07-02T00:00:00"/>
    <n v="6.5630885312480443"/>
    <n v="0.20165237875120862"/>
  </r>
  <r>
    <x v="1249"/>
    <x v="2"/>
    <x v="6"/>
    <x v="3"/>
    <x v="1249"/>
    <n v="95984"/>
    <n v="103711"/>
    <n v="2130"/>
    <x v="28"/>
    <d v="2025-07-03T00:00:00"/>
    <n v="92.549488482417487"/>
    <n v="2.0537840730491461"/>
  </r>
  <r>
    <x v="1250"/>
    <x v="2"/>
    <x v="4"/>
    <x v="0"/>
    <x v="1250"/>
    <n v="9266"/>
    <n v="398150"/>
    <n v="826"/>
    <x v="25"/>
    <d v="2025-06-08T00:00:00"/>
    <n v="2.3272635941228184"/>
    <n v="0.20745950018837123"/>
  </r>
  <r>
    <x v="1251"/>
    <x v="2"/>
    <x v="6"/>
    <x v="3"/>
    <x v="1251"/>
    <n v="28869"/>
    <n v="378298"/>
    <n v="4019"/>
    <x v="18"/>
    <d v="2025-06-14T00:00:00"/>
    <n v="7.6312853887675853"/>
    <n v="1.0623899676974238"/>
  </r>
  <r>
    <x v="1252"/>
    <x v="1"/>
    <x v="3"/>
    <x v="2"/>
    <x v="1252"/>
    <n v="97791"/>
    <n v="902005"/>
    <n v="470"/>
    <x v="9"/>
    <d v="2025-06-14T00:00:00"/>
    <n v="10.84151418229389"/>
    <n v="5.2106141318507111E-2"/>
  </r>
  <r>
    <x v="1253"/>
    <x v="2"/>
    <x v="6"/>
    <x v="3"/>
    <x v="1253"/>
    <n v="22477"/>
    <n v="958888"/>
    <n v="237"/>
    <x v="8"/>
    <d v="2025-06-26T00:00:00"/>
    <n v="2.3440693803655899"/>
    <n v="2.4716129516690163E-2"/>
  </r>
  <r>
    <x v="1254"/>
    <x v="0"/>
    <x v="1"/>
    <x v="4"/>
    <x v="1254"/>
    <n v="89618"/>
    <n v="699071"/>
    <n v="4341"/>
    <x v="15"/>
    <d v="2025-07-04T00:00:00"/>
    <n v="12.819584849035362"/>
    <n v="0.62096696902031412"/>
  </r>
  <r>
    <x v="1255"/>
    <x v="0"/>
    <x v="3"/>
    <x v="3"/>
    <x v="1255"/>
    <n v="68945"/>
    <n v="185904"/>
    <n v="2286"/>
    <x v="1"/>
    <d v="2025-06-23T00:00:00"/>
    <n v="37.086345640760818"/>
    <n v="1.2296669248644463"/>
  </r>
  <r>
    <x v="1256"/>
    <x v="0"/>
    <x v="6"/>
    <x v="0"/>
    <x v="1256"/>
    <n v="10362"/>
    <n v="610386"/>
    <n v="2207"/>
    <x v="0"/>
    <d v="2025-06-25T00:00:00"/>
    <n v="1.6976142965271157"/>
    <n v="0.36157447910011042"/>
  </r>
  <r>
    <x v="1257"/>
    <x v="1"/>
    <x v="6"/>
    <x v="1"/>
    <x v="1257"/>
    <n v="94147"/>
    <n v="151405"/>
    <n v="335"/>
    <x v="11"/>
    <d v="2025-06-21T00:00:00"/>
    <n v="62.18222647864998"/>
    <n v="0.22126085664277931"/>
  </r>
  <r>
    <x v="1258"/>
    <x v="3"/>
    <x v="0"/>
    <x v="4"/>
    <x v="1258"/>
    <n v="71168"/>
    <n v="766452"/>
    <n v="3304"/>
    <x v="3"/>
    <d v="2025-07-03T00:00:00"/>
    <n v="9.2853825158000767"/>
    <n v="0.4310772233616717"/>
  </r>
  <r>
    <x v="1259"/>
    <x v="2"/>
    <x v="4"/>
    <x v="0"/>
    <x v="1259"/>
    <n v="6248"/>
    <n v="305518"/>
    <n v="4688"/>
    <x v="0"/>
    <d v="2025-06-28T00:00:00"/>
    <n v="2.045051355402955"/>
    <n v="1.5344431424662377"/>
  </r>
  <r>
    <x v="1260"/>
    <x v="1"/>
    <x v="2"/>
    <x v="1"/>
    <x v="1260"/>
    <n v="93199"/>
    <n v="95444"/>
    <n v="4981"/>
    <x v="14"/>
    <d v="2025-06-26T00:00:00"/>
    <n v="97.647835379908642"/>
    <n v="5.2187670256904575"/>
  </r>
  <r>
    <x v="1261"/>
    <x v="2"/>
    <x v="0"/>
    <x v="4"/>
    <x v="1261"/>
    <n v="24029"/>
    <n v="923501"/>
    <n v="4381"/>
    <x v="21"/>
    <d v="2025-07-10T00:00:00"/>
    <n v="2.6019462891756477"/>
    <n v="0.47439039048143966"/>
  </r>
  <r>
    <x v="1262"/>
    <x v="3"/>
    <x v="2"/>
    <x v="4"/>
    <x v="1262"/>
    <n v="45029"/>
    <n v="402172"/>
    <n v="3107"/>
    <x v="5"/>
    <d v="2025-07-14T00:00:00"/>
    <n v="11.196453258804691"/>
    <n v="0.77255502620769223"/>
  </r>
  <r>
    <x v="1263"/>
    <x v="1"/>
    <x v="2"/>
    <x v="4"/>
    <x v="1263"/>
    <n v="73840"/>
    <n v="71437"/>
    <n v="299"/>
    <x v="18"/>
    <d v="2025-06-26T00:00:00"/>
    <n v="103.3638030712376"/>
    <n v="0.4185506110278987"/>
  </r>
  <r>
    <x v="1264"/>
    <x v="0"/>
    <x v="1"/>
    <x v="4"/>
    <x v="1264"/>
    <n v="47966"/>
    <n v="577434"/>
    <n v="3863"/>
    <x v="1"/>
    <d v="2025-07-02T00:00:00"/>
    <n v="8.3067502086818585"/>
    <n v="0.66899420539836585"/>
  </r>
  <r>
    <x v="1265"/>
    <x v="2"/>
    <x v="0"/>
    <x v="3"/>
    <x v="1265"/>
    <n v="5046"/>
    <n v="24307"/>
    <n v="2387"/>
    <x v="27"/>
    <d v="2025-07-06T00:00:00"/>
    <n v="20.759452009709136"/>
    <n v="9.8202163985683146"/>
  </r>
  <r>
    <x v="1266"/>
    <x v="3"/>
    <x v="2"/>
    <x v="4"/>
    <x v="1266"/>
    <n v="29879"/>
    <n v="933658"/>
    <n v="1403"/>
    <x v="3"/>
    <d v="2025-07-11T00:00:00"/>
    <n v="3.2002082132858072"/>
    <n v="0.15026915637203345"/>
  </r>
  <r>
    <x v="1267"/>
    <x v="1"/>
    <x v="0"/>
    <x v="4"/>
    <x v="1267"/>
    <n v="30463"/>
    <n v="462402"/>
    <n v="1609"/>
    <x v="2"/>
    <d v="2025-06-27T00:00:00"/>
    <n v="6.5879905363731135"/>
    <n v="0.34796562298605976"/>
  </r>
  <r>
    <x v="1268"/>
    <x v="1"/>
    <x v="1"/>
    <x v="0"/>
    <x v="1268"/>
    <n v="98506"/>
    <n v="479080"/>
    <n v="791"/>
    <x v="12"/>
    <d v="2025-07-14T00:00:00"/>
    <n v="20.561492861317525"/>
    <n v="0.16510812390414961"/>
  </r>
  <r>
    <x v="1269"/>
    <x v="3"/>
    <x v="3"/>
    <x v="4"/>
    <x v="1269"/>
    <n v="45121"/>
    <n v="200428"/>
    <n v="3321"/>
    <x v="7"/>
    <d v="2025-06-25T00:00:00"/>
    <n v="22.512323627437283"/>
    <n v="1.6569541181870797"/>
  </r>
  <r>
    <x v="1270"/>
    <x v="2"/>
    <x v="5"/>
    <x v="0"/>
    <x v="1270"/>
    <n v="59106"/>
    <n v="476114"/>
    <n v="1649"/>
    <x v="28"/>
    <d v="2025-07-24T00:00:00"/>
    <n v="12.414253729148902"/>
    <n v="0.34634562310707101"/>
  </r>
  <r>
    <x v="1271"/>
    <x v="2"/>
    <x v="0"/>
    <x v="3"/>
    <x v="1271"/>
    <n v="55549"/>
    <n v="722688"/>
    <n v="716"/>
    <x v="4"/>
    <d v="2025-07-24T00:00:00"/>
    <n v="7.6864428356358481"/>
    <n v="9.9074566064470418E-2"/>
  </r>
  <r>
    <x v="1272"/>
    <x v="1"/>
    <x v="1"/>
    <x v="0"/>
    <x v="1272"/>
    <n v="56344"/>
    <n v="848571"/>
    <n v="2547"/>
    <x v="9"/>
    <d v="2025-07-04T00:00:00"/>
    <n v="6.6398686733343464"/>
    <n v="0.30015166674326604"/>
  </r>
  <r>
    <x v="1273"/>
    <x v="2"/>
    <x v="1"/>
    <x v="4"/>
    <x v="1273"/>
    <n v="14239"/>
    <n v="418132"/>
    <n v="391"/>
    <x v="25"/>
    <d v="2025-07-01T00:00:00"/>
    <n v="3.4053839457396227"/>
    <n v="9.3511140022767933E-2"/>
  </r>
  <r>
    <x v="1274"/>
    <x v="2"/>
    <x v="4"/>
    <x v="4"/>
    <x v="1274"/>
    <n v="4388"/>
    <n v="752038"/>
    <n v="1363"/>
    <x v="8"/>
    <d v="2025-07-17T00:00:00"/>
    <n v="0.58348115387786259"/>
    <n v="0.1812408415532194"/>
  </r>
  <r>
    <x v="1275"/>
    <x v="2"/>
    <x v="3"/>
    <x v="2"/>
    <x v="1275"/>
    <n v="38147"/>
    <n v="994431"/>
    <n v="2880"/>
    <x v="6"/>
    <d v="2025-07-17T00:00:00"/>
    <n v="3.8360630350421498"/>
    <n v="0.28961285398383596"/>
  </r>
  <r>
    <x v="1276"/>
    <x v="2"/>
    <x v="2"/>
    <x v="4"/>
    <x v="1276"/>
    <n v="9448"/>
    <n v="439484"/>
    <n v="1655"/>
    <x v="13"/>
    <d v="2025-07-24T00:00:00"/>
    <n v="2.1497938491503672"/>
    <n v="0.37657798691192401"/>
  </r>
  <r>
    <x v="1277"/>
    <x v="0"/>
    <x v="6"/>
    <x v="3"/>
    <x v="1277"/>
    <n v="91896"/>
    <n v="268080"/>
    <n v="1435"/>
    <x v="10"/>
    <d v="2025-07-21T00:00:00"/>
    <n v="34.279319606087732"/>
    <n v="0.53528797373918235"/>
  </r>
  <r>
    <x v="1278"/>
    <x v="1"/>
    <x v="0"/>
    <x v="3"/>
    <x v="1278"/>
    <n v="17504"/>
    <n v="381785"/>
    <n v="3653"/>
    <x v="7"/>
    <d v="2025-07-04T00:00:00"/>
    <n v="4.5847793915423605"/>
    <n v="0.95682124756079989"/>
  </r>
  <r>
    <x v="1279"/>
    <x v="2"/>
    <x v="1"/>
    <x v="0"/>
    <x v="1279"/>
    <n v="92781"/>
    <n v="312162"/>
    <n v="2345"/>
    <x v="19"/>
    <d v="2025-07-10T00:00:00"/>
    <n v="29.722067388086952"/>
    <n v="0.75121251145238688"/>
  </r>
  <r>
    <x v="1280"/>
    <x v="1"/>
    <x v="1"/>
    <x v="3"/>
    <x v="1280"/>
    <n v="18616"/>
    <n v="990286"/>
    <n v="2757"/>
    <x v="20"/>
    <d v="2025-07-15T00:00:00"/>
    <n v="1.8798609694573083"/>
    <n v="0.27840442054113662"/>
  </r>
  <r>
    <x v="1281"/>
    <x v="1"/>
    <x v="1"/>
    <x v="1"/>
    <x v="1281"/>
    <n v="44654"/>
    <n v="299949"/>
    <n v="3094"/>
    <x v="15"/>
    <d v="2025-07-31T00:00:00"/>
    <n v="14.887197490240005"/>
    <n v="1.0315086898106012"/>
  </r>
  <r>
    <x v="1282"/>
    <x v="1"/>
    <x v="5"/>
    <x v="1"/>
    <x v="1282"/>
    <n v="7140"/>
    <n v="378412"/>
    <n v="1589"/>
    <x v="17"/>
    <d v="2025-07-29T00:00:00"/>
    <n v="1.8868323414690864"/>
    <n v="0.41991268775831636"/>
  </r>
  <r>
    <x v="1283"/>
    <x v="3"/>
    <x v="3"/>
    <x v="3"/>
    <x v="1283"/>
    <n v="45578"/>
    <n v="35969"/>
    <n v="3377"/>
    <x v="22"/>
    <d v="2025-07-10T00:00:00"/>
    <n v="126.71467096666574"/>
    <n v="9.3886402179654702"/>
  </r>
  <r>
    <x v="1284"/>
    <x v="3"/>
    <x v="6"/>
    <x v="1"/>
    <x v="1284"/>
    <n v="44020"/>
    <n v="9892"/>
    <n v="3672"/>
    <x v="9"/>
    <d v="2025-07-16T00:00:00"/>
    <n v="445.00606550748086"/>
    <n v="37.120905782450464"/>
  </r>
  <r>
    <x v="1285"/>
    <x v="2"/>
    <x v="0"/>
    <x v="4"/>
    <x v="1285"/>
    <n v="92226"/>
    <n v="481835"/>
    <n v="4567"/>
    <x v="23"/>
    <d v="2025-07-25T00:00:00"/>
    <n v="19.140577168532797"/>
    <n v="0.94783483972729254"/>
  </r>
  <r>
    <x v="1286"/>
    <x v="2"/>
    <x v="1"/>
    <x v="2"/>
    <x v="1286"/>
    <n v="19755"/>
    <n v="503489"/>
    <n v="3873"/>
    <x v="16"/>
    <d v="2025-08-06T00:00:00"/>
    <n v="3.9236209728514422"/>
    <n v="0.76923229703131546"/>
  </r>
  <r>
    <x v="1287"/>
    <x v="1"/>
    <x v="1"/>
    <x v="0"/>
    <x v="1287"/>
    <n v="89177"/>
    <n v="759745"/>
    <n v="2179"/>
    <x v="18"/>
    <d v="2025-07-20T00:00:00"/>
    <n v="11.737754114867489"/>
    <n v="0.28680675753048723"/>
  </r>
  <r>
    <x v="1288"/>
    <x v="1"/>
    <x v="5"/>
    <x v="3"/>
    <x v="1288"/>
    <n v="34901"/>
    <n v="702741"/>
    <n v="251"/>
    <x v="21"/>
    <d v="2025-08-06T00:00:00"/>
    <n v="4.966410099880326"/>
    <n v="3.5717284177243111E-2"/>
  </r>
  <r>
    <x v="1289"/>
    <x v="1"/>
    <x v="6"/>
    <x v="0"/>
    <x v="1289"/>
    <n v="48344"/>
    <n v="336125"/>
    <n v="2376"/>
    <x v="19"/>
    <d v="2025-07-20T00:00:00"/>
    <n v="14.382744514689474"/>
    <n v="0.706879880996653"/>
  </r>
  <r>
    <x v="1290"/>
    <x v="1"/>
    <x v="3"/>
    <x v="0"/>
    <x v="1290"/>
    <n v="13871"/>
    <n v="406888"/>
    <n v="2370"/>
    <x v="2"/>
    <d v="2025-07-20T00:00:00"/>
    <n v="3.4090462240223358"/>
    <n v="0.58246986885826069"/>
  </r>
  <r>
    <x v="1291"/>
    <x v="1"/>
    <x v="5"/>
    <x v="2"/>
    <x v="1291"/>
    <n v="21003"/>
    <n v="842582"/>
    <n v="4886"/>
    <x v="7"/>
    <d v="2025-07-17T00:00:00"/>
    <n v="2.4926950730017969"/>
    <n v="0.57988421304988713"/>
  </r>
  <r>
    <x v="1292"/>
    <x v="2"/>
    <x v="1"/>
    <x v="4"/>
    <x v="1292"/>
    <n v="98003"/>
    <n v="373994"/>
    <n v="3505"/>
    <x v="5"/>
    <d v="2025-08-13T00:00:00"/>
    <n v="26.204431087129741"/>
    <n v="0.93718081038733236"/>
  </r>
  <r>
    <x v="1293"/>
    <x v="2"/>
    <x v="6"/>
    <x v="4"/>
    <x v="1293"/>
    <n v="6183"/>
    <n v="924567"/>
    <n v="2028"/>
    <x v="21"/>
    <d v="2025-08-11T00:00:00"/>
    <n v="0.66874547761276359"/>
    <n v="0.21934592084727231"/>
  </r>
  <r>
    <x v="1294"/>
    <x v="2"/>
    <x v="3"/>
    <x v="3"/>
    <x v="1294"/>
    <n v="17800"/>
    <n v="257802"/>
    <n v="2508"/>
    <x v="7"/>
    <d v="2025-07-20T00:00:00"/>
    <n v="6.9045236266592189"/>
    <n v="0.97283962110456867"/>
  </r>
  <r>
    <x v="1295"/>
    <x v="2"/>
    <x v="1"/>
    <x v="2"/>
    <x v="1295"/>
    <n v="45194"/>
    <n v="230583"/>
    <n v="175"/>
    <x v="1"/>
    <d v="2025-08-02T00:00:00"/>
    <n v="19.599883772871372"/>
    <n v="7.5894580259602828E-2"/>
  </r>
  <r>
    <x v="1296"/>
    <x v="2"/>
    <x v="2"/>
    <x v="4"/>
    <x v="1296"/>
    <n v="63877"/>
    <n v="577052"/>
    <n v="1837"/>
    <x v="2"/>
    <d v="2025-07-26T00:00:00"/>
    <n v="11.069539660203933"/>
    <n v="0.31834219446427703"/>
  </r>
  <r>
    <x v="1297"/>
    <x v="0"/>
    <x v="0"/>
    <x v="1"/>
    <x v="1297"/>
    <n v="70657"/>
    <n v="531451"/>
    <n v="298"/>
    <x v="11"/>
    <d v="2025-07-31T00:00:00"/>
    <n v="13.295110932146143"/>
    <n v="5.6072902299553487E-2"/>
  </r>
  <r>
    <x v="1298"/>
    <x v="2"/>
    <x v="3"/>
    <x v="1"/>
    <x v="1298"/>
    <n v="83923"/>
    <n v="683919"/>
    <n v="3921"/>
    <x v="28"/>
    <d v="2025-08-21T00:00:00"/>
    <n v="12.270897577052253"/>
    <n v="0.57331350642400636"/>
  </r>
  <r>
    <x v="1299"/>
    <x v="2"/>
    <x v="5"/>
    <x v="2"/>
    <x v="1299"/>
    <n v="41686"/>
    <n v="434547"/>
    <n v="2629"/>
    <x v="0"/>
    <d v="2025-08-07T00:00:00"/>
    <n v="9.5929784350139347"/>
    <n v="0.60499784833401227"/>
  </r>
  <r>
    <x v="1300"/>
    <x v="1"/>
    <x v="0"/>
    <x v="4"/>
    <x v="1300"/>
    <n v="37741"/>
    <n v="794293"/>
    <n v="796"/>
    <x v="28"/>
    <d v="2025-08-23T00:00:00"/>
    <n v="4.7515211641044299"/>
    <n v="0.10021490810066311"/>
  </r>
  <r>
    <x v="1301"/>
    <x v="0"/>
    <x v="4"/>
    <x v="1"/>
    <x v="1301"/>
    <n v="74479"/>
    <n v="254069"/>
    <n v="4907"/>
    <x v="27"/>
    <d v="2025-08-11T00:00:00"/>
    <n v="29.314477563181658"/>
    <n v="1.9313651016062565"/>
  </r>
  <r>
    <x v="1302"/>
    <x v="2"/>
    <x v="6"/>
    <x v="1"/>
    <x v="1302"/>
    <n v="33350"/>
    <n v="462120"/>
    <n v="3223"/>
    <x v="5"/>
    <d v="2025-08-23T00:00:00"/>
    <n v="7.2167402406301386"/>
    <n v="0.69743789491906871"/>
  </r>
  <r>
    <x v="1303"/>
    <x v="0"/>
    <x v="3"/>
    <x v="3"/>
    <x v="1303"/>
    <n v="6153"/>
    <n v="379160"/>
    <n v="3638"/>
    <x v="0"/>
    <d v="2025-08-11T00:00:00"/>
    <n v="1.62279776347716"/>
    <n v="0.95948939761578234"/>
  </r>
  <r>
    <x v="1304"/>
    <x v="3"/>
    <x v="3"/>
    <x v="4"/>
    <x v="1304"/>
    <n v="63704"/>
    <n v="382867"/>
    <n v="4188"/>
    <x v="10"/>
    <d v="2025-08-17T00:00:00"/>
    <n v="16.63867609378714"/>
    <n v="1.0938524343962788"/>
  </r>
  <r>
    <x v="1305"/>
    <x v="1"/>
    <x v="3"/>
    <x v="0"/>
    <x v="1305"/>
    <n v="21050"/>
    <n v="864867"/>
    <n v="2868"/>
    <x v="10"/>
    <d v="2025-08-18T00:00:00"/>
    <n v="2.4339002413087791"/>
    <n v="0.3316116813336617"/>
  </r>
  <r>
    <x v="1306"/>
    <x v="1"/>
    <x v="5"/>
    <x v="3"/>
    <x v="1306"/>
    <n v="66601"/>
    <n v="733826"/>
    <n v="4117"/>
    <x v="2"/>
    <d v="2025-08-05T00:00:00"/>
    <n v="9.0758572195588592"/>
    <n v="0.56103217929045845"/>
  </r>
  <r>
    <x v="1307"/>
    <x v="2"/>
    <x v="2"/>
    <x v="2"/>
    <x v="1307"/>
    <n v="21951"/>
    <n v="752959"/>
    <n v="488"/>
    <x v="4"/>
    <d v="2025-08-29T00:00:00"/>
    <n v="2.915298176925968"/>
    <n v="6.4810965802918882E-2"/>
  </r>
  <r>
    <x v="1308"/>
    <x v="3"/>
    <x v="3"/>
    <x v="1"/>
    <x v="1308"/>
    <n v="66127"/>
    <n v="62216"/>
    <n v="2159"/>
    <x v="23"/>
    <d v="2025-08-17T00:00:00"/>
    <n v="106.28616433071878"/>
    <n v="3.47016844541597"/>
  </r>
  <r>
    <x v="1309"/>
    <x v="2"/>
    <x v="0"/>
    <x v="2"/>
    <x v="1309"/>
    <n v="8618"/>
    <n v="781710"/>
    <n v="3499"/>
    <x v="4"/>
    <d v="2025-08-31T00:00:00"/>
    <n v="1.1024548745698532"/>
    <n v="0.44760844814573175"/>
  </r>
  <r>
    <x v="1310"/>
    <x v="3"/>
    <x v="2"/>
    <x v="3"/>
    <x v="1310"/>
    <n v="55148"/>
    <n v="595353"/>
    <n v="2939"/>
    <x v="25"/>
    <d v="2025-08-07T00:00:00"/>
    <n v="9.2630758558367887"/>
    <n v="0.4936567045097614"/>
  </r>
  <r>
    <x v="1311"/>
    <x v="1"/>
    <x v="2"/>
    <x v="4"/>
    <x v="1311"/>
    <n v="23124"/>
    <n v="911641"/>
    <n v="2990"/>
    <x v="14"/>
    <d v="2025-08-16T00:00:00"/>
    <n v="2.5365247942995106"/>
    <n v="0.32797998334870854"/>
  </r>
  <r>
    <x v="1312"/>
    <x v="2"/>
    <x v="5"/>
    <x v="4"/>
    <x v="1312"/>
    <n v="37546"/>
    <n v="666884"/>
    <n v="1512"/>
    <x v="19"/>
    <d v="2025-08-12T00:00:00"/>
    <n v="5.6300645989407458"/>
    <n v="0.22672608729554164"/>
  </r>
  <r>
    <x v="1313"/>
    <x v="2"/>
    <x v="4"/>
    <x v="1"/>
    <x v="1313"/>
    <n v="67889"/>
    <n v="325626"/>
    <n v="1571"/>
    <x v="22"/>
    <d v="2025-08-09T00:00:00"/>
    <n v="20.848765147746189"/>
    <n v="0.48245533219091841"/>
  </r>
  <r>
    <x v="1314"/>
    <x v="1"/>
    <x v="4"/>
    <x v="1"/>
    <x v="1314"/>
    <n v="54079"/>
    <n v="928905"/>
    <n v="4457"/>
    <x v="18"/>
    <d v="2025-08-16T00:00:00"/>
    <n v="5.8218009376631619"/>
    <n v="0.47981225206022143"/>
  </r>
  <r>
    <x v="1315"/>
    <x v="1"/>
    <x v="5"/>
    <x v="2"/>
    <x v="1315"/>
    <n v="3737"/>
    <n v="625752"/>
    <n v="1383"/>
    <x v="13"/>
    <d v="2025-09-01T00:00:00"/>
    <n v="0.59720144721870649"/>
    <n v="0.22101407586392055"/>
  </r>
  <r>
    <x v="1316"/>
    <x v="2"/>
    <x v="4"/>
    <x v="4"/>
    <x v="1316"/>
    <n v="27808"/>
    <n v="120981"/>
    <n v="2196"/>
    <x v="27"/>
    <d v="2025-08-26T00:00:00"/>
    <n v="22.985427463816631"/>
    <n v="1.8151610583480051"/>
  </r>
  <r>
    <x v="1317"/>
    <x v="0"/>
    <x v="6"/>
    <x v="3"/>
    <x v="1317"/>
    <n v="66808"/>
    <n v="299074"/>
    <n v="1220"/>
    <x v="9"/>
    <d v="2025-08-18T00:00:00"/>
    <n v="22.338284170472861"/>
    <n v="0.40792579762868053"/>
  </r>
  <r>
    <x v="1318"/>
    <x v="0"/>
    <x v="0"/>
    <x v="0"/>
    <x v="1318"/>
    <n v="90432"/>
    <n v="484906"/>
    <n v="3829"/>
    <x v="28"/>
    <d v="2025-09-10T00:00:00"/>
    <n v="18.649387716382144"/>
    <n v="0.78963757924216238"/>
  </r>
  <r>
    <x v="1319"/>
    <x v="1"/>
    <x v="6"/>
    <x v="4"/>
    <x v="1319"/>
    <n v="91270"/>
    <n v="83657"/>
    <n v="3256"/>
    <x v="18"/>
    <d v="2025-08-21T00:00:00"/>
    <n v="109.10025461109052"/>
    <n v="3.8920831490490935"/>
  </r>
  <r>
    <x v="1320"/>
    <x v="1"/>
    <x v="0"/>
    <x v="3"/>
    <x v="1320"/>
    <n v="84198"/>
    <n v="165652"/>
    <n v="633"/>
    <x v="27"/>
    <d v="2025-08-30T00:00:00"/>
    <n v="50.828242339362042"/>
    <n v="0.38212638543452537"/>
  </r>
  <r>
    <x v="1321"/>
    <x v="2"/>
    <x v="1"/>
    <x v="1"/>
    <x v="1321"/>
    <n v="37555"/>
    <n v="221008"/>
    <n v="2919"/>
    <x v="16"/>
    <d v="2025-09-10T00:00:00"/>
    <n v="16.992597553029753"/>
    <n v="1.3207666690798523"/>
  </r>
  <r>
    <x v="1322"/>
    <x v="0"/>
    <x v="0"/>
    <x v="0"/>
    <x v="1322"/>
    <n v="28956"/>
    <n v="497275"/>
    <n v="1761"/>
    <x v="7"/>
    <d v="2025-08-17T00:00:00"/>
    <n v="5.8229349957267109"/>
    <n v="0.35413000854657883"/>
  </r>
  <r>
    <x v="1323"/>
    <x v="2"/>
    <x v="2"/>
    <x v="0"/>
    <x v="1323"/>
    <n v="54315"/>
    <n v="377544"/>
    <n v="2147"/>
    <x v="10"/>
    <d v="2025-09-05T00:00:00"/>
    <n v="14.386402644459984"/>
    <n v="0.56867543915411189"/>
  </r>
  <r>
    <x v="1324"/>
    <x v="0"/>
    <x v="0"/>
    <x v="2"/>
    <x v="1324"/>
    <n v="19830"/>
    <n v="915498"/>
    <n v="2489"/>
    <x v="3"/>
    <d v="2025-09-07T00:00:00"/>
    <n v="2.1660342239961201"/>
    <n v="0.27187388721766736"/>
  </r>
  <r>
    <x v="1325"/>
    <x v="2"/>
    <x v="4"/>
    <x v="2"/>
    <x v="1325"/>
    <n v="97320"/>
    <n v="886719"/>
    <n v="3851"/>
    <x v="5"/>
    <d v="2025-09-15T00:00:00"/>
    <n v="10.975292059829551"/>
    <n v="0.43429767491166871"/>
  </r>
  <r>
    <x v="1326"/>
    <x v="1"/>
    <x v="3"/>
    <x v="1"/>
    <x v="1326"/>
    <n v="17326"/>
    <n v="910324"/>
    <n v="1023"/>
    <x v="8"/>
    <d v="2025-09-07T00:00:00"/>
    <n v="1.9032783931874804"/>
    <n v="0.11237757106261068"/>
  </r>
  <r>
    <x v="1327"/>
    <x v="2"/>
    <x v="3"/>
    <x v="3"/>
    <x v="1327"/>
    <n v="17362"/>
    <n v="727947"/>
    <n v="1143"/>
    <x v="3"/>
    <d v="2025-09-10T00:00:00"/>
    <n v="2.385063747772846"/>
    <n v="0.15701692568277636"/>
  </r>
  <r>
    <x v="1328"/>
    <x v="2"/>
    <x v="0"/>
    <x v="3"/>
    <x v="1328"/>
    <n v="86977"/>
    <n v="434469"/>
    <n v="3798"/>
    <x v="12"/>
    <d v="2025-09-12T00:00:00"/>
    <n v="20.019149812759942"/>
    <n v="0.87417053920993204"/>
  </r>
  <r>
    <x v="1329"/>
    <x v="0"/>
    <x v="6"/>
    <x v="2"/>
    <x v="1329"/>
    <n v="24964"/>
    <n v="900211"/>
    <n v="619"/>
    <x v="4"/>
    <d v="2025-09-20T00:00:00"/>
    <n v="2.7731276334103891"/>
    <n v="6.8761656989305836E-2"/>
  </r>
  <r>
    <x v="1330"/>
    <x v="1"/>
    <x v="2"/>
    <x v="1"/>
    <x v="1330"/>
    <n v="3611"/>
    <n v="748405"/>
    <n v="1649"/>
    <x v="18"/>
    <d v="2025-09-01T00:00:00"/>
    <n v="0.48249276795318047"/>
    <n v="0.22033524629044435"/>
  </r>
  <r>
    <x v="1331"/>
    <x v="1"/>
    <x v="2"/>
    <x v="0"/>
    <x v="1331"/>
    <n v="72293"/>
    <n v="353912"/>
    <n v="4586"/>
    <x v="23"/>
    <d v="2025-09-09T00:00:00"/>
    <n v="20.426829268292682"/>
    <n v="1.2958023463459842"/>
  </r>
  <r>
    <x v="1332"/>
    <x v="3"/>
    <x v="3"/>
    <x v="4"/>
    <x v="1332"/>
    <n v="79105"/>
    <n v="308261"/>
    <n v="2452"/>
    <x v="10"/>
    <d v="2025-09-14T00:00:00"/>
    <n v="25.661695770791638"/>
    <n v="0.7954298467856783"/>
  </r>
  <r>
    <x v="1333"/>
    <x v="3"/>
    <x v="4"/>
    <x v="3"/>
    <x v="1333"/>
    <n v="23008"/>
    <n v="294990"/>
    <n v="3249"/>
    <x v="25"/>
    <d v="2025-08-30T00:00:00"/>
    <n v="7.7995864266585304"/>
    <n v="1.1013932675683922"/>
  </r>
  <r>
    <x v="1334"/>
    <x v="0"/>
    <x v="4"/>
    <x v="4"/>
    <x v="1334"/>
    <n v="33481"/>
    <n v="250162"/>
    <n v="3089"/>
    <x v="13"/>
    <d v="2025-09-20T00:00:00"/>
    <n v="13.383727344680645"/>
    <n v="1.2347998496973962"/>
  </r>
  <r>
    <x v="1335"/>
    <x v="1"/>
    <x v="0"/>
    <x v="3"/>
    <x v="1335"/>
    <n v="78786"/>
    <n v="784142"/>
    <n v="178"/>
    <x v="20"/>
    <d v="2022-02-09T00:00:00"/>
    <n v="10.047414881488303"/>
    <n v="2.2699970158466198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CCCB3C-4BDC-479E-B6B8-7370E3A8C085}" name="PivotTable21" cacheId="0"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location ref="D2:D3" firstHeaderRow="1" firstDataRow="1" firstDataCol="0"/>
  <pivotFields count="15">
    <pivotField dataField="1" showAll="0">
      <items count="13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t="default"/>
      </items>
    </pivotField>
    <pivotField showAll="0">
      <items count="5">
        <item x="2"/>
        <item x="0"/>
        <item x="3"/>
        <item x="1"/>
        <item t="default"/>
      </items>
    </pivotField>
    <pivotField showAll="0">
      <items count="8">
        <item x="3"/>
        <item x="6"/>
        <item x="0"/>
        <item x="1"/>
        <item x="5"/>
        <item x="4"/>
        <item x="2"/>
        <item t="default"/>
      </items>
    </pivotField>
    <pivotField showAll="0">
      <items count="6">
        <item x="2"/>
        <item x="4"/>
        <item x="0"/>
        <item x="1"/>
        <item x="3"/>
        <item t="default"/>
      </items>
    </pivotField>
    <pivotField showAll="0">
      <items count="1337">
        <item x="0"/>
        <item x="1"/>
        <item x="2"/>
        <item x="3"/>
        <item x="4"/>
        <item x="5"/>
        <item x="6"/>
        <item x="7"/>
        <item x="8"/>
        <item x="9"/>
        <item x="10"/>
        <item x="11"/>
        <item x="12"/>
        <item x="13"/>
        <item x="14"/>
        <item x="15"/>
        <item x="16"/>
        <item x="17"/>
        <item x="18"/>
        <item x="19"/>
        <item x="20"/>
        <item x="21"/>
        <item x="22"/>
        <item x="23"/>
        <item x="24"/>
        <item x="25"/>
        <item x="26"/>
        <item x="27"/>
        <item x="28"/>
        <item x="1335"/>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t="default"/>
      </items>
    </pivotField>
    <pivotField showAll="0"/>
    <pivotField showAll="0"/>
    <pivotField showAll="0"/>
    <pivotField showAll="0">
      <items count="9">
        <item x="0"/>
        <item x="1"/>
        <item x="2"/>
        <item x="3"/>
        <item x="4"/>
        <item x="5"/>
        <item x="6"/>
        <item x="7"/>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campaign_id" fld="0" subtotal="count" baseField="0" baseItem="0"/>
  </dataFields>
  <formats count="9">
    <format dxfId="5561">
      <pivotArea outline="0" collapsedLevelsAreSubtotals="1" fieldPosition="0"/>
    </format>
    <format dxfId="5562">
      <pivotArea outline="0" collapsedLevelsAreSubtotals="1" fieldPosition="0"/>
    </format>
    <format dxfId="5563">
      <pivotArea type="all" dataOnly="0" outline="0" fieldPosition="0"/>
    </format>
    <format dxfId="5564">
      <pivotArea outline="0" collapsedLevelsAreSubtotals="1" fieldPosition="0"/>
    </format>
    <format dxfId="5565">
      <pivotArea dataOnly="0" labelOnly="1" outline="0" axis="axisValues" fieldPosition="0"/>
    </format>
    <format dxfId="5566">
      <pivotArea type="all" dataOnly="0" outline="0" fieldPosition="0"/>
    </format>
    <format dxfId="5567">
      <pivotArea outline="0" collapsedLevelsAreSubtotals="1" fieldPosition="0"/>
    </format>
    <format dxfId="5568">
      <pivotArea dataOnly="0" labelOnly="1" outline="0" axis="axisValues" fieldPosition="0"/>
    </format>
    <format dxfId="556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B7D762-5F42-4FE0-851E-B0120D9727EE}" name="PivotTable17" cacheId="0"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location ref="G6:H11" firstHeaderRow="1" firstDataRow="1" firstDataCol="1"/>
  <pivotFields count="15">
    <pivotField showAll="0">
      <items count="13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t="default"/>
      </items>
    </pivotField>
    <pivotField axis="axisRow" showAll="0" sortType="descending">
      <items count="5">
        <item sd="0" x="2"/>
        <item sd="0" x="0"/>
        <item sd="0" x="3"/>
        <item sd="0" x="1"/>
        <item t="default" sd="0"/>
      </items>
      <autoSortScope>
        <pivotArea dataOnly="0" outline="0" fieldPosition="0">
          <references count="1">
            <reference field="4294967294" count="1" selected="0">
              <x v="0"/>
            </reference>
          </references>
        </pivotArea>
      </autoSortScope>
    </pivotField>
    <pivotField showAll="0">
      <items count="8">
        <item x="3"/>
        <item x="6"/>
        <item x="0"/>
        <item x="1"/>
        <item x="5"/>
        <item x="4"/>
        <item x="2"/>
        <item t="default"/>
      </items>
    </pivotField>
    <pivotField showAll="0">
      <items count="6">
        <item x="2"/>
        <item x="4"/>
        <item x="0"/>
        <item x="1"/>
        <item x="3"/>
        <item t="default"/>
      </items>
    </pivotField>
    <pivotField showAll="0">
      <items count="1337">
        <item x="0"/>
        <item x="1"/>
        <item x="2"/>
        <item x="3"/>
        <item x="4"/>
        <item x="5"/>
        <item x="6"/>
        <item x="7"/>
        <item x="8"/>
        <item x="9"/>
        <item x="10"/>
        <item x="11"/>
        <item x="12"/>
        <item x="13"/>
        <item x="14"/>
        <item x="15"/>
        <item x="16"/>
        <item x="17"/>
        <item x="18"/>
        <item x="19"/>
        <item x="20"/>
        <item x="21"/>
        <item x="22"/>
        <item x="23"/>
        <item x="24"/>
        <item x="25"/>
        <item x="26"/>
        <item x="27"/>
        <item x="28"/>
        <item x="1335"/>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t="default"/>
      </items>
    </pivotField>
    <pivotField showAll="0"/>
    <pivotField showAll="0"/>
    <pivotField dataField="1" showAll="0"/>
    <pivotField showAll="0">
      <items count="9">
        <item x="0"/>
        <item x="1"/>
        <item x="2"/>
        <item x="3"/>
        <item x="4"/>
        <item x="5"/>
        <item x="6"/>
        <item x="7"/>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
  </rowFields>
  <rowItems count="5">
    <i>
      <x/>
    </i>
    <i>
      <x v="3"/>
    </i>
    <i>
      <x v="1"/>
    </i>
    <i>
      <x v="2"/>
    </i>
    <i t="grand">
      <x/>
    </i>
  </rowItems>
  <colItems count="1">
    <i/>
  </colItems>
  <dataFields count="1">
    <dataField name="Sum of product_sales" fld="7" baseField="0" baseItem="0"/>
  </dataFields>
  <formats count="15">
    <format dxfId="5606">
      <pivotArea collapsedLevelsAreSubtotals="1" fieldPosition="0">
        <references count="1">
          <reference field="1" count="0"/>
        </references>
      </pivotArea>
    </format>
    <format dxfId="5607">
      <pivotArea collapsedLevelsAreSubtotals="1" fieldPosition="0">
        <references count="1">
          <reference field="1" count="0"/>
        </references>
      </pivotArea>
    </format>
    <format dxfId="5608">
      <pivotArea dataOnly="0" labelOnly="1" fieldPosition="0">
        <references count="1">
          <reference field="1" count="0"/>
        </references>
      </pivotArea>
    </format>
    <format dxfId="5609">
      <pivotArea type="all" dataOnly="0" outline="0" fieldPosition="0"/>
    </format>
    <format dxfId="5610">
      <pivotArea outline="0" collapsedLevelsAreSubtotals="1" fieldPosition="0"/>
    </format>
    <format dxfId="5611">
      <pivotArea field="1" type="button" dataOnly="0" labelOnly="1" outline="0" axis="axisRow" fieldPosition="0"/>
    </format>
    <format dxfId="5612">
      <pivotArea dataOnly="0" labelOnly="1" fieldPosition="0">
        <references count="1">
          <reference field="1" count="0"/>
        </references>
      </pivotArea>
    </format>
    <format dxfId="5613">
      <pivotArea dataOnly="0" labelOnly="1" grandRow="1" outline="0" fieldPosition="0"/>
    </format>
    <format dxfId="5614">
      <pivotArea dataOnly="0" labelOnly="1" outline="0" axis="axisValues" fieldPosition="0"/>
    </format>
    <format dxfId="5615">
      <pivotArea type="all" dataOnly="0" outline="0" fieldPosition="0"/>
    </format>
    <format dxfId="5616">
      <pivotArea outline="0" collapsedLevelsAreSubtotals="1" fieldPosition="0"/>
    </format>
    <format dxfId="5617">
      <pivotArea field="1" type="button" dataOnly="0" labelOnly="1" outline="0" axis="axisRow" fieldPosition="0"/>
    </format>
    <format dxfId="5618">
      <pivotArea dataOnly="0" labelOnly="1" fieldPosition="0">
        <references count="1">
          <reference field="1" count="0"/>
        </references>
      </pivotArea>
    </format>
    <format dxfId="5619">
      <pivotArea dataOnly="0" labelOnly="1" grandRow="1" outline="0" fieldPosition="0"/>
    </format>
    <format dxfId="562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9817F4-7FE5-4085-BDAC-077518158CC5}" name="PivotTable20" cacheId="0" applyNumberFormats="0" applyBorderFormats="0" applyFontFormats="0" applyPatternFormats="0" applyAlignmentFormats="0" applyWidthHeightFormats="1" dataCaption="Values" updatedVersion="8" minRefreshableVersion="5" itemPrintTitles="1" createdVersion="6" indent="0" outline="1" outlineData="1" multipleFieldFilters="0" chartFormat="17">
  <location ref="B15:C35" firstHeaderRow="1" firstDataRow="1" firstDataCol="1"/>
  <pivotFields count="15">
    <pivotField showAll="0">
      <items count="13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t="default"/>
      </items>
    </pivotField>
    <pivotField showAll="0">
      <items count="5">
        <item x="2"/>
        <item x="0"/>
        <item x="3"/>
        <item x="1"/>
        <item t="default"/>
      </items>
    </pivotField>
    <pivotField showAll="0">
      <items count="8">
        <item x="3"/>
        <item x="6"/>
        <item x="0"/>
        <item x="1"/>
        <item x="5"/>
        <item x="4"/>
        <item x="2"/>
        <item t="default"/>
      </items>
    </pivotField>
    <pivotField showAll="0">
      <items count="6">
        <item x="2"/>
        <item x="4"/>
        <item x="0"/>
        <item x="1"/>
        <item x="3"/>
        <item t="default"/>
      </items>
    </pivotField>
    <pivotField showAll="0">
      <items count="1337">
        <item x="0"/>
        <item x="1"/>
        <item x="2"/>
        <item x="3"/>
        <item x="4"/>
        <item x="5"/>
        <item x="6"/>
        <item x="7"/>
        <item x="8"/>
        <item x="9"/>
        <item x="10"/>
        <item x="11"/>
        <item x="12"/>
        <item x="13"/>
        <item x="14"/>
        <item x="15"/>
        <item x="16"/>
        <item x="17"/>
        <item x="18"/>
        <item x="19"/>
        <item x="20"/>
        <item x="21"/>
        <item x="22"/>
        <item x="23"/>
        <item x="24"/>
        <item x="25"/>
        <item x="26"/>
        <item x="27"/>
        <item x="28"/>
        <item x="1335"/>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t="default"/>
      </items>
    </pivotField>
    <pivotField showAll="0"/>
    <pivotField showAll="0"/>
    <pivotField dataField="1" showAll="0"/>
    <pivotField showAll="0">
      <items count="9">
        <item x="0"/>
        <item x="1"/>
        <item x="2"/>
        <item x="3"/>
        <item x="4"/>
        <item x="5"/>
        <item x="6"/>
        <item x="7"/>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x="1"/>
        <item x="2"/>
        <item x="3"/>
        <item x="4"/>
        <item sd="0" x="5"/>
        <item t="default"/>
      </items>
    </pivotField>
  </pivotFields>
  <rowFields count="2">
    <field x="14"/>
    <field x="13"/>
  </rowFields>
  <rowItems count="20">
    <i>
      <x v="1"/>
    </i>
    <i r="1">
      <x v="1"/>
    </i>
    <i r="1">
      <x v="2"/>
    </i>
    <i r="1">
      <x v="3"/>
    </i>
    <i r="1">
      <x v="4"/>
    </i>
    <i>
      <x v="2"/>
    </i>
    <i r="1">
      <x v="1"/>
    </i>
    <i r="1">
      <x v="2"/>
    </i>
    <i r="1">
      <x v="3"/>
    </i>
    <i r="1">
      <x v="4"/>
    </i>
    <i>
      <x v="3"/>
    </i>
    <i r="1">
      <x v="1"/>
    </i>
    <i r="1">
      <x v="2"/>
    </i>
    <i r="1">
      <x v="3"/>
    </i>
    <i r="1">
      <x v="4"/>
    </i>
    <i>
      <x v="4"/>
    </i>
    <i r="1">
      <x v="1"/>
    </i>
    <i r="1">
      <x v="2"/>
    </i>
    <i r="1">
      <x v="3"/>
    </i>
    <i t="grand">
      <x/>
    </i>
  </rowItems>
  <colItems count="1">
    <i/>
  </colItems>
  <dataFields count="1">
    <dataField name="Sum of product_sales" fld="7" baseField="0" baseItem="0"/>
  </dataFields>
  <formats count="8">
    <format dxfId="5570">
      <pivotArea outline="0" collapsedLevelsAreSubtotals="1" fieldPosition="0"/>
    </format>
    <format dxfId="5571">
      <pivotArea outline="0" collapsedLevelsAreSubtotals="1" fieldPosition="0"/>
    </format>
    <format dxfId="5572">
      <pivotArea type="all" dataOnly="0" outline="0" fieldPosition="0"/>
    </format>
    <format dxfId="5573">
      <pivotArea outline="0" collapsedLevelsAreSubtotals="1" fieldPosition="0"/>
    </format>
    <format dxfId="5574">
      <pivotArea dataOnly="0" labelOnly="1" outline="0" axis="axisValues" fieldPosition="0"/>
    </format>
    <format dxfId="5575">
      <pivotArea type="all" dataOnly="0" outline="0" fieldPosition="0"/>
    </format>
    <format dxfId="5576">
      <pivotArea outline="0" collapsedLevelsAreSubtotals="1" fieldPosition="0"/>
    </format>
    <format dxfId="5577">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01E49E-C863-4261-9ADE-D6ADD5DD3484}" name="PivotTable19" cacheId="0"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43">
  <location ref="F31:G36" firstHeaderRow="1" firstDataRow="1" firstDataCol="1"/>
  <pivotFields count="15">
    <pivotField showAll="0">
      <items count="13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t="default"/>
      </items>
    </pivotField>
    <pivotField axis="axisRow" showAll="0" sortType="descending">
      <items count="5">
        <item x="2"/>
        <item x="0"/>
        <item x="3"/>
        <item x="1"/>
        <item t="default"/>
      </items>
      <autoSortScope>
        <pivotArea dataOnly="0" outline="0" fieldPosition="0">
          <references count="1">
            <reference field="4294967294" count="1" selected="0">
              <x v="0"/>
            </reference>
          </references>
        </pivotArea>
      </autoSortScope>
    </pivotField>
    <pivotField showAll="0">
      <items count="8">
        <item x="3"/>
        <item x="6"/>
        <item x="0"/>
        <item x="1"/>
        <item x="5"/>
        <item x="4"/>
        <item x="2"/>
        <item t="default"/>
      </items>
    </pivotField>
    <pivotField showAll="0">
      <items count="6">
        <item x="2"/>
        <item x="4"/>
        <item x="0"/>
        <item x="1"/>
        <item x="3"/>
        <item t="default"/>
      </items>
    </pivotField>
    <pivotField showAll="0">
      <items count="1337">
        <item x="0"/>
        <item x="1"/>
        <item x="2"/>
        <item x="3"/>
        <item x="4"/>
        <item x="5"/>
        <item x="6"/>
        <item x="7"/>
        <item x="8"/>
        <item x="9"/>
        <item x="10"/>
        <item x="11"/>
        <item x="12"/>
        <item x="13"/>
        <item x="14"/>
        <item x="15"/>
        <item x="16"/>
        <item x="17"/>
        <item x="18"/>
        <item x="19"/>
        <item x="20"/>
        <item x="21"/>
        <item x="22"/>
        <item x="23"/>
        <item x="24"/>
        <item x="25"/>
        <item x="26"/>
        <item x="27"/>
        <item x="28"/>
        <item x="1335"/>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t="default"/>
      </items>
    </pivotField>
    <pivotField dataField="1" showAll="0"/>
    <pivotField showAll="0"/>
    <pivotField showAll="0"/>
    <pivotField showAll="0">
      <items count="9">
        <item x="0"/>
        <item x="1"/>
        <item x="2"/>
        <item x="3"/>
        <item x="4"/>
        <item x="5"/>
        <item x="6"/>
        <item x="7"/>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
  </rowFields>
  <rowItems count="5">
    <i>
      <x v="1"/>
    </i>
    <i>
      <x/>
    </i>
    <i>
      <x v="3"/>
    </i>
    <i>
      <x v="2"/>
    </i>
    <i t="grand">
      <x/>
    </i>
  </rowItems>
  <colItems count="1">
    <i/>
  </colItems>
  <dataFields count="1">
    <dataField name="Average of engagements" fld="5" subtotal="average" baseField="1" baseItem="0"/>
  </dataFields>
  <formats count="15">
    <format dxfId="5650">
      <pivotArea collapsedLevelsAreSubtotals="1" fieldPosition="0">
        <references count="1">
          <reference field="1" count="4">
            <x v="0"/>
            <x v="1"/>
            <x v="2"/>
            <x v="3"/>
          </reference>
        </references>
      </pivotArea>
    </format>
    <format dxfId="5651">
      <pivotArea collapsedLevelsAreSubtotals="1" fieldPosition="0">
        <references count="1">
          <reference field="1" count="4">
            <x v="0"/>
            <x v="1"/>
            <x v="2"/>
            <x v="3"/>
          </reference>
        </references>
      </pivotArea>
    </format>
    <format dxfId="5652">
      <pivotArea dataOnly="0" labelOnly="1" fieldPosition="0">
        <references count="1">
          <reference field="1" count="0"/>
        </references>
      </pivotArea>
    </format>
    <format dxfId="5653">
      <pivotArea type="all" dataOnly="0" outline="0" fieldPosition="0"/>
    </format>
    <format dxfId="5654">
      <pivotArea outline="0" collapsedLevelsAreSubtotals="1" fieldPosition="0"/>
    </format>
    <format dxfId="5655">
      <pivotArea field="1" type="button" dataOnly="0" labelOnly="1" outline="0" axis="axisRow" fieldPosition="0"/>
    </format>
    <format dxfId="5656">
      <pivotArea dataOnly="0" labelOnly="1" fieldPosition="0">
        <references count="1">
          <reference field="1" count="0"/>
        </references>
      </pivotArea>
    </format>
    <format dxfId="5657">
      <pivotArea dataOnly="0" labelOnly="1" grandRow="1" outline="0" fieldPosition="0"/>
    </format>
    <format dxfId="5658">
      <pivotArea dataOnly="0" labelOnly="1" outline="0" axis="axisValues" fieldPosition="0"/>
    </format>
    <format dxfId="5659">
      <pivotArea type="all" dataOnly="0" outline="0" fieldPosition="0"/>
    </format>
    <format dxfId="5660">
      <pivotArea outline="0" collapsedLevelsAreSubtotals="1" fieldPosition="0"/>
    </format>
    <format dxfId="5661">
      <pivotArea field="1" type="button" dataOnly="0" labelOnly="1" outline="0" axis="axisRow" fieldPosition="0"/>
    </format>
    <format dxfId="5662">
      <pivotArea dataOnly="0" labelOnly="1" fieldPosition="0">
        <references count="1">
          <reference field="1" count="0"/>
        </references>
      </pivotArea>
    </format>
    <format dxfId="5663">
      <pivotArea dataOnly="0" labelOnly="1" grandRow="1" outline="0" fieldPosition="0"/>
    </format>
    <format dxfId="5664">
      <pivotArea dataOnly="0" labelOnly="1" outline="0" axis="axisValues" fieldPosition="0"/>
    </format>
  </formats>
  <chartFormats count="4">
    <chartFormat chart="17" format="0"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8" format="3">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C482913-2B62-46AB-AF43-8195BC0C4BE8}" name="PivotTable12" cacheId="0"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location ref="G2:H3" firstHeaderRow="0" firstDataRow="1" firstDataCol="0"/>
  <pivotFields count="15">
    <pivotField showAll="0">
      <items count="13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t="default"/>
      </items>
    </pivotField>
    <pivotField showAll="0">
      <items count="5">
        <item x="2"/>
        <item x="0"/>
        <item x="3"/>
        <item x="1"/>
        <item t="default"/>
      </items>
    </pivotField>
    <pivotField showAll="0">
      <items count="8">
        <item x="3"/>
        <item x="6"/>
        <item x="0"/>
        <item x="1"/>
        <item x="5"/>
        <item x="4"/>
        <item x="2"/>
        <item t="default"/>
      </items>
    </pivotField>
    <pivotField showAll="0">
      <items count="6">
        <item x="2"/>
        <item x="4"/>
        <item x="0"/>
        <item x="1"/>
        <item x="3"/>
        <item t="default"/>
      </items>
    </pivotField>
    <pivotField showAll="0">
      <items count="1337">
        <item x="0"/>
        <item x="1"/>
        <item x="2"/>
        <item x="3"/>
        <item x="4"/>
        <item x="5"/>
        <item x="6"/>
        <item x="7"/>
        <item x="8"/>
        <item x="9"/>
        <item x="10"/>
        <item x="11"/>
        <item x="12"/>
        <item x="13"/>
        <item x="14"/>
        <item x="15"/>
        <item x="16"/>
        <item x="17"/>
        <item x="18"/>
        <item x="19"/>
        <item x="20"/>
        <item x="21"/>
        <item x="22"/>
        <item x="23"/>
        <item x="24"/>
        <item x="25"/>
        <item x="26"/>
        <item x="27"/>
        <item x="28"/>
        <item x="1335"/>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t="default"/>
      </items>
    </pivotField>
    <pivotField showAll="0"/>
    <pivotField dataField="1" showAll="0"/>
    <pivotField dataField="1" showAll="0"/>
    <pivotField showAll="0">
      <items count="9">
        <item x="0"/>
        <item x="1"/>
        <item x="2"/>
        <item x="3"/>
        <item x="4"/>
        <item x="5"/>
        <item x="6"/>
        <item x="7"/>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2">
    <i>
      <x/>
    </i>
    <i i="1">
      <x v="1"/>
    </i>
  </colItems>
  <dataFields count="2">
    <dataField name="Average of estimated_reach" fld="6" subtotal="average" baseField="0" baseItem="0"/>
    <dataField name="Average of product_sales" fld="7" subtotal="average" baseField="0" baseItem="1"/>
  </dataFields>
  <formats count="9">
    <format dxfId="5621">
      <pivotArea outline="0" collapsedLevelsAreSubtotals="1" fieldPosition="0"/>
    </format>
    <format dxfId="5622">
      <pivotArea outline="0" collapsedLevelsAreSubtotals="1" fieldPosition="0"/>
    </format>
    <format dxfId="5623">
      <pivotArea outline="0" collapsedLevelsAreSubtotals="1" fieldPosition="0"/>
    </format>
    <format dxfId="5624">
      <pivotArea type="all" dataOnly="0" outline="0" fieldPosition="0"/>
    </format>
    <format dxfId="5625">
      <pivotArea outline="0" collapsedLevelsAreSubtotals="1" fieldPosition="0"/>
    </format>
    <format dxfId="5626">
      <pivotArea dataOnly="0" labelOnly="1" outline="0" fieldPosition="0">
        <references count="1">
          <reference field="4294967294" count="2">
            <x v="0"/>
            <x v="1"/>
          </reference>
        </references>
      </pivotArea>
    </format>
    <format dxfId="5627">
      <pivotArea type="all" dataOnly="0" outline="0" fieldPosition="0"/>
    </format>
    <format dxfId="5628">
      <pivotArea outline="0" collapsedLevelsAreSubtotals="1" fieldPosition="0"/>
    </format>
    <format dxfId="5629">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440B8C6-198C-475E-9C36-41ACCD8F0FDE}" name="PivotTable10" cacheId="0"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40">
  <location ref="I42:K43" firstHeaderRow="0" firstDataRow="1" firstDataCol="0"/>
  <pivotFields count="15">
    <pivotField showAll="0">
      <items count="13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t="default"/>
      </items>
    </pivotField>
    <pivotField showAll="0">
      <items count="5">
        <item x="2"/>
        <item x="0"/>
        <item x="3"/>
        <item x="1"/>
        <item t="default"/>
      </items>
    </pivotField>
    <pivotField showAll="0">
      <items count="8">
        <item x="3"/>
        <item x="6"/>
        <item x="0"/>
        <item x="1"/>
        <item x="5"/>
        <item x="4"/>
        <item x="2"/>
        <item t="default"/>
      </items>
    </pivotField>
    <pivotField showAll="0">
      <items count="6">
        <item x="2"/>
        <item x="4"/>
        <item x="0"/>
        <item x="1"/>
        <item x="3"/>
        <item t="default"/>
      </items>
    </pivotField>
    <pivotField showAll="0">
      <items count="1337">
        <item x="0"/>
        <item x="1"/>
        <item x="2"/>
        <item x="3"/>
        <item x="4"/>
        <item x="5"/>
        <item x="6"/>
        <item x="7"/>
        <item x="8"/>
        <item x="9"/>
        <item x="10"/>
        <item x="11"/>
        <item x="12"/>
        <item x="13"/>
        <item x="14"/>
        <item x="15"/>
        <item x="16"/>
        <item x="17"/>
        <item x="18"/>
        <item x="19"/>
        <item x="20"/>
        <item x="21"/>
        <item x="22"/>
        <item x="23"/>
        <item x="24"/>
        <item x="25"/>
        <item x="26"/>
        <item x="27"/>
        <item x="28"/>
        <item x="1335"/>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t="default"/>
      </items>
    </pivotField>
    <pivotField dataField="1" showAll="0"/>
    <pivotField dataField="1" showAll="0"/>
    <pivotField dataField="1" showAll="0"/>
    <pivotField showAll="0">
      <items count="9">
        <item x="0"/>
        <item x="1"/>
        <item x="2"/>
        <item x="3"/>
        <item x="4"/>
        <item x="5"/>
        <item x="6"/>
        <item x="7"/>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3">
    <i>
      <x/>
    </i>
    <i i="1">
      <x v="1"/>
    </i>
    <i i="2">
      <x v="2"/>
    </i>
  </colItems>
  <dataFields count="3">
    <dataField name="Sum of estimated_reach" fld="6" baseField="0" baseItem="0"/>
    <dataField name="Sum of engagements" fld="5" baseField="0" baseItem="0"/>
    <dataField name="Sum of product_sales" fld="7" baseField="0" baseItem="0" numFmtId="170"/>
  </dataFields>
  <formats count="11">
    <format dxfId="5639">
      <pivotArea type="all" dataOnly="0" outline="0" fieldPosition="0"/>
    </format>
    <format dxfId="5640">
      <pivotArea outline="0" collapsedLevelsAreSubtotals="1" fieldPosition="0"/>
    </format>
    <format dxfId="5641">
      <pivotArea field="1" type="button" dataOnly="0" labelOnly="1" outline="0"/>
    </format>
    <format dxfId="5642">
      <pivotArea dataOnly="0" labelOnly="1" grandRow="1" outline="0" fieldPosition="0"/>
    </format>
    <format dxfId="5643">
      <pivotArea dataOnly="0" labelOnly="1" outline="0" axis="axisValues" fieldPosition="0"/>
    </format>
    <format dxfId="5644">
      <pivotArea type="all" dataOnly="0" outline="0" fieldPosition="0"/>
    </format>
    <format dxfId="5645">
      <pivotArea outline="0" collapsedLevelsAreSubtotals="1" fieldPosition="0"/>
    </format>
    <format dxfId="5646">
      <pivotArea field="1" type="button" dataOnly="0" labelOnly="1" outline="0"/>
    </format>
    <format dxfId="5647">
      <pivotArea dataOnly="0" labelOnly="1" grandRow="1" outline="0" fieldPosition="0"/>
    </format>
    <format dxfId="5648">
      <pivotArea dataOnly="0" labelOnly="1" outline="0" axis="axisValues" fieldPosition="0"/>
    </format>
    <format dxfId="5649">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02BADF-2E98-4FB3-AE08-F69E8DF7FA59}" name="PivotTable11" cacheId="0"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location ref="B2:B3" firstHeaderRow="1" firstDataRow="1" firstDataCol="0"/>
  <pivotFields count="15">
    <pivotField showAll="0">
      <items count="13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t="default"/>
      </items>
    </pivotField>
    <pivotField showAll="0">
      <items count="5">
        <item x="2"/>
        <item x="0"/>
        <item x="3"/>
        <item x="1"/>
        <item t="default"/>
      </items>
    </pivotField>
    <pivotField showAll="0">
      <items count="8">
        <item x="3"/>
        <item x="6"/>
        <item x="0"/>
        <item x="1"/>
        <item x="5"/>
        <item x="4"/>
        <item x="2"/>
        <item t="default"/>
      </items>
    </pivotField>
    <pivotField showAll="0">
      <items count="6">
        <item x="2"/>
        <item x="4"/>
        <item x="0"/>
        <item x="1"/>
        <item x="3"/>
        <item t="default"/>
      </items>
    </pivotField>
    <pivotField showAll="0">
      <items count="1337">
        <item x="0"/>
        <item x="1"/>
        <item x="2"/>
        <item x="3"/>
        <item x="4"/>
        <item x="5"/>
        <item x="6"/>
        <item x="7"/>
        <item x="8"/>
        <item x="9"/>
        <item x="10"/>
        <item x="11"/>
        <item x="12"/>
        <item x="13"/>
        <item x="14"/>
        <item x="15"/>
        <item x="16"/>
        <item x="17"/>
        <item x="18"/>
        <item x="19"/>
        <item x="20"/>
        <item x="21"/>
        <item x="22"/>
        <item x="23"/>
        <item x="24"/>
        <item x="25"/>
        <item x="26"/>
        <item x="27"/>
        <item x="28"/>
        <item x="1335"/>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t="default"/>
      </items>
    </pivotField>
    <pivotField showAll="0"/>
    <pivotField showAll="0"/>
    <pivotField dataField="1" showAll="0"/>
    <pivotField showAll="0">
      <items count="9">
        <item x="0"/>
        <item x="1"/>
        <item x="2"/>
        <item x="3"/>
        <item x="4"/>
        <item x="5"/>
        <item x="6"/>
        <item x="7"/>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product_sales" fld="7" baseField="0" baseItem="0" numFmtId="171"/>
  </dataFields>
  <formats count="9">
    <format dxfId="5630">
      <pivotArea outline="0" collapsedLevelsAreSubtotals="1" fieldPosition="0"/>
    </format>
    <format dxfId="5631">
      <pivotArea outline="0" collapsedLevelsAreSubtotals="1" fieldPosition="0"/>
    </format>
    <format dxfId="5632">
      <pivotArea type="all" dataOnly="0" outline="0" fieldPosition="0"/>
    </format>
    <format dxfId="5633">
      <pivotArea outline="0" collapsedLevelsAreSubtotals="1" fieldPosition="0"/>
    </format>
    <format dxfId="5634">
      <pivotArea dataOnly="0" labelOnly="1" outline="0" axis="axisValues" fieldPosition="0"/>
    </format>
    <format dxfId="5635">
      <pivotArea type="all" dataOnly="0" outline="0" fieldPosition="0"/>
    </format>
    <format dxfId="5636">
      <pivotArea outline="0" collapsedLevelsAreSubtotals="1" fieldPosition="0"/>
    </format>
    <format dxfId="5637">
      <pivotArea dataOnly="0" labelOnly="1" outline="0" axis="axisValues" fieldPosition="0"/>
    </format>
    <format dxfId="56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EF70A22-07EB-4AAF-AFAD-01F7CA67FEFF}" name="PivotTable7" cacheId="0"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8">
  <location ref="Q43:R49" firstHeaderRow="1" firstDataRow="1" firstDataCol="1"/>
  <pivotFields count="15">
    <pivotField showAll="0">
      <items count="13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t="default"/>
      </items>
    </pivotField>
    <pivotField showAll="0">
      <items count="5">
        <item x="2"/>
        <item x="0"/>
        <item x="3"/>
        <item x="1"/>
        <item t="default"/>
      </items>
    </pivotField>
    <pivotField showAll="0">
      <items count="8">
        <item x="3"/>
        <item x="6"/>
        <item x="0"/>
        <item x="1"/>
        <item x="5"/>
        <item x="4"/>
        <item x="2"/>
        <item t="default"/>
      </items>
    </pivotField>
    <pivotField axis="axisRow" showAll="0" sortType="descending">
      <items count="6">
        <item x="2"/>
        <item x="4"/>
        <item x="0"/>
        <item x="1"/>
        <item x="3"/>
        <item t="default"/>
      </items>
      <autoSortScope>
        <pivotArea dataOnly="0" outline="0" fieldPosition="0">
          <references count="1">
            <reference field="4294967294" count="1" selected="0">
              <x v="0"/>
            </reference>
          </references>
        </pivotArea>
      </autoSortScope>
    </pivotField>
    <pivotField numFmtId="166" showAll="0">
      <items count="1337">
        <item x="0"/>
        <item x="1"/>
        <item x="2"/>
        <item x="3"/>
        <item x="4"/>
        <item x="5"/>
        <item x="6"/>
        <item x="7"/>
        <item x="8"/>
        <item x="9"/>
        <item x="10"/>
        <item x="11"/>
        <item x="12"/>
        <item x="13"/>
        <item x="14"/>
        <item x="15"/>
        <item x="16"/>
        <item x="17"/>
        <item x="18"/>
        <item x="19"/>
        <item x="20"/>
        <item x="21"/>
        <item x="22"/>
        <item x="23"/>
        <item x="24"/>
        <item x="25"/>
        <item x="26"/>
        <item x="27"/>
        <item x="28"/>
        <item x="1335"/>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t="default"/>
      </items>
    </pivotField>
    <pivotField dataField="1" showAll="0"/>
    <pivotField showAll="0"/>
    <pivotField numFmtId="165" showAll="0"/>
    <pivotField showAll="0">
      <items count="9">
        <item x="0"/>
        <item x="1"/>
        <item x="2"/>
        <item x="3"/>
        <item x="4"/>
        <item x="5"/>
        <item x="6"/>
        <item x="7"/>
        <item t="default"/>
      </items>
    </pivotField>
    <pivotField showAll="0"/>
    <pivotField showAll="0"/>
    <pivotField showAll="0"/>
    <pivotField showAll="0"/>
    <pivotField showAll="0"/>
    <pivotField showAll="0">
      <items count="7">
        <item x="0"/>
        <item x="1"/>
        <item x="2"/>
        <item x="3"/>
        <item x="4"/>
        <item x="5"/>
        <item t="default"/>
      </items>
    </pivotField>
  </pivotFields>
  <rowFields count="1">
    <field x="3"/>
  </rowFields>
  <rowItems count="6">
    <i>
      <x v="2"/>
    </i>
    <i>
      <x v="3"/>
    </i>
    <i>
      <x/>
    </i>
    <i>
      <x v="1"/>
    </i>
    <i>
      <x v="4"/>
    </i>
    <i t="grand">
      <x/>
    </i>
  </rowItems>
  <colItems count="1">
    <i/>
  </colItems>
  <dataFields count="1">
    <dataField name="Sum of engagements" fld="5" baseField="0" baseItem="0"/>
  </dataFields>
  <formats count="1">
    <format dxfId="5526">
      <pivotArea collapsedLevelsAreSubtotals="1" fieldPosition="0">
        <references count="1">
          <reference field="3" count="0"/>
        </references>
      </pivotArea>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594F00C-EF0C-4094-8585-56A968BAFCC0}" name="PivotTable3" cacheId="0"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16">
  <location ref="Q33:R39" firstHeaderRow="1" firstDataRow="1" firstDataCol="1"/>
  <pivotFields count="15">
    <pivotField showAll="0">
      <items count="13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t="default"/>
      </items>
    </pivotField>
    <pivotField showAll="0">
      <items count="5">
        <item x="2"/>
        <item x="0"/>
        <item x="3"/>
        <item x="1"/>
        <item t="default"/>
      </items>
    </pivotField>
    <pivotField showAll="0">
      <items count="8">
        <item x="3"/>
        <item x="6"/>
        <item x="0"/>
        <item x="1"/>
        <item x="5"/>
        <item x="4"/>
        <item x="2"/>
        <item t="default"/>
      </items>
    </pivotField>
    <pivotField axis="axisRow" showAll="0" sortType="descending">
      <items count="6">
        <item x="2"/>
        <item x="4"/>
        <item x="0"/>
        <item x="1"/>
        <item x="3"/>
        <item t="default"/>
      </items>
      <autoSortScope>
        <pivotArea dataOnly="0" outline="0" fieldPosition="0">
          <references count="1">
            <reference field="4294967294" count="1" selected="0">
              <x v="0"/>
            </reference>
          </references>
        </pivotArea>
      </autoSortScope>
    </pivotField>
    <pivotField numFmtId="166" showAll="0">
      <items count="1337">
        <item x="0"/>
        <item x="1"/>
        <item x="2"/>
        <item x="3"/>
        <item x="4"/>
        <item x="5"/>
        <item x="6"/>
        <item x="7"/>
        <item x="8"/>
        <item x="9"/>
        <item x="10"/>
        <item x="11"/>
        <item x="12"/>
        <item x="13"/>
        <item x="14"/>
        <item x="15"/>
        <item x="16"/>
        <item x="17"/>
        <item x="18"/>
        <item x="19"/>
        <item x="20"/>
        <item x="21"/>
        <item x="22"/>
        <item x="23"/>
        <item x="24"/>
        <item x="25"/>
        <item x="26"/>
        <item x="27"/>
        <item x="28"/>
        <item x="1335"/>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t="default"/>
      </items>
    </pivotField>
    <pivotField showAll="0"/>
    <pivotField showAll="0"/>
    <pivotField dataField="1" numFmtId="165" showAll="0"/>
    <pivotField showAll="0">
      <items count="9">
        <item x="0"/>
        <item x="1"/>
        <item x="2"/>
        <item x="3"/>
        <item x="4"/>
        <item x="5"/>
        <item x="6"/>
        <item x="7"/>
        <item t="default"/>
      </items>
    </pivotField>
    <pivotField showAll="0"/>
    <pivotField showAll="0"/>
    <pivotField showAll="0"/>
    <pivotField showAll="0"/>
    <pivotField showAll="0"/>
    <pivotField showAll="0">
      <items count="7">
        <item x="0"/>
        <item x="1"/>
        <item x="2"/>
        <item x="3"/>
        <item x="4"/>
        <item x="5"/>
        <item t="default"/>
      </items>
    </pivotField>
  </pivotFields>
  <rowFields count="1">
    <field x="3"/>
  </rowFields>
  <rowItems count="6">
    <i>
      <x/>
    </i>
    <i>
      <x v="2"/>
    </i>
    <i>
      <x v="3"/>
    </i>
    <i>
      <x v="1"/>
    </i>
    <i>
      <x v="4"/>
    </i>
    <i t="grand">
      <x/>
    </i>
  </rowItems>
  <colItems count="1">
    <i/>
  </colItems>
  <dataFields count="1">
    <dataField name="Sum of product_sales" fld="7" baseField="0" baseItem="0"/>
  </dataFields>
  <formats count="1">
    <format dxfId="5560">
      <pivotArea collapsedLevelsAreSubtotals="1" fieldPosition="0">
        <references count="1">
          <reference field="3" count="0"/>
        </references>
      </pivotArea>
    </format>
  </formats>
  <chartFormats count="2">
    <chartFormat chart="9"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E0DC71D-2379-4D8F-8C38-CCEA9D9990BA}" name="PivotTable18" cacheId="0"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39">
  <location ref="F20:G28" firstHeaderRow="1" firstDataRow="1" firstDataCol="1"/>
  <pivotFields count="15">
    <pivotField showAll="0">
      <items count="13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t="default"/>
      </items>
    </pivotField>
    <pivotField showAll="0">
      <items count="5">
        <item x="2"/>
        <item x="0"/>
        <item x="3"/>
        <item x="1"/>
        <item t="default"/>
      </items>
    </pivotField>
    <pivotField axis="axisRow" showAll="0" sortType="descending">
      <items count="8">
        <item x="3"/>
        <item x="6"/>
        <item x="0"/>
        <item x="1"/>
        <item x="5"/>
        <item x="4"/>
        <item x="2"/>
        <item t="default"/>
      </items>
      <autoSortScope>
        <pivotArea dataOnly="0" outline="0" fieldPosition="0">
          <references count="1">
            <reference field="4294967294" count="1" selected="0">
              <x v="0"/>
            </reference>
          </references>
        </pivotArea>
      </autoSortScope>
    </pivotField>
    <pivotField showAll="0">
      <items count="6">
        <item x="2"/>
        <item x="4"/>
        <item x="0"/>
        <item x="1"/>
        <item x="3"/>
        <item t="default"/>
      </items>
    </pivotField>
    <pivotField showAll="0">
      <items count="1337">
        <item x="0"/>
        <item x="1"/>
        <item x="2"/>
        <item x="3"/>
        <item x="4"/>
        <item x="5"/>
        <item x="6"/>
        <item x="7"/>
        <item x="8"/>
        <item x="9"/>
        <item x="10"/>
        <item x="11"/>
        <item x="12"/>
        <item x="13"/>
        <item x="14"/>
        <item x="15"/>
        <item x="16"/>
        <item x="17"/>
        <item x="18"/>
        <item x="19"/>
        <item x="20"/>
        <item x="21"/>
        <item x="22"/>
        <item x="23"/>
        <item x="24"/>
        <item x="25"/>
        <item x="26"/>
        <item x="27"/>
        <item x="28"/>
        <item x="1335"/>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t="default"/>
      </items>
    </pivotField>
    <pivotField showAll="0"/>
    <pivotField showAll="0"/>
    <pivotField dataField="1" showAll="0"/>
    <pivotField showAll="0">
      <items count="9">
        <item x="0"/>
        <item x="1"/>
        <item x="2"/>
        <item x="3"/>
        <item x="4"/>
        <item x="5"/>
        <item x="6"/>
        <item x="7"/>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8">
    <i>
      <x v="6"/>
    </i>
    <i>
      <x v="3"/>
    </i>
    <i>
      <x v="5"/>
    </i>
    <i>
      <x v="2"/>
    </i>
    <i>
      <x v="1"/>
    </i>
    <i>
      <x/>
    </i>
    <i>
      <x v="4"/>
    </i>
    <i t="grand">
      <x/>
    </i>
  </rowItems>
  <colItems count="1">
    <i/>
  </colItems>
  <dataFields count="1">
    <dataField name="Sum of product_sales" fld="7" baseField="0" baseItem="0"/>
  </dataFields>
  <formats count="13">
    <format dxfId="5593">
      <pivotArea dataOnly="0" labelOnly="1" fieldPosition="0">
        <references count="1">
          <reference field="2" count="0"/>
        </references>
      </pivotArea>
    </format>
    <format dxfId="5594">
      <pivotArea type="all" dataOnly="0" outline="0" fieldPosition="0"/>
    </format>
    <format dxfId="5595">
      <pivotArea outline="0" collapsedLevelsAreSubtotals="1" fieldPosition="0"/>
    </format>
    <format dxfId="5596">
      <pivotArea field="2" type="button" dataOnly="0" labelOnly="1" outline="0" axis="axisRow" fieldPosition="0"/>
    </format>
    <format dxfId="5597">
      <pivotArea dataOnly="0" labelOnly="1" fieldPosition="0">
        <references count="1">
          <reference field="2" count="0"/>
        </references>
      </pivotArea>
    </format>
    <format dxfId="5598">
      <pivotArea dataOnly="0" labelOnly="1" grandRow="1" outline="0" fieldPosition="0"/>
    </format>
    <format dxfId="5599">
      <pivotArea dataOnly="0" labelOnly="1" outline="0" axis="axisValues" fieldPosition="0"/>
    </format>
    <format dxfId="5600">
      <pivotArea type="all" dataOnly="0" outline="0" fieldPosition="0"/>
    </format>
    <format dxfId="5601">
      <pivotArea outline="0" collapsedLevelsAreSubtotals="1" fieldPosition="0"/>
    </format>
    <format dxfId="5602">
      <pivotArea field="2" type="button" dataOnly="0" labelOnly="1" outline="0" axis="axisRow" fieldPosition="0"/>
    </format>
    <format dxfId="5603">
      <pivotArea dataOnly="0" labelOnly="1" fieldPosition="0">
        <references count="1">
          <reference field="2" count="0"/>
        </references>
      </pivotArea>
    </format>
    <format dxfId="5604">
      <pivotArea dataOnly="0" labelOnly="1" grandRow="1" outline="0" fieldPosition="0"/>
    </format>
    <format dxfId="5605">
      <pivotArea dataOnly="0" labelOnly="1" outline="0" axis="axisValues" fieldPosition="0"/>
    </format>
  </formats>
  <chartFormats count="2">
    <chartFormat chart="13"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B2710E2-C377-4D07-B104-57A8797ABBA0}" name="PivotTable6" cacheId="0" applyNumberFormats="0" applyBorderFormats="0" applyFontFormats="0" applyPatternFormats="0" applyAlignmentFormats="0" applyWidthHeightFormats="1" dataCaption="Values" updatedVersion="8" minRefreshableVersion="5" itemPrintTitles="1" createdVersion="6" indent="0" outline="1" outlineData="1" multipleFieldFilters="0">
  <location ref="B8:C9" firstHeaderRow="0" firstDataRow="1" firstDataCol="0"/>
  <pivotFields count="15">
    <pivotField showAll="0">
      <items count="13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t="default"/>
      </items>
    </pivotField>
    <pivotField showAll="0">
      <items count="5">
        <item x="2"/>
        <item x="0"/>
        <item x="3"/>
        <item x="1"/>
        <item t="default"/>
      </items>
    </pivotField>
    <pivotField showAll="0">
      <items count="8">
        <item x="3"/>
        <item x="6"/>
        <item x="0"/>
        <item x="1"/>
        <item x="5"/>
        <item x="4"/>
        <item x="2"/>
        <item t="default"/>
      </items>
    </pivotField>
    <pivotField showAll="0">
      <items count="6">
        <item x="2"/>
        <item x="4"/>
        <item x="0"/>
        <item x="1"/>
        <item x="3"/>
        <item t="default"/>
      </items>
    </pivotField>
    <pivotField showAll="0">
      <items count="1337">
        <item x="0"/>
        <item x="1"/>
        <item x="2"/>
        <item x="3"/>
        <item x="4"/>
        <item x="5"/>
        <item x="6"/>
        <item x="7"/>
        <item x="8"/>
        <item x="9"/>
        <item x="10"/>
        <item x="11"/>
        <item x="12"/>
        <item x="13"/>
        <item x="14"/>
        <item x="15"/>
        <item x="16"/>
        <item x="17"/>
        <item x="18"/>
        <item x="19"/>
        <item x="20"/>
        <item x="21"/>
        <item x="22"/>
        <item x="23"/>
        <item x="24"/>
        <item x="25"/>
        <item x="26"/>
        <item x="27"/>
        <item x="28"/>
        <item x="1335"/>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t="default"/>
      </items>
    </pivotField>
    <pivotField showAll="0"/>
    <pivotField showAll="0"/>
    <pivotField dataField="1" showAll="0"/>
    <pivotField dataField="1" showAll="0">
      <items count="9">
        <item x="0"/>
        <item x="1"/>
        <item x="2"/>
        <item x="3"/>
        <item x="4"/>
        <item x="5"/>
        <item x="6"/>
        <item x="7"/>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2">
    <i>
      <x/>
    </i>
    <i i="1">
      <x v="1"/>
    </i>
  </colItems>
  <dataFields count="2">
    <dataField name="Count of campaign_duration_days" fld="8" subtotal="count" baseField="0" baseItem="0" numFmtId="1"/>
    <dataField name="Sum of product_sales" fld="7" baseField="0" baseItem="0" numFmtId="171"/>
  </dataFields>
  <formats count="11">
    <format dxfId="5527">
      <pivotArea outline="0" collapsedLevelsAreSubtotals="1" fieldPosition="0"/>
    </format>
    <format dxfId="5528">
      <pivotArea outline="0" collapsedLevelsAreSubtotals="1" fieldPosition="0"/>
    </format>
    <format dxfId="5529">
      <pivotArea dataOnly="0" outline="0" axis="axisValues" fieldPosition="0"/>
    </format>
    <format dxfId="5530">
      <pivotArea outline="0" collapsedLevelsAreSubtotals="1" fieldPosition="0">
        <references count="1">
          <reference field="4294967294" count="1" selected="0">
            <x v="0"/>
          </reference>
        </references>
      </pivotArea>
    </format>
    <format dxfId="5531">
      <pivotArea type="all" dataOnly="0" outline="0" fieldPosition="0"/>
    </format>
    <format dxfId="5532">
      <pivotArea outline="0" collapsedLevelsAreSubtotals="1" fieldPosition="0"/>
    </format>
    <format dxfId="5533">
      <pivotArea dataOnly="0" labelOnly="1" outline="0" fieldPosition="0">
        <references count="1">
          <reference field="4294967294" count="2">
            <x v="0"/>
            <x v="1"/>
          </reference>
        </references>
      </pivotArea>
    </format>
    <format dxfId="5534">
      <pivotArea type="all" dataOnly="0" outline="0" fieldPosition="0"/>
    </format>
    <format dxfId="5535">
      <pivotArea outline="0" collapsedLevelsAreSubtotals="1" fieldPosition="0"/>
    </format>
    <format dxfId="5536">
      <pivotArea dataOnly="0" labelOnly="1" outline="0" fieldPosition="0">
        <references count="1">
          <reference field="4294967294" count="2">
            <x v="0"/>
            <x v="1"/>
          </reference>
        </references>
      </pivotArea>
    </format>
    <format dxfId="5537">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B51ADC8-9316-4744-9C66-0ECAD8743BFF}" name="PivotTable8" cacheId="0"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50">
  <location ref="B61:C68" firstHeaderRow="1" firstDataRow="1" firstDataCol="1"/>
  <pivotFields count="15">
    <pivotField showAll="0">
      <items count="13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t="default"/>
      </items>
    </pivotField>
    <pivotField showAll="0">
      <items count="5">
        <item x="2"/>
        <item x="0"/>
        <item x="3"/>
        <item x="1"/>
        <item t="default"/>
      </items>
    </pivotField>
    <pivotField showAll="0">
      <items count="8">
        <item x="3"/>
        <item x="6"/>
        <item x="0"/>
        <item x="1"/>
        <item x="5"/>
        <item x="4"/>
        <item x="2"/>
        <item t="default"/>
      </items>
    </pivotField>
    <pivotField showAll="0">
      <items count="6">
        <item x="2"/>
        <item x="4"/>
        <item x="0"/>
        <item x="1"/>
        <item x="3"/>
        <item t="default"/>
      </items>
    </pivotField>
    <pivotField showAll="0">
      <items count="1337">
        <item x="0"/>
        <item x="1"/>
        <item x="2"/>
        <item x="3"/>
        <item x="4"/>
        <item x="5"/>
        <item x="6"/>
        <item x="7"/>
        <item x="8"/>
        <item x="9"/>
        <item x="10"/>
        <item x="11"/>
        <item x="12"/>
        <item x="13"/>
        <item x="14"/>
        <item x="15"/>
        <item x="16"/>
        <item x="17"/>
        <item x="18"/>
        <item x="19"/>
        <item x="20"/>
        <item x="21"/>
        <item x="22"/>
        <item x="23"/>
        <item x="24"/>
        <item x="25"/>
        <item x="26"/>
        <item x="27"/>
        <item x="28"/>
        <item x="1335"/>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t="default"/>
      </items>
    </pivotField>
    <pivotField showAll="0"/>
    <pivotField showAll="0"/>
    <pivotField dataField="1" showAll="0"/>
    <pivotField axis="axisRow" showAll="0">
      <items count="9">
        <item x="0"/>
        <item x="1"/>
        <item x="2"/>
        <item x="3"/>
        <item x="4"/>
        <item x="5"/>
        <item x="6"/>
        <item x="7"/>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8"/>
  </rowFields>
  <rowItems count="7">
    <i>
      <x v="1"/>
    </i>
    <i>
      <x v="2"/>
    </i>
    <i>
      <x v="3"/>
    </i>
    <i>
      <x v="4"/>
    </i>
    <i>
      <x v="5"/>
    </i>
    <i>
      <x v="6"/>
    </i>
    <i t="grand">
      <x/>
    </i>
  </rowItems>
  <colItems count="1">
    <i/>
  </colItems>
  <dataFields count="1">
    <dataField name="Sum of product_sales" fld="7" baseField="0" baseItem="0"/>
  </dataFields>
  <formats count="10">
    <format dxfId="5516">
      <pivotArea type="all" dataOnly="0" outline="0" fieldPosition="0"/>
    </format>
    <format dxfId="5517">
      <pivotArea outline="0" collapsedLevelsAreSubtotals="1" fieldPosition="0"/>
    </format>
    <format dxfId="5518">
      <pivotArea field="1" type="button" dataOnly="0" labelOnly="1" outline="0"/>
    </format>
    <format dxfId="5519">
      <pivotArea dataOnly="0" labelOnly="1" grandRow="1" outline="0" fieldPosition="0"/>
    </format>
    <format dxfId="5520">
      <pivotArea dataOnly="0" labelOnly="1" outline="0" axis="axisValues" fieldPosition="0"/>
    </format>
    <format dxfId="5521">
      <pivotArea type="all" dataOnly="0" outline="0" fieldPosition="0"/>
    </format>
    <format dxfId="5522">
      <pivotArea outline="0" collapsedLevelsAreSubtotals="1" fieldPosition="0"/>
    </format>
    <format dxfId="5523">
      <pivotArea field="1" type="button" dataOnly="0" labelOnly="1" outline="0"/>
    </format>
    <format dxfId="5524">
      <pivotArea dataOnly="0" labelOnly="1" grandRow="1" outline="0" fieldPosition="0"/>
    </format>
    <format dxfId="5525">
      <pivotArea dataOnly="0" labelOnly="1" outline="0" axis="axisValues" fieldPosition="0"/>
    </format>
  </formats>
  <chartFormats count="2">
    <chartFormat chart="40" format="0"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4DEF68E-EE38-48E0-A5E7-33BAA07BC6FD}" name="PivotTable2" cacheId="0"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32">
  <location ref="M3:N11" firstHeaderRow="1" firstDataRow="1" firstDataCol="1"/>
  <pivotFields count="15">
    <pivotField showAll="0">
      <items count="13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t="default"/>
      </items>
    </pivotField>
    <pivotField showAll="0">
      <items count="5">
        <item x="2"/>
        <item x="0"/>
        <item x="3"/>
        <item x="1"/>
        <item t="default"/>
      </items>
    </pivotField>
    <pivotField axis="axisRow" showAll="0" sortType="descending">
      <items count="8">
        <item x="3"/>
        <item x="6"/>
        <item x="0"/>
        <item x="1"/>
        <item x="5"/>
        <item x="4"/>
        <item x="2"/>
        <item t="default"/>
      </items>
      <autoSortScope>
        <pivotArea dataOnly="0" outline="0" fieldPosition="0">
          <references count="1">
            <reference field="4294967294" count="1" selected="0">
              <x v="0"/>
            </reference>
          </references>
        </pivotArea>
      </autoSortScope>
    </pivotField>
    <pivotField showAll="0">
      <items count="6">
        <item x="2"/>
        <item x="4"/>
        <item x="0"/>
        <item x="1"/>
        <item x="3"/>
        <item t="default"/>
      </items>
    </pivotField>
    <pivotField showAll="0">
      <items count="1337">
        <item x="0"/>
        <item x="1"/>
        <item x="2"/>
        <item x="3"/>
        <item x="4"/>
        <item x="5"/>
        <item x="6"/>
        <item x="7"/>
        <item x="8"/>
        <item x="9"/>
        <item x="10"/>
        <item x="11"/>
        <item x="12"/>
        <item x="13"/>
        <item x="14"/>
        <item x="15"/>
        <item x="16"/>
        <item x="17"/>
        <item x="18"/>
        <item x="19"/>
        <item x="20"/>
        <item x="21"/>
        <item x="22"/>
        <item x="23"/>
        <item x="24"/>
        <item x="25"/>
        <item x="26"/>
        <item x="27"/>
        <item x="28"/>
        <item x="1335"/>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t="default"/>
      </items>
    </pivotField>
    <pivotField showAll="0"/>
    <pivotField showAll="0"/>
    <pivotField showAll="0"/>
    <pivotField showAll="0">
      <items count="9">
        <item x="0"/>
        <item x="1"/>
        <item x="2"/>
        <item x="3"/>
        <item x="4"/>
        <item x="5"/>
        <item x="6"/>
        <item x="7"/>
        <item t="default"/>
      </items>
    </pivotField>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8">
    <i>
      <x v="2"/>
    </i>
    <i>
      <x v="6"/>
    </i>
    <i>
      <x v="1"/>
    </i>
    <i>
      <x v="3"/>
    </i>
    <i>
      <x/>
    </i>
    <i>
      <x v="5"/>
    </i>
    <i>
      <x v="4"/>
    </i>
    <i t="grand">
      <x/>
    </i>
  </rowItems>
  <colItems count="1">
    <i/>
  </colItems>
  <dataFields count="1">
    <dataField name="Average of engagement %" fld="10" subtotal="average" baseField="0" baseItem="0" numFmtId="2"/>
  </dataFields>
  <formats count="15">
    <format dxfId="5578">
      <pivotArea outline="0" collapsedLevelsAreSubtotals="1" fieldPosition="0"/>
    </format>
    <format dxfId="5579">
      <pivotArea outline="0" collapsedLevelsAreSubtotals="1" fieldPosition="0"/>
    </format>
    <format dxfId="5580">
      <pivotArea outline="0" collapsedLevelsAreSubtotals="1" fieldPosition="0"/>
    </format>
    <format dxfId="5581">
      <pivotArea type="all" dataOnly="0" outline="0" fieldPosition="0"/>
    </format>
    <format dxfId="5582">
      <pivotArea outline="0" collapsedLevelsAreSubtotals="1" fieldPosition="0"/>
    </format>
    <format dxfId="5583">
      <pivotArea field="2" type="button" dataOnly="0" labelOnly="1" outline="0" axis="axisRow" fieldPosition="0"/>
    </format>
    <format dxfId="5584">
      <pivotArea dataOnly="0" labelOnly="1" fieldPosition="0">
        <references count="1">
          <reference field="2" count="0"/>
        </references>
      </pivotArea>
    </format>
    <format dxfId="5585">
      <pivotArea dataOnly="0" labelOnly="1" grandRow="1" outline="0" fieldPosition="0"/>
    </format>
    <format dxfId="5586">
      <pivotArea dataOnly="0" labelOnly="1" outline="0" axis="axisValues" fieldPosition="0"/>
    </format>
    <format dxfId="5587">
      <pivotArea type="all" dataOnly="0" outline="0" fieldPosition="0"/>
    </format>
    <format dxfId="5588">
      <pivotArea outline="0" collapsedLevelsAreSubtotals="1" fieldPosition="0"/>
    </format>
    <format dxfId="5589">
      <pivotArea field="2" type="button" dataOnly="0" labelOnly="1" outline="0" axis="axisRow" fieldPosition="0"/>
    </format>
    <format dxfId="5590">
      <pivotArea dataOnly="0" labelOnly="1" fieldPosition="0">
        <references count="1">
          <reference field="2" count="0"/>
        </references>
      </pivotArea>
    </format>
    <format dxfId="5591">
      <pivotArea dataOnly="0" labelOnly="1" grandRow="1" outline="0" fieldPosition="0"/>
    </format>
    <format dxfId="5592">
      <pivotArea dataOnly="0" labelOnly="1" outline="0" axis="axisValues" fieldPosition="0"/>
    </format>
  </formats>
  <chartFormats count="24">
    <chartFormat chart="17" format="0" series="1">
      <pivotArea type="data" outline="0" fieldPosition="0">
        <references count="1">
          <reference field="4294967294" count="1" selected="0">
            <x v="0"/>
          </reference>
        </references>
      </pivotArea>
    </chartFormat>
    <chartFormat chart="17" format="1">
      <pivotArea type="data" outline="0" fieldPosition="0">
        <references count="2">
          <reference field="4294967294" count="1" selected="0">
            <x v="0"/>
          </reference>
          <reference field="2" count="1" selected="0">
            <x v="2"/>
          </reference>
        </references>
      </pivotArea>
    </chartFormat>
    <chartFormat chart="17" format="2">
      <pivotArea type="data" outline="0" fieldPosition="0">
        <references count="2">
          <reference field="4294967294" count="1" selected="0">
            <x v="0"/>
          </reference>
          <reference field="2" count="1" selected="0">
            <x v="6"/>
          </reference>
        </references>
      </pivotArea>
    </chartFormat>
    <chartFormat chart="17" format="3">
      <pivotArea type="data" outline="0" fieldPosition="0">
        <references count="2">
          <reference field="4294967294" count="1" selected="0">
            <x v="0"/>
          </reference>
          <reference field="2" count="1" selected="0">
            <x v="1"/>
          </reference>
        </references>
      </pivotArea>
    </chartFormat>
    <chartFormat chart="17" format="4">
      <pivotArea type="data" outline="0" fieldPosition="0">
        <references count="2">
          <reference field="4294967294" count="1" selected="0">
            <x v="0"/>
          </reference>
          <reference field="2" count="1" selected="0">
            <x v="3"/>
          </reference>
        </references>
      </pivotArea>
    </chartFormat>
    <chartFormat chart="17" format="5">
      <pivotArea type="data" outline="0" fieldPosition="0">
        <references count="2">
          <reference field="4294967294" count="1" selected="0">
            <x v="0"/>
          </reference>
          <reference field="2" count="1" selected="0">
            <x v="0"/>
          </reference>
        </references>
      </pivotArea>
    </chartFormat>
    <chartFormat chart="17" format="6">
      <pivotArea type="data" outline="0" fieldPosition="0">
        <references count="2">
          <reference field="4294967294" count="1" selected="0">
            <x v="0"/>
          </reference>
          <reference field="2" count="1" selected="0">
            <x v="5"/>
          </reference>
        </references>
      </pivotArea>
    </chartFormat>
    <chartFormat chart="17" format="7">
      <pivotArea type="data" outline="0" fieldPosition="0">
        <references count="2">
          <reference field="4294967294" count="1" selected="0">
            <x v="0"/>
          </reference>
          <reference field="2" count="1" selected="0">
            <x v="4"/>
          </reference>
        </references>
      </pivotArea>
    </chartFormat>
    <chartFormat chart="22" format="17" series="1">
      <pivotArea type="data" outline="0" fieldPosition="0">
        <references count="1">
          <reference field="4294967294" count="1" selected="0">
            <x v="0"/>
          </reference>
        </references>
      </pivotArea>
    </chartFormat>
    <chartFormat chart="22" format="18">
      <pivotArea type="data" outline="0" fieldPosition="0">
        <references count="2">
          <reference field="4294967294" count="1" selected="0">
            <x v="0"/>
          </reference>
          <reference field="2" count="1" selected="0">
            <x v="2"/>
          </reference>
        </references>
      </pivotArea>
    </chartFormat>
    <chartFormat chart="22" format="19">
      <pivotArea type="data" outline="0" fieldPosition="0">
        <references count="2">
          <reference field="4294967294" count="1" selected="0">
            <x v="0"/>
          </reference>
          <reference field="2" count="1" selected="0">
            <x v="6"/>
          </reference>
        </references>
      </pivotArea>
    </chartFormat>
    <chartFormat chart="22" format="20">
      <pivotArea type="data" outline="0" fieldPosition="0">
        <references count="2">
          <reference field="4294967294" count="1" selected="0">
            <x v="0"/>
          </reference>
          <reference field="2" count="1" selected="0">
            <x v="1"/>
          </reference>
        </references>
      </pivotArea>
    </chartFormat>
    <chartFormat chart="22" format="21">
      <pivotArea type="data" outline="0" fieldPosition="0">
        <references count="2">
          <reference field="4294967294" count="1" selected="0">
            <x v="0"/>
          </reference>
          <reference field="2" count="1" selected="0">
            <x v="3"/>
          </reference>
        </references>
      </pivotArea>
    </chartFormat>
    <chartFormat chart="22" format="22">
      <pivotArea type="data" outline="0" fieldPosition="0">
        <references count="2">
          <reference field="4294967294" count="1" selected="0">
            <x v="0"/>
          </reference>
          <reference field="2" count="1" selected="0">
            <x v="0"/>
          </reference>
        </references>
      </pivotArea>
    </chartFormat>
    <chartFormat chart="22" format="23">
      <pivotArea type="data" outline="0" fieldPosition="0">
        <references count="2">
          <reference field="4294967294" count="1" selected="0">
            <x v="0"/>
          </reference>
          <reference field="2" count="1" selected="0">
            <x v="5"/>
          </reference>
        </references>
      </pivotArea>
    </chartFormat>
    <chartFormat chart="22" format="24">
      <pivotArea type="data" outline="0" fieldPosition="0">
        <references count="2">
          <reference field="4294967294" count="1" selected="0">
            <x v="0"/>
          </reference>
          <reference field="2" count="1" selected="0">
            <x v="4"/>
          </reference>
        </references>
      </pivotArea>
    </chartFormat>
    <chartFormat chart="22" format="25" series="1">
      <pivotArea type="data" outline="0" fieldPosition="0">
        <references count="1">
          <reference field="4294967294" count="1" selected="0">
            <x v="0"/>
          </reference>
        </references>
      </pivotArea>
    </chartFormat>
    <chartFormat chart="22" format="26">
      <pivotArea type="data" outline="0" fieldPosition="0">
        <references count="2">
          <reference field="4294967294" count="1" selected="0">
            <x v="0"/>
          </reference>
          <reference field="2" count="1" selected="0">
            <x v="2"/>
          </reference>
        </references>
      </pivotArea>
    </chartFormat>
    <chartFormat chart="22" format="27">
      <pivotArea type="data" outline="0" fieldPosition="0">
        <references count="2">
          <reference field="4294967294" count="1" selected="0">
            <x v="0"/>
          </reference>
          <reference field="2" count="1" selected="0">
            <x v="6"/>
          </reference>
        </references>
      </pivotArea>
    </chartFormat>
    <chartFormat chart="22" format="28">
      <pivotArea type="data" outline="0" fieldPosition="0">
        <references count="2">
          <reference field="4294967294" count="1" selected="0">
            <x v="0"/>
          </reference>
          <reference field="2" count="1" selected="0">
            <x v="1"/>
          </reference>
        </references>
      </pivotArea>
    </chartFormat>
    <chartFormat chart="22" format="29">
      <pivotArea type="data" outline="0" fieldPosition="0">
        <references count="2">
          <reference field="4294967294" count="1" selected="0">
            <x v="0"/>
          </reference>
          <reference field="2" count="1" selected="0">
            <x v="3"/>
          </reference>
        </references>
      </pivotArea>
    </chartFormat>
    <chartFormat chart="22" format="30">
      <pivotArea type="data" outline="0" fieldPosition="0">
        <references count="2">
          <reference field="4294967294" count="1" selected="0">
            <x v="0"/>
          </reference>
          <reference field="2" count="1" selected="0">
            <x v="0"/>
          </reference>
        </references>
      </pivotArea>
    </chartFormat>
    <chartFormat chart="22" format="31">
      <pivotArea type="data" outline="0" fieldPosition="0">
        <references count="2">
          <reference field="4294967294" count="1" selected="0">
            <x v="0"/>
          </reference>
          <reference field="2" count="1" selected="0">
            <x v="5"/>
          </reference>
        </references>
      </pivotArea>
    </chartFormat>
    <chartFormat chart="22" format="3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87076F2-DE0D-4CEC-824D-4B4E34778954}" name="PivotTable4" cacheId="0" applyNumberFormats="0" applyBorderFormats="0" applyFontFormats="0" applyPatternFormats="0" applyAlignmentFormats="0" applyWidthHeightFormats="1" dataCaption="Values" updatedVersion="8" minRefreshableVersion="5" itemPrintTitles="1" createdVersion="6" indent="0" outline="1" outlineData="1" multipleFieldFilters="0">
  <location ref="D5:D6" firstHeaderRow="1" firstDataRow="1" firstDataCol="0"/>
  <pivotFields count="15">
    <pivotField showAll="0">
      <items count="13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t="default"/>
      </items>
    </pivotField>
    <pivotField showAll="0">
      <items count="5">
        <item x="2"/>
        <item x="0"/>
        <item x="3"/>
        <item x="1"/>
        <item t="default"/>
      </items>
    </pivotField>
    <pivotField showAll="0">
      <items count="8">
        <item x="3"/>
        <item x="6"/>
        <item x="0"/>
        <item x="1"/>
        <item x="5"/>
        <item x="4"/>
        <item x="2"/>
        <item t="default"/>
      </items>
    </pivotField>
    <pivotField showAll="0">
      <items count="6">
        <item x="2"/>
        <item x="4"/>
        <item x="0"/>
        <item x="1"/>
        <item x="3"/>
        <item t="default"/>
      </items>
    </pivotField>
    <pivotField showAll="0">
      <items count="1337">
        <item x="0"/>
        <item x="1"/>
        <item x="2"/>
        <item x="3"/>
        <item x="4"/>
        <item x="5"/>
        <item x="6"/>
        <item x="7"/>
        <item x="8"/>
        <item x="9"/>
        <item x="10"/>
        <item x="11"/>
        <item x="12"/>
        <item x="13"/>
        <item x="14"/>
        <item x="15"/>
        <item x="16"/>
        <item x="17"/>
        <item x="18"/>
        <item x="19"/>
        <item x="20"/>
        <item x="21"/>
        <item x="22"/>
        <item x="23"/>
        <item x="24"/>
        <item x="25"/>
        <item x="26"/>
        <item x="27"/>
        <item x="28"/>
        <item x="1335"/>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t="default"/>
      </items>
    </pivotField>
    <pivotField showAll="0"/>
    <pivotField dataField="1" showAll="0"/>
    <pivotField showAll="0"/>
    <pivotField showAll="0">
      <items count="9">
        <item x="0"/>
        <item x="1"/>
        <item x="2"/>
        <item x="3"/>
        <item x="4"/>
        <item x="5"/>
        <item x="6"/>
        <item x="7"/>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estimated_reach" fld="6" baseField="0" baseItem="0" numFmtId="2"/>
  </dataFields>
  <formats count="11">
    <format dxfId="5549">
      <pivotArea outline="0" collapsedLevelsAreSubtotals="1" fieldPosition="0"/>
    </format>
    <format dxfId="5550">
      <pivotArea outline="0" collapsedLevelsAreSubtotals="1" fieldPosition="0"/>
    </format>
    <format dxfId="5551">
      <pivotArea dataOnly="0" outline="0" axis="axisValues" fieldPosition="0"/>
    </format>
    <format dxfId="5552">
      <pivotArea outline="0" collapsedLevelsAreSubtotals="1" fieldPosition="0"/>
    </format>
    <format dxfId="5553">
      <pivotArea type="all" dataOnly="0" outline="0" fieldPosition="0"/>
    </format>
    <format dxfId="5554">
      <pivotArea outline="0" collapsedLevelsAreSubtotals="1" fieldPosition="0"/>
    </format>
    <format dxfId="5555">
      <pivotArea dataOnly="0" labelOnly="1" outline="0" axis="axisValues" fieldPosition="0"/>
    </format>
    <format dxfId="5556">
      <pivotArea type="all" dataOnly="0" outline="0" fieldPosition="0"/>
    </format>
    <format dxfId="5557">
      <pivotArea outline="0" collapsedLevelsAreSubtotals="1" fieldPosition="0"/>
    </format>
    <format dxfId="5558">
      <pivotArea dataOnly="0" labelOnly="1" outline="0" axis="axisValues" fieldPosition="0"/>
    </format>
    <format dxfId="555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AD50F4-4A2F-4444-99F8-862CB2399ECB}" name="PivotTable5" cacheId="0" applyNumberFormats="0" applyBorderFormats="0" applyFontFormats="0" applyPatternFormats="0" applyAlignmentFormats="0" applyWidthHeightFormats="1" dataCaption="Values" updatedVersion="8" minRefreshableVersion="5" itemPrintTitles="1" createdVersion="6" indent="0" outline="1" outlineData="1" multipleFieldFilters="0">
  <location ref="B5:B6" firstHeaderRow="1" firstDataRow="1" firstDataCol="0"/>
  <pivotFields count="15">
    <pivotField showAll="0">
      <items count="13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t="default"/>
      </items>
    </pivotField>
    <pivotField showAll="0">
      <items count="5">
        <item x="2"/>
        <item x="0"/>
        <item x="3"/>
        <item x="1"/>
        <item t="default"/>
      </items>
    </pivotField>
    <pivotField showAll="0">
      <items count="8">
        <item x="3"/>
        <item x="6"/>
        <item x="0"/>
        <item x="1"/>
        <item x="5"/>
        <item x="4"/>
        <item x="2"/>
        <item t="default"/>
      </items>
    </pivotField>
    <pivotField showAll="0">
      <items count="6">
        <item x="2"/>
        <item x="4"/>
        <item x="0"/>
        <item x="1"/>
        <item x="3"/>
        <item t="default"/>
      </items>
    </pivotField>
    <pivotField showAll="0">
      <items count="1337">
        <item x="0"/>
        <item x="1"/>
        <item x="2"/>
        <item x="3"/>
        <item x="4"/>
        <item x="5"/>
        <item x="6"/>
        <item x="7"/>
        <item x="8"/>
        <item x="9"/>
        <item x="10"/>
        <item x="11"/>
        <item x="12"/>
        <item x="13"/>
        <item x="14"/>
        <item x="15"/>
        <item x="16"/>
        <item x="17"/>
        <item x="18"/>
        <item x="19"/>
        <item x="20"/>
        <item x="21"/>
        <item x="22"/>
        <item x="23"/>
        <item x="24"/>
        <item x="25"/>
        <item x="26"/>
        <item x="27"/>
        <item x="28"/>
        <item x="1335"/>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t="default"/>
      </items>
    </pivotField>
    <pivotField dataField="1" showAll="0"/>
    <pivotField showAll="0"/>
    <pivotField showAll="0"/>
    <pivotField showAll="0">
      <items count="9">
        <item x="0"/>
        <item x="1"/>
        <item x="2"/>
        <item x="3"/>
        <item x="4"/>
        <item x="5"/>
        <item x="6"/>
        <item x="7"/>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engagements" fld="5" baseField="0" baseItem="0" numFmtId="2"/>
  </dataFields>
  <formats count="11">
    <format dxfId="5538">
      <pivotArea outline="0" collapsedLevelsAreSubtotals="1" fieldPosition="0"/>
    </format>
    <format dxfId="5539">
      <pivotArea outline="0" collapsedLevelsAreSubtotals="1" fieldPosition="0"/>
    </format>
    <format dxfId="5540">
      <pivotArea dataOnly="0" outline="0" axis="axisValues" fieldPosition="0"/>
    </format>
    <format dxfId="5541">
      <pivotArea outline="0" collapsedLevelsAreSubtotals="1" fieldPosition="0"/>
    </format>
    <format dxfId="5542">
      <pivotArea type="all" dataOnly="0" outline="0" fieldPosition="0"/>
    </format>
    <format dxfId="5543">
      <pivotArea outline="0" collapsedLevelsAreSubtotals="1" fieldPosition="0"/>
    </format>
    <format dxfId="5544">
      <pivotArea dataOnly="0" labelOnly="1" outline="0" axis="axisValues" fieldPosition="0"/>
    </format>
    <format dxfId="5545">
      <pivotArea type="all" dataOnly="0" outline="0" fieldPosition="0"/>
    </format>
    <format dxfId="5546">
      <pivotArea outline="0" collapsedLevelsAreSubtotals="1" fieldPosition="0"/>
    </format>
    <format dxfId="5547">
      <pivotArea dataOnly="0" labelOnly="1" outline="0" axis="axisValues" fieldPosition="0"/>
    </format>
    <format dxfId="554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C2443CE-C96D-4B7B-9C64-062ECB2EA51A}" name="PivotTable1" cacheId="0"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56">
  <location ref="P19:R27" firstHeaderRow="0" firstDataRow="1" firstDataCol="1"/>
  <pivotFields count="15">
    <pivotField showAll="0">
      <items count="13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t="default"/>
      </items>
    </pivotField>
    <pivotField showAll="0">
      <items count="5">
        <item x="2"/>
        <item x="0"/>
        <item x="3"/>
        <item x="1"/>
        <item t="default"/>
      </items>
    </pivotField>
    <pivotField axis="axisRow" showAll="0" sortType="ascending">
      <items count="8">
        <item x="3"/>
        <item x="6"/>
        <item x="0"/>
        <item x="1"/>
        <item x="5"/>
        <item x="4"/>
        <item x="2"/>
        <item t="default"/>
      </items>
      <autoSortScope>
        <pivotArea dataOnly="0" outline="0" fieldPosition="0">
          <references count="1">
            <reference field="4294967294" count="1" selected="0">
              <x v="0"/>
            </reference>
          </references>
        </pivotArea>
      </autoSortScope>
    </pivotField>
    <pivotField showAll="0">
      <items count="6">
        <item x="2"/>
        <item x="4"/>
        <item x="0"/>
        <item x="1"/>
        <item x="3"/>
        <item t="default"/>
      </items>
    </pivotField>
    <pivotField numFmtId="166" showAll="0">
      <items count="1337">
        <item x="0"/>
        <item x="1"/>
        <item x="2"/>
        <item x="3"/>
        <item x="4"/>
        <item x="5"/>
        <item x="6"/>
        <item x="7"/>
        <item x="8"/>
        <item x="9"/>
        <item x="10"/>
        <item x="11"/>
        <item x="12"/>
        <item x="13"/>
        <item x="14"/>
        <item x="15"/>
        <item x="16"/>
        <item x="17"/>
        <item x="18"/>
        <item x="19"/>
        <item x="20"/>
        <item x="21"/>
        <item x="22"/>
        <item x="23"/>
        <item x="24"/>
        <item x="25"/>
        <item x="26"/>
        <item x="27"/>
        <item x="28"/>
        <item x="1335"/>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t="default"/>
      </items>
    </pivotField>
    <pivotField dataField="1" showAll="0"/>
    <pivotField showAll="0"/>
    <pivotField dataField="1" numFmtId="165" showAll="0"/>
    <pivotField showAll="0">
      <items count="9">
        <item x="0"/>
        <item x="1"/>
        <item x="2"/>
        <item x="3"/>
        <item x="4"/>
        <item x="5"/>
        <item x="6"/>
        <item x="7"/>
        <item t="default"/>
      </items>
    </pivotField>
    <pivotField showAll="0"/>
    <pivotField showAll="0"/>
    <pivotField showAll="0"/>
    <pivotField showAll="0"/>
    <pivotField showAll="0"/>
    <pivotField showAll="0">
      <items count="7">
        <item x="0"/>
        <item x="1"/>
        <item x="2"/>
        <item x="3"/>
        <item x="4"/>
        <item x="5"/>
        <item t="default"/>
      </items>
    </pivotField>
  </pivotFields>
  <rowFields count="1">
    <field x="2"/>
  </rowFields>
  <rowItems count="8">
    <i>
      <x v="4"/>
    </i>
    <i>
      <x v="1"/>
    </i>
    <i>
      <x v="5"/>
    </i>
    <i>
      <x v="2"/>
    </i>
    <i>
      <x v="6"/>
    </i>
    <i>
      <x/>
    </i>
    <i>
      <x v="3"/>
    </i>
    <i t="grand">
      <x/>
    </i>
  </rowItems>
  <colFields count="1">
    <field x="-2"/>
  </colFields>
  <colItems count="2">
    <i>
      <x/>
    </i>
    <i i="1">
      <x v="1"/>
    </i>
  </colItems>
  <dataFields count="2">
    <dataField name="Sum of engagements" fld="5" baseField="0" baseItem="0"/>
    <dataField name="Sum of product_sales" fld="7" baseField="0" baseItem="0"/>
  </dataFields>
  <chartFormats count="8">
    <chartFormat chart="17" format="2"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1"/>
          </reference>
        </references>
      </pivotArea>
    </chartFormat>
    <chartFormat chart="20" format="4"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1"/>
          </reference>
        </references>
      </pivotArea>
    </chartFormat>
    <chartFormat chart="40" format="0" series="1">
      <pivotArea type="data" outline="0" fieldPosition="0">
        <references count="1">
          <reference field="4294967294" count="1" selected="0">
            <x v="0"/>
          </reference>
        </references>
      </pivotArea>
    </chartFormat>
    <chartFormat chart="40" format="1" series="1">
      <pivotArea type="data" outline="0" fieldPosition="0">
        <references count="1">
          <reference field="4294967294" count="1" selected="0">
            <x v="1"/>
          </reference>
        </references>
      </pivotArea>
    </chartFormat>
    <chartFormat chart="43" format="4" series="1">
      <pivotArea type="data" outline="0" fieldPosition="0">
        <references count="1">
          <reference field="4294967294" count="1" selected="0">
            <x v="0"/>
          </reference>
        </references>
      </pivotArea>
    </chartFormat>
    <chartFormat chart="4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type_new" xr10:uid="{71740D3F-350D-421C-9E92-796F05DC76EA}" sourceName="campaign_type-new">
  <pivotTables>
    <pivotTable tabId="5" name="PivotTable7"/>
    <pivotTable tabId="5" name="PivotTable1"/>
    <pivotTable tabId="5" name="PivotTable11"/>
    <pivotTable tabId="5" name="PivotTable12"/>
    <pivotTable tabId="5" name="PivotTable17"/>
    <pivotTable tabId="5" name="PivotTable18"/>
    <pivotTable tabId="5" name="PivotTable19"/>
    <pivotTable tabId="5" name="PivotTable2"/>
    <pivotTable tabId="5" name="PivotTable20"/>
    <pivotTable tabId="5" name="PivotTable3"/>
    <pivotTable tabId="5" name="PivotTable5"/>
    <pivotTable tabId="5" name="PivotTable6"/>
    <pivotTable tabId="5" name="PivotTable10"/>
    <pivotTable tabId="5" name="PivotTable21"/>
    <pivotTable tabId="5" name="PivotTable4"/>
    <pivotTable tabId="5" name="PivotTable8"/>
  </pivotTables>
  <data>
    <tabular pivotCacheId="960730184">
      <items count="5">
        <i x="2" s="1"/>
        <i x="4"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id" xr10:uid="{416CFF74-CC69-49F9-8C26-05F61DFCAF5A}" sourceName="campaign_id">
  <pivotTables>
    <pivotTable tabId="5" name="PivotTable19"/>
    <pivotTable tabId="5" name="PivotTable1"/>
    <pivotTable tabId="5" name="PivotTable10"/>
    <pivotTable tabId="5" name="PivotTable11"/>
    <pivotTable tabId="5" name="PivotTable12"/>
    <pivotTable tabId="5" name="PivotTable17"/>
    <pivotTable tabId="5" name="PivotTable18"/>
    <pivotTable tabId="5" name="PivotTable2"/>
    <pivotTable tabId="5" name="PivotTable20"/>
    <pivotTable tabId="5" name="PivotTable21"/>
    <pivotTable tabId="5" name="PivotTable3"/>
    <pivotTable tabId="5" name="PivotTable4"/>
    <pivotTable tabId="5" name="PivotTable5"/>
    <pivotTable tabId="5" name="PivotTable6"/>
    <pivotTable tabId="5" name="PivotTable7"/>
    <pivotTable tabId="5" name="PivotTable8"/>
  </pivotTables>
  <data>
    <tabular pivotCacheId="960730184">
      <items count="1336">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 x="794" s="1"/>
        <i x="795" s="1"/>
        <i x="796" s="1"/>
        <i x="797" s="1"/>
        <i x="798" s="1"/>
        <i x="799" s="1"/>
        <i x="800" s="1"/>
        <i x="801" s="1"/>
        <i x="802" s="1"/>
        <i x="803" s="1"/>
        <i x="804" s="1"/>
        <i x="805" s="1"/>
        <i x="806" s="1"/>
        <i x="807" s="1"/>
        <i x="808" s="1"/>
        <i x="809" s="1"/>
        <i x="810" s="1"/>
        <i x="811" s="1"/>
        <i x="812" s="1"/>
        <i x="813" s="1"/>
        <i x="814" s="1"/>
        <i x="815" s="1"/>
        <i x="816" s="1"/>
        <i x="817" s="1"/>
        <i x="818" s="1"/>
        <i x="819" s="1"/>
        <i x="820" s="1"/>
        <i x="821" s="1"/>
        <i x="822" s="1"/>
        <i x="823" s="1"/>
        <i x="824" s="1"/>
        <i x="825" s="1"/>
        <i x="826" s="1"/>
        <i x="827" s="1"/>
        <i x="828" s="1"/>
        <i x="829" s="1"/>
        <i x="830" s="1"/>
        <i x="831" s="1"/>
        <i x="832" s="1"/>
        <i x="833" s="1"/>
        <i x="834" s="1"/>
        <i x="835" s="1"/>
        <i x="836" s="1"/>
        <i x="837" s="1"/>
        <i x="838" s="1"/>
        <i x="839" s="1"/>
        <i x="840" s="1"/>
        <i x="841" s="1"/>
        <i x="842" s="1"/>
        <i x="843" s="1"/>
        <i x="844" s="1"/>
        <i x="845" s="1"/>
        <i x="846" s="1"/>
        <i x="847" s="1"/>
        <i x="848" s="1"/>
        <i x="849" s="1"/>
        <i x="850" s="1"/>
        <i x="851" s="1"/>
        <i x="852" s="1"/>
        <i x="853" s="1"/>
        <i x="854" s="1"/>
        <i x="855" s="1"/>
        <i x="856" s="1"/>
        <i x="857" s="1"/>
        <i x="858" s="1"/>
        <i x="859" s="1"/>
        <i x="860" s="1"/>
        <i x="861" s="1"/>
        <i x="862" s="1"/>
        <i x="863" s="1"/>
        <i x="864" s="1"/>
        <i x="865" s="1"/>
        <i x="866" s="1"/>
        <i x="867" s="1"/>
        <i x="868" s="1"/>
        <i x="869" s="1"/>
        <i x="870" s="1"/>
        <i x="871" s="1"/>
        <i x="872" s="1"/>
        <i x="873" s="1"/>
        <i x="874" s="1"/>
        <i x="875" s="1"/>
        <i x="876" s="1"/>
        <i x="877" s="1"/>
        <i x="878" s="1"/>
        <i x="879" s="1"/>
        <i x="880" s="1"/>
        <i x="881" s="1"/>
        <i x="882" s="1"/>
        <i x="883" s="1"/>
        <i x="884" s="1"/>
        <i x="885" s="1"/>
        <i x="886" s="1"/>
        <i x="887" s="1"/>
        <i x="888" s="1"/>
        <i x="889" s="1"/>
        <i x="890" s="1"/>
        <i x="891" s="1"/>
        <i x="892" s="1"/>
        <i x="893" s="1"/>
        <i x="894" s="1"/>
        <i x="895" s="1"/>
        <i x="896" s="1"/>
        <i x="897" s="1"/>
        <i x="898" s="1"/>
        <i x="899" s="1"/>
        <i x="900" s="1"/>
        <i x="901" s="1"/>
        <i x="902" s="1"/>
        <i x="903" s="1"/>
        <i x="904" s="1"/>
        <i x="905" s="1"/>
        <i x="906" s="1"/>
        <i x="907" s="1"/>
        <i x="908" s="1"/>
        <i x="909" s="1"/>
        <i x="910" s="1"/>
        <i x="911" s="1"/>
        <i x="912" s="1"/>
        <i x="913" s="1"/>
        <i x="914" s="1"/>
        <i x="915" s="1"/>
        <i x="916" s="1"/>
        <i x="917" s="1"/>
        <i x="918" s="1"/>
        <i x="919" s="1"/>
        <i x="920" s="1"/>
        <i x="921" s="1"/>
        <i x="922" s="1"/>
        <i x="923" s="1"/>
        <i x="924" s="1"/>
        <i x="925" s="1"/>
        <i x="926" s="1"/>
        <i x="927" s="1"/>
        <i x="928" s="1"/>
        <i x="929" s="1"/>
        <i x="930" s="1"/>
        <i x="931" s="1"/>
        <i x="932" s="1"/>
        <i x="933" s="1"/>
        <i x="934" s="1"/>
        <i x="935" s="1"/>
        <i x="936" s="1"/>
        <i x="937" s="1"/>
        <i x="938" s="1"/>
        <i x="939" s="1"/>
        <i x="940" s="1"/>
        <i x="941" s="1"/>
        <i x="942" s="1"/>
        <i x="943" s="1"/>
        <i x="944" s="1"/>
        <i x="945" s="1"/>
        <i x="946" s="1"/>
        <i x="947" s="1"/>
        <i x="948" s="1"/>
        <i x="949" s="1"/>
        <i x="950" s="1"/>
        <i x="951" s="1"/>
        <i x="952" s="1"/>
        <i x="953" s="1"/>
        <i x="954" s="1"/>
        <i x="955" s="1"/>
        <i x="956" s="1"/>
        <i x="957" s="1"/>
        <i x="958" s="1"/>
        <i x="959" s="1"/>
        <i x="960" s="1"/>
        <i x="961" s="1"/>
        <i x="962" s="1"/>
        <i x="963" s="1"/>
        <i x="964" s="1"/>
        <i x="965" s="1"/>
        <i x="966" s="1"/>
        <i x="967" s="1"/>
        <i x="968" s="1"/>
        <i x="969" s="1"/>
        <i x="970" s="1"/>
        <i x="971" s="1"/>
        <i x="972" s="1"/>
        <i x="973" s="1"/>
        <i x="974" s="1"/>
        <i x="975" s="1"/>
        <i x="976" s="1"/>
        <i x="977" s="1"/>
        <i x="978" s="1"/>
        <i x="979" s="1"/>
        <i x="980" s="1"/>
        <i x="981" s="1"/>
        <i x="982" s="1"/>
        <i x="983" s="1"/>
        <i x="984" s="1"/>
        <i x="985" s="1"/>
        <i x="986" s="1"/>
        <i x="987" s="1"/>
        <i x="988" s="1"/>
        <i x="989" s="1"/>
        <i x="990" s="1"/>
        <i x="991" s="1"/>
        <i x="992" s="1"/>
        <i x="993" s="1"/>
        <i x="994" s="1"/>
        <i x="995" s="1"/>
        <i x="996" s="1"/>
        <i x="997" s="1"/>
        <i x="998" s="1"/>
        <i x="999" s="1"/>
        <i x="1000" s="1"/>
        <i x="1001" s="1"/>
        <i x="1002" s="1"/>
        <i x="1003" s="1"/>
        <i x="1004" s="1"/>
        <i x="1005" s="1"/>
        <i x="1006" s="1"/>
        <i x="1007" s="1"/>
        <i x="1008" s="1"/>
        <i x="1009" s="1"/>
        <i x="1010" s="1"/>
        <i x="1011" s="1"/>
        <i x="1012" s="1"/>
        <i x="1013" s="1"/>
        <i x="1014" s="1"/>
        <i x="1015" s="1"/>
        <i x="1016" s="1"/>
        <i x="1017" s="1"/>
        <i x="1018" s="1"/>
        <i x="1019" s="1"/>
        <i x="1020" s="1"/>
        <i x="1021" s="1"/>
        <i x="1022" s="1"/>
        <i x="1023" s="1"/>
        <i x="1024" s="1"/>
        <i x="1025" s="1"/>
        <i x="1026" s="1"/>
        <i x="1027" s="1"/>
        <i x="1028" s="1"/>
        <i x="1029" s="1"/>
        <i x="1030" s="1"/>
        <i x="1031" s="1"/>
        <i x="1032" s="1"/>
        <i x="1033" s="1"/>
        <i x="1034" s="1"/>
        <i x="1035" s="1"/>
        <i x="1036" s="1"/>
        <i x="1037" s="1"/>
        <i x="1038" s="1"/>
        <i x="1039" s="1"/>
        <i x="1040" s="1"/>
        <i x="1041" s="1"/>
        <i x="1042" s="1"/>
        <i x="1043" s="1"/>
        <i x="1044" s="1"/>
        <i x="1045" s="1"/>
        <i x="1046" s="1"/>
        <i x="1047" s="1"/>
        <i x="1048" s="1"/>
        <i x="1049" s="1"/>
        <i x="1050" s="1"/>
        <i x="1051" s="1"/>
        <i x="1052" s="1"/>
        <i x="1053" s="1"/>
        <i x="1054" s="1"/>
        <i x="1055" s="1"/>
        <i x="1056" s="1"/>
        <i x="1057" s="1"/>
        <i x="1058" s="1"/>
        <i x="1059" s="1"/>
        <i x="1060" s="1"/>
        <i x="1061" s="1"/>
        <i x="1062" s="1"/>
        <i x="1063" s="1"/>
        <i x="1064" s="1"/>
        <i x="1065" s="1"/>
        <i x="1066" s="1"/>
        <i x="1067" s="1"/>
        <i x="1068" s="1"/>
        <i x="1069" s="1"/>
        <i x="1070" s="1"/>
        <i x="1071" s="1"/>
        <i x="1072" s="1"/>
        <i x="1073" s="1"/>
        <i x="1074" s="1"/>
        <i x="1075" s="1"/>
        <i x="1076" s="1"/>
        <i x="1077" s="1"/>
        <i x="1078" s="1"/>
        <i x="1079" s="1"/>
        <i x="1080" s="1"/>
        <i x="1081" s="1"/>
        <i x="1082" s="1"/>
        <i x="1083" s="1"/>
        <i x="1084" s="1"/>
        <i x="1085" s="1"/>
        <i x="1086" s="1"/>
        <i x="1087" s="1"/>
        <i x="1088" s="1"/>
        <i x="1089" s="1"/>
        <i x="1090" s="1"/>
        <i x="1091" s="1"/>
        <i x="1092" s="1"/>
        <i x="1093" s="1"/>
        <i x="1094" s="1"/>
        <i x="1095" s="1"/>
        <i x="1096" s="1"/>
        <i x="1097" s="1"/>
        <i x="1098" s="1"/>
        <i x="1099" s="1"/>
        <i x="1100" s="1"/>
        <i x="1101" s="1"/>
        <i x="1102" s="1"/>
        <i x="1103" s="1"/>
        <i x="1104" s="1"/>
        <i x="1105" s="1"/>
        <i x="1106" s="1"/>
        <i x="1107" s="1"/>
        <i x="1108" s="1"/>
        <i x="1109" s="1"/>
        <i x="1110" s="1"/>
        <i x="1111" s="1"/>
        <i x="1112" s="1"/>
        <i x="1113" s="1"/>
        <i x="1114" s="1"/>
        <i x="1115" s="1"/>
        <i x="1116" s="1"/>
        <i x="1117" s="1"/>
        <i x="1118" s="1"/>
        <i x="1119" s="1"/>
        <i x="1120" s="1"/>
        <i x="1121" s="1"/>
        <i x="1122" s="1"/>
        <i x="1123" s="1"/>
        <i x="1124" s="1"/>
        <i x="1125" s="1"/>
        <i x="1126" s="1"/>
        <i x="1127" s="1"/>
        <i x="1128" s="1"/>
        <i x="1129" s="1"/>
        <i x="1130" s="1"/>
        <i x="1131" s="1"/>
        <i x="1132" s="1"/>
        <i x="1133" s="1"/>
        <i x="1134" s="1"/>
        <i x="1135" s="1"/>
        <i x="1136" s="1"/>
        <i x="1137" s="1"/>
        <i x="1138" s="1"/>
        <i x="1139" s="1"/>
        <i x="1140" s="1"/>
        <i x="1141" s="1"/>
        <i x="1142" s="1"/>
        <i x="1143" s="1"/>
        <i x="1144" s="1"/>
        <i x="1145" s="1"/>
        <i x="1146" s="1"/>
        <i x="1147" s="1"/>
        <i x="1148" s="1"/>
        <i x="1149" s="1"/>
        <i x="1150" s="1"/>
        <i x="1151" s="1"/>
        <i x="1152" s="1"/>
        <i x="1153" s="1"/>
        <i x="1154" s="1"/>
        <i x="1155" s="1"/>
        <i x="1156" s="1"/>
        <i x="1157" s="1"/>
        <i x="1158" s="1"/>
        <i x="1159" s="1"/>
        <i x="1160" s="1"/>
        <i x="1161" s="1"/>
        <i x="1162" s="1"/>
        <i x="1163" s="1"/>
        <i x="1164" s="1"/>
        <i x="1165" s="1"/>
        <i x="1166" s="1"/>
        <i x="1167" s="1"/>
        <i x="1168" s="1"/>
        <i x="1169" s="1"/>
        <i x="1170" s="1"/>
        <i x="1171" s="1"/>
        <i x="1172" s="1"/>
        <i x="1173" s="1"/>
        <i x="1174" s="1"/>
        <i x="1175" s="1"/>
        <i x="1176" s="1"/>
        <i x="1177" s="1"/>
        <i x="1178" s="1"/>
        <i x="1179" s="1"/>
        <i x="1180" s="1"/>
        <i x="1181" s="1"/>
        <i x="1182" s="1"/>
        <i x="1183" s="1"/>
        <i x="1184" s="1"/>
        <i x="1185" s="1"/>
        <i x="1186" s="1"/>
        <i x="1187" s="1"/>
        <i x="1188" s="1"/>
        <i x="1189" s="1"/>
        <i x="1190" s="1"/>
        <i x="1191" s="1"/>
        <i x="1192" s="1"/>
        <i x="1193" s="1"/>
        <i x="1194" s="1"/>
        <i x="1195" s="1"/>
        <i x="1196" s="1"/>
        <i x="1197" s="1"/>
        <i x="1198" s="1"/>
        <i x="1199" s="1"/>
        <i x="1200" s="1"/>
        <i x="1201" s="1"/>
        <i x="1202" s="1"/>
        <i x="1203" s="1"/>
        <i x="1204" s="1"/>
        <i x="1205" s="1"/>
        <i x="1206" s="1"/>
        <i x="1207" s="1"/>
        <i x="1208" s="1"/>
        <i x="1209" s="1"/>
        <i x="1210" s="1"/>
        <i x="1211" s="1"/>
        <i x="1212" s="1"/>
        <i x="1213" s="1"/>
        <i x="1214" s="1"/>
        <i x="1215" s="1"/>
        <i x="1216" s="1"/>
        <i x="1217" s="1"/>
        <i x="1218" s="1"/>
        <i x="1219" s="1"/>
        <i x="1220" s="1"/>
        <i x="1221" s="1"/>
        <i x="1222" s="1"/>
        <i x="1223" s="1"/>
        <i x="1224" s="1"/>
        <i x="1225" s="1"/>
        <i x="1226" s="1"/>
        <i x="1227" s="1"/>
        <i x="1228" s="1"/>
        <i x="1229" s="1"/>
        <i x="1230" s="1"/>
        <i x="1231" s="1"/>
        <i x="1232" s="1"/>
        <i x="1233" s="1"/>
        <i x="1234" s="1"/>
        <i x="1235" s="1"/>
        <i x="1236" s="1"/>
        <i x="1237" s="1"/>
        <i x="1238" s="1"/>
        <i x="1239" s="1"/>
        <i x="1240" s="1"/>
        <i x="1241" s="1"/>
        <i x="1242" s="1"/>
        <i x="1243" s="1"/>
        <i x="1244" s="1"/>
        <i x="1245" s="1"/>
        <i x="1246" s="1"/>
        <i x="1247" s="1"/>
        <i x="1248" s="1"/>
        <i x="1249" s="1"/>
        <i x="1250" s="1"/>
        <i x="1251" s="1"/>
        <i x="1252" s="1"/>
        <i x="1253" s="1"/>
        <i x="1254" s="1"/>
        <i x="1255" s="1"/>
        <i x="1256" s="1"/>
        <i x="1257" s="1"/>
        <i x="1258" s="1"/>
        <i x="1259" s="1"/>
        <i x="1260" s="1"/>
        <i x="1261" s="1"/>
        <i x="1262" s="1"/>
        <i x="1263" s="1"/>
        <i x="1264" s="1"/>
        <i x="1265" s="1"/>
        <i x="1266" s="1"/>
        <i x="1267" s="1"/>
        <i x="1268" s="1"/>
        <i x="1269" s="1"/>
        <i x="1270" s="1"/>
        <i x="1271" s="1"/>
        <i x="1272" s="1"/>
        <i x="1273" s="1"/>
        <i x="1274" s="1"/>
        <i x="1275" s="1"/>
        <i x="1276" s="1"/>
        <i x="1277" s="1"/>
        <i x="1278" s="1"/>
        <i x="1279" s="1"/>
        <i x="1280" s="1"/>
        <i x="1281" s="1"/>
        <i x="1282" s="1"/>
        <i x="1283" s="1"/>
        <i x="1284" s="1"/>
        <i x="1285" s="1"/>
        <i x="1286" s="1"/>
        <i x="1287" s="1"/>
        <i x="1288" s="1"/>
        <i x="1289" s="1"/>
        <i x="1290" s="1"/>
        <i x="1291" s="1"/>
        <i x="1292" s="1"/>
        <i x="1293" s="1"/>
        <i x="1294" s="1"/>
        <i x="1295" s="1"/>
        <i x="1296" s="1"/>
        <i x="1297" s="1"/>
        <i x="1298" s="1"/>
        <i x="1299" s="1"/>
        <i x="1300" s="1"/>
        <i x="1301" s="1"/>
        <i x="1302" s="1"/>
        <i x="1303" s="1"/>
        <i x="1304" s="1"/>
        <i x="1305" s="1"/>
        <i x="1306" s="1"/>
        <i x="1307" s="1"/>
        <i x="1308" s="1"/>
        <i x="1309" s="1"/>
        <i x="1310" s="1"/>
        <i x="1311" s="1"/>
        <i x="1312" s="1"/>
        <i x="1313" s="1"/>
        <i x="1314" s="1"/>
        <i x="1315" s="1"/>
        <i x="1316" s="1"/>
        <i x="1317" s="1"/>
        <i x="1318" s="1"/>
        <i x="1319" s="1"/>
        <i x="1320" s="1"/>
        <i x="1321" s="1"/>
        <i x="1322" s="1"/>
        <i x="1323" s="1"/>
        <i x="1324" s="1"/>
        <i x="1325" s="1"/>
        <i x="1326" s="1"/>
        <i x="1327" s="1"/>
        <i x="1328" s="1"/>
        <i x="1329" s="1"/>
        <i x="1330" s="1"/>
        <i x="1331" s="1"/>
        <i x="1332" s="1"/>
        <i x="1333" s="1"/>
        <i x="1334" s="1"/>
        <i x="133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22D14A90-E429-4AD4-B631-1FEE174286CA}" sourceName="platform">
  <pivotTables>
    <pivotTable tabId="5" name="PivotTable19"/>
    <pivotTable tabId="5" name="PivotTable1"/>
    <pivotTable tabId="5" name="PivotTable10"/>
    <pivotTable tabId="5" name="PivotTable11"/>
    <pivotTable tabId="5" name="PivotTable12"/>
    <pivotTable tabId="5" name="PivotTable17"/>
    <pivotTable tabId="5" name="PivotTable18"/>
    <pivotTable tabId="5" name="PivotTable2"/>
    <pivotTable tabId="5" name="PivotTable20"/>
    <pivotTable tabId="5" name="PivotTable21"/>
    <pivotTable tabId="5" name="PivotTable3"/>
    <pivotTable tabId="5" name="PivotTable4"/>
    <pivotTable tabId="5" name="PivotTable5"/>
    <pivotTable tabId="5" name="PivotTable6"/>
    <pivotTable tabId="5" name="PivotTable7"/>
    <pivotTable tabId="5" name="PivotTable8"/>
  </pivotTables>
  <data>
    <tabular pivotCacheId="960730184">
      <items count="4">
        <i x="2" s="1"/>
        <i x="0"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fluencer_category" xr10:uid="{2F28A43E-5836-4119-AF6B-08B3456663D6}" sourceName="influencer_category">
  <pivotTables>
    <pivotTable tabId="5" name="PivotTable19"/>
    <pivotTable tabId="5" name="PivotTable1"/>
    <pivotTable tabId="5" name="PivotTable10"/>
    <pivotTable tabId="5" name="PivotTable11"/>
    <pivotTable tabId="5" name="PivotTable12"/>
    <pivotTable tabId="5" name="PivotTable17"/>
    <pivotTable tabId="5" name="PivotTable18"/>
    <pivotTable tabId="5" name="PivotTable2"/>
    <pivotTable tabId="5" name="PivotTable20"/>
    <pivotTable tabId="5" name="PivotTable21"/>
    <pivotTable tabId="5" name="PivotTable3"/>
    <pivotTable tabId="5" name="PivotTable4"/>
    <pivotTable tabId="5" name="PivotTable5"/>
    <pivotTable tabId="5" name="PivotTable6"/>
    <pivotTable tabId="5" name="PivotTable7"/>
    <pivotTable tabId="5" name="PivotTable8"/>
  </pivotTables>
  <data>
    <tabular pivotCacheId="960730184">
      <items count="7">
        <i x="3" s="1"/>
        <i x="6" s="1"/>
        <i x="0" s="1"/>
        <i x="1" s="1"/>
        <i x="5"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mpaign_type-new" xr10:uid="{612AF7BF-75AD-49C2-80ED-9137F48E5F7A}" cache="Slicer_campaign_type_new" caption="campaign_type-new" style="SlicerStyleDark4" rowHeight="234950"/>
  <slicer name="campaign_id" xr10:uid="{8C5C0C2D-4914-4BD5-91B6-8CC963E09F17}" cache="Slicer_campaign_id" caption="campaign_id" style="SlicerStyleDark4" rowHeight="234950"/>
  <slicer name="platform" xr10:uid="{0A3CF17F-9692-4A27-A042-56DA97C8FF53}" cache="Slicer_platform" caption="platform" style="SlicerStyleDark4" rowHeight="234950"/>
  <slicer name="influencer_category" xr10:uid="{1DD89DF5-CC89-4F58-AD22-ED830C549B9B}" cache="Slicer_influencer_category" caption="influencer_category" style="SlicerStyleDark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mpaign_type-new 1" xr10:uid="{09F86B3E-ED17-41A2-B698-8BB0808D81BC}" cache="Slicer_campaign_type_new" caption="campaign_type-new" style="SlicerStyleDark1" rowHeight="234950"/>
  <slicer name="campaign_id 1" xr10:uid="{A4242164-3ECC-4154-99C9-9A2570ABA81D}" cache="Slicer_campaign_id" caption="campaign_id" startItem="1" style="SlicerStyleDark1" rowHeight="234950"/>
  <slicer name="platform 1" xr10:uid="{DC159A40-AF0A-4433-855F-FC1DB5206D68}" cache="Slicer_platform" caption="platform" style="SlicerStyleDark1" rowHeight="234950"/>
  <slicer name="influencer_category 1" xr10:uid="{732F7498-701A-4C0B-93AF-573DF75B93AD}" cache="Slicer_influencer_category" caption="influencer_category"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3E165B-D405-4C08-A3B5-FA25A6F86165}" name="Table1" displayName="Table1" ref="A1:L1337" totalsRowShown="0" headerRowDxfId="5666" dataDxfId="5665">
  <autoFilter ref="A1:L1337" xr:uid="{CE3E165B-D405-4C08-A3B5-FA25A6F86165}"/>
  <tableColumns count="12">
    <tableColumn id="1" xr3:uid="{76A48FDD-8B2A-4E7E-9A53-BE57B3024CED}" name="campaign_id" dataDxfId="5678"/>
    <tableColumn id="2" xr3:uid="{540FDCC9-01D1-4282-9F1B-A3CF9BFF45A8}" name="platform" dataDxfId="5677"/>
    <tableColumn id="3" xr3:uid="{B8F8005B-4196-49B9-B290-AA24236A2358}" name="influencer_category" dataDxfId="5676"/>
    <tableColumn id="4" xr3:uid="{5E84E9F2-C97D-4525-8326-D543CA3AFF8A}" name="campaign_type-new" dataDxfId="5675"/>
    <tableColumn id="5" xr3:uid="{8F7F3E21-07A5-40AF-920B-12978313D8B1}" name="start_date" dataDxfId="5674"/>
    <tableColumn id="6" xr3:uid="{A48DAF8D-D7B0-45B8-B179-81E775E36658}" name="engagements" dataDxfId="5673"/>
    <tableColumn id="7" xr3:uid="{14A37E12-DE0E-44E8-97FE-E1D218B9A185}" name="estimated_reach" dataDxfId="5672"/>
    <tableColumn id="8" xr3:uid="{212B397A-2F9C-47A0-B14E-88F25BDF58A4}" name="product_sales" dataDxfId="5671" dataCellStyle="Currency"/>
    <tableColumn id="9" xr3:uid="{81787005-2852-4850-9184-481D5A124E97}" name="campaign_duration_days" dataDxfId="5670"/>
    <tableColumn id="10" xr3:uid="{C3154268-B71C-440B-BB0D-99230DD22E5F}" name="end_date" dataDxfId="5669"/>
    <tableColumn id="11" xr3:uid="{5BC25641-B909-40F0-A3BC-1A2F2CEE08A4}" name="Average engagement %" dataDxfId="5668" dataCellStyle="Percent">
      <calculatedColumnFormula>(F2/G2)*100</calculatedColumnFormula>
    </tableColumn>
    <tableColumn id="12" xr3:uid="{81302378-77E8-4A77-9009-9DE7CA997475}" name="AVG Conversion rate %" dataDxfId="5667" dataCellStyle="Percent">
      <calculatedColumnFormula>(H2/G2)*100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67CE056-E725-4540-B39B-1D14FF63A208}" name="Table2" displayName="Table2" ref="M20:N31" totalsRowShown="0" headerRowBorderDxfId="5689" tableBorderDxfId="5688" totalsRowBorderDxfId="5687">
  <autoFilter ref="M20:N31" xr:uid="{C67CE056-E725-4540-B39B-1D14FF63A208}"/>
  <tableColumns count="2">
    <tableColumn id="1" xr3:uid="{935CCBED-B846-4978-BA2C-D60A264DE48D}" name="Platform" dataDxfId="5686"/>
    <tableColumn id="2" xr3:uid="{5271FFB4-AE95-42F1-82AD-C289F4F168FE}" name="TOP 10 Sales" dataDxfId="5685"/>
  </tableColumns>
  <tableStyleInfo name="TableStyleMedium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F8779AA-E2C8-4F4D-8DCD-3AAC824620A9}" name="Table3" displayName="Table3" ref="M36:N47" totalsRowShown="0" dataDxfId="5683" headerRowBorderDxfId="5684" tableBorderDxfId="5682" totalsRowBorderDxfId="5681">
  <autoFilter ref="M36:N47" xr:uid="{6F8779AA-E2C8-4F4D-8DCD-3AAC824620A9}"/>
  <sortState xmlns:xlrd2="http://schemas.microsoft.com/office/spreadsheetml/2017/richdata2" ref="M37:N47">
    <sortCondition descending="1" ref="N37:N47"/>
  </sortState>
  <tableColumns count="2">
    <tableColumn id="1" xr3:uid="{5C19D200-04C5-4756-B4EB-788C5C6BACC6}" name="platform" dataDxfId="5680"/>
    <tableColumn id="2" xr3:uid="{CCE27D8C-BDFE-4246-B03C-D3B85F52A997}" name=" 10 Bottom sales" dataDxfId="5679"/>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tart_date" xr10:uid="{B2570829-1DA1-45AC-9753-A433AD3DD6A2}" sourceName="start_date">
  <pivotTables>
    <pivotTable tabId="5" name="PivotTable10"/>
    <pivotTable tabId="5" name="PivotTable1"/>
    <pivotTable tabId="5" name="PivotTable11"/>
    <pivotTable tabId="5" name="PivotTable12"/>
    <pivotTable tabId="5" name="PivotTable17"/>
    <pivotTable tabId="5" name="PivotTable18"/>
    <pivotTable tabId="5" name="PivotTable19"/>
    <pivotTable tabId="5" name="PivotTable2"/>
    <pivotTable tabId="5" name="PivotTable20"/>
    <pivotTable tabId="5" name="PivotTable21"/>
    <pivotTable tabId="5" name="PivotTable3"/>
    <pivotTable tabId="5" name="PivotTable4"/>
    <pivotTable tabId="5" name="PivotTable5"/>
    <pivotTable tabId="5" name="PivotTable6"/>
    <pivotTable tabId="5" name="PivotTable7"/>
    <pivotTable tabId="5" name="PivotTable8"/>
  </pivotTables>
  <state minimalRefreshVersion="6" lastRefreshVersion="6" pivotCacheId="960730184" filterType="unknown">
    <bounds startDate="2022-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tart_date" xr10:uid="{931E0250-CCFF-4941-BD9D-231653F095E2}" cache="NativeTimeline_start_date" caption="start_date" level="0" selectionLevel="0" scrollPosition="2022-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tart_date 2" xr10:uid="{17890C87-0981-41B7-B25D-73B27572122C}" cache="NativeTimeline_start_date" caption="start_date" level="0" selectionLevel="0" scrollPosition="2022-01-01T00:00:00" style="TimeSlicerStyleDark4"/>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drawing" Target="../drawings/drawing1.xml"/><Relationship Id="rId3" Type="http://schemas.openxmlformats.org/officeDocument/2006/relationships/pivotTable" Target="../pivotTables/pivotTable3.xml"/><Relationship Id="rId21" Type="http://schemas.microsoft.com/office/2007/relationships/slicer" Target="../slicers/slicer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rinterSettings" Target="../printerSettings/printerSettings2.bin"/><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table" Target="../tables/table3.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table" Target="../tables/table2.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40"/>
  <sheetViews>
    <sheetView zoomScale="85" workbookViewId="0">
      <selection activeCell="G1" sqref="G1:G1048576"/>
    </sheetView>
  </sheetViews>
  <sheetFormatPr defaultColWidth="8.88671875" defaultRowHeight="14.4" x14ac:dyDescent="0.3"/>
  <cols>
    <col min="1" max="1" width="13.6640625" style="1" customWidth="1"/>
    <col min="2" max="2" width="10.33203125" style="1" bestFit="1" customWidth="1"/>
    <col min="3" max="3" width="19.6640625" style="1" bestFit="1" customWidth="1"/>
    <col min="4" max="4" width="20.6640625" style="1" bestFit="1" customWidth="1"/>
    <col min="5" max="5" width="11.6640625" style="35" bestFit="1" customWidth="1"/>
    <col min="6" max="6" width="14.21875" style="1" customWidth="1"/>
    <col min="7" max="7" width="17" style="1" bestFit="1" customWidth="1"/>
    <col min="8" max="8" width="15.88671875" style="3" customWidth="1"/>
    <col min="9" max="9" width="24.21875" style="1" customWidth="1"/>
    <col min="10" max="10" width="10.88671875" style="2" bestFit="1" customWidth="1"/>
    <col min="11" max="11" width="22.6640625" style="8" customWidth="1"/>
    <col min="12" max="12" width="22.109375" style="8" customWidth="1"/>
    <col min="13" max="13" width="26.109375" style="1" bestFit="1" customWidth="1"/>
    <col min="14" max="16384" width="8.88671875" style="1"/>
  </cols>
  <sheetData>
    <row r="1" spans="1:12" ht="44.25" customHeight="1" x14ac:dyDescent="0.3">
      <c r="A1" s="1" t="s">
        <v>0</v>
      </c>
      <c r="B1" s="1" t="s">
        <v>1</v>
      </c>
      <c r="C1" s="1" t="s">
        <v>2</v>
      </c>
      <c r="D1" s="5" t="s">
        <v>1346</v>
      </c>
      <c r="E1" s="35" t="s">
        <v>3</v>
      </c>
      <c r="F1" s="1" t="s">
        <v>4</v>
      </c>
      <c r="G1" s="1" t="s">
        <v>5</v>
      </c>
      <c r="H1" s="3" t="s">
        <v>6</v>
      </c>
      <c r="I1" s="1" t="s">
        <v>7</v>
      </c>
      <c r="J1" s="2" t="s">
        <v>8</v>
      </c>
      <c r="K1" s="9" t="s">
        <v>1389</v>
      </c>
      <c r="L1" s="9" t="s">
        <v>1388</v>
      </c>
    </row>
    <row r="2" spans="1:12" x14ac:dyDescent="0.3">
      <c r="A2" s="1" t="s">
        <v>9</v>
      </c>
      <c r="B2" s="1" t="s">
        <v>10</v>
      </c>
      <c r="C2" s="1" t="s">
        <v>11</v>
      </c>
      <c r="D2" s="1" t="s">
        <v>12</v>
      </c>
      <c r="E2" s="35">
        <v>44562</v>
      </c>
      <c r="F2" s="1">
        <v>79900</v>
      </c>
      <c r="G2" s="1">
        <v>1892</v>
      </c>
      <c r="H2" s="3">
        <v>2834</v>
      </c>
      <c r="I2" s="1">
        <v>14</v>
      </c>
      <c r="J2" s="2">
        <v>44576</v>
      </c>
      <c r="K2" s="8">
        <f>(F2/G2)*100</f>
        <v>4223.0443974630016</v>
      </c>
      <c r="L2" s="10">
        <f>(H2/G2)*100</f>
        <v>149.78858350951373</v>
      </c>
    </row>
    <row r="3" spans="1:12" x14ac:dyDescent="0.3">
      <c r="A3" s="1" t="s">
        <v>13</v>
      </c>
      <c r="B3" s="1" t="s">
        <v>14</v>
      </c>
      <c r="C3" s="1" t="s">
        <v>15</v>
      </c>
      <c r="D3" s="1" t="s">
        <v>16</v>
      </c>
      <c r="E3" s="35">
        <v>44563</v>
      </c>
      <c r="F3" s="1">
        <v>47985</v>
      </c>
      <c r="G3" s="1">
        <v>437228</v>
      </c>
      <c r="H3" s="3">
        <v>165</v>
      </c>
      <c r="I3" s="1">
        <v>13</v>
      </c>
      <c r="J3" s="2">
        <v>44576</v>
      </c>
      <c r="K3" s="8">
        <f>(F3/G3)*100</f>
        <v>10.974823204369345</v>
      </c>
      <c r="L3" s="8">
        <f>(H3/G3)*100</f>
        <v>3.7737747811210628E-2</v>
      </c>
    </row>
    <row r="4" spans="1:12" x14ac:dyDescent="0.3">
      <c r="A4" s="1" t="s">
        <v>17</v>
      </c>
      <c r="B4" s="1" t="s">
        <v>10</v>
      </c>
      <c r="C4" s="1" t="s">
        <v>18</v>
      </c>
      <c r="D4" s="1" t="s">
        <v>19</v>
      </c>
      <c r="E4" s="35">
        <v>44564</v>
      </c>
      <c r="F4" s="1">
        <v>13875</v>
      </c>
      <c r="G4" s="1">
        <v>982513</v>
      </c>
      <c r="H4" s="3">
        <v>2539</v>
      </c>
      <c r="I4" s="1">
        <v>5</v>
      </c>
      <c r="J4" s="2">
        <v>44569</v>
      </c>
      <c r="K4" s="8">
        <f>(F4/G4)*100</f>
        <v>1.412195054925482</v>
      </c>
      <c r="L4" s="8">
        <f>(H4/G4)*100</f>
        <v>0.25841897257339091</v>
      </c>
    </row>
    <row r="5" spans="1:12" x14ac:dyDescent="0.3">
      <c r="A5" s="1" t="s">
        <v>20</v>
      </c>
      <c r="B5" s="1" t="s">
        <v>14</v>
      </c>
      <c r="C5" s="1" t="s">
        <v>15</v>
      </c>
      <c r="D5" s="1" t="s">
        <v>19</v>
      </c>
      <c r="E5" s="35">
        <v>44565</v>
      </c>
      <c r="F5" s="1">
        <v>41200</v>
      </c>
      <c r="G5" s="1">
        <v>213400</v>
      </c>
      <c r="H5" s="3">
        <v>100</v>
      </c>
      <c r="I5" s="1">
        <v>20</v>
      </c>
      <c r="J5" s="2">
        <v>44585</v>
      </c>
      <c r="K5" s="8">
        <f>(F5/G5)*100</f>
        <v>19.306466729147143</v>
      </c>
      <c r="L5" s="8">
        <f>(H5/G5)*100</f>
        <v>4.6860356138706656E-2</v>
      </c>
    </row>
    <row r="6" spans="1:12" x14ac:dyDescent="0.3">
      <c r="A6" s="1" t="s">
        <v>21</v>
      </c>
      <c r="B6" s="1" t="s">
        <v>22</v>
      </c>
      <c r="C6" s="1" t="s">
        <v>15</v>
      </c>
      <c r="D6" s="1" t="s">
        <v>12</v>
      </c>
      <c r="E6" s="35">
        <v>44566</v>
      </c>
      <c r="F6" s="1">
        <v>96998</v>
      </c>
      <c r="G6" s="1">
        <v>42501</v>
      </c>
      <c r="H6" s="3">
        <v>550</v>
      </c>
      <c r="I6" s="1">
        <v>28</v>
      </c>
      <c r="J6" s="2">
        <v>44594</v>
      </c>
      <c r="K6" s="8">
        <f>(F6/G6)*100</f>
        <v>228.2252182301593</v>
      </c>
      <c r="L6" s="8">
        <f>(H6/G6)*100</f>
        <v>1.2940871979482838</v>
      </c>
    </row>
    <row r="7" spans="1:12" x14ac:dyDescent="0.3">
      <c r="A7" s="1" t="s">
        <v>23</v>
      </c>
      <c r="B7" s="1" t="s">
        <v>24</v>
      </c>
      <c r="C7" s="1" t="s">
        <v>25</v>
      </c>
      <c r="D7" s="1" t="s">
        <v>19</v>
      </c>
      <c r="E7" s="35">
        <v>44567</v>
      </c>
      <c r="F7" s="1">
        <v>76687</v>
      </c>
      <c r="G7" s="1">
        <v>443289</v>
      </c>
      <c r="H7" s="3">
        <v>2338</v>
      </c>
      <c r="I7" s="1">
        <v>27</v>
      </c>
      <c r="J7" s="2">
        <v>44594</v>
      </c>
      <c r="K7" s="8">
        <f>(F7/G7)*100</f>
        <v>17.299549503822561</v>
      </c>
      <c r="L7" s="8">
        <f>(H7/G7)*100</f>
        <v>0.52742116316894849</v>
      </c>
    </row>
    <row r="8" spans="1:12" x14ac:dyDescent="0.3">
      <c r="A8" s="1" t="s">
        <v>26</v>
      </c>
      <c r="B8" s="1" t="s">
        <v>10</v>
      </c>
      <c r="C8" s="1" t="s">
        <v>27</v>
      </c>
      <c r="D8" s="1" t="s">
        <v>28</v>
      </c>
      <c r="E8" s="35">
        <v>44568</v>
      </c>
      <c r="F8" s="1">
        <v>8878</v>
      </c>
      <c r="G8" s="1">
        <v>116825</v>
      </c>
      <c r="H8" s="3">
        <v>1027</v>
      </c>
      <c r="I8" s="1">
        <v>17</v>
      </c>
      <c r="J8" s="2">
        <v>44585</v>
      </c>
      <c r="K8" s="8">
        <f>(F8/G8)*100</f>
        <v>7.5994008131821094</v>
      </c>
      <c r="L8" s="8">
        <f>(H8/G8)*100</f>
        <v>0.87909265996148089</v>
      </c>
    </row>
    <row r="9" spans="1:12" x14ac:dyDescent="0.3">
      <c r="A9" s="1" t="s">
        <v>29</v>
      </c>
      <c r="B9" s="1" t="s">
        <v>10</v>
      </c>
      <c r="C9" s="1" t="s">
        <v>30</v>
      </c>
      <c r="D9" s="1" t="s">
        <v>19</v>
      </c>
      <c r="E9" s="35">
        <v>44569</v>
      </c>
      <c r="F9" s="1">
        <v>74092</v>
      </c>
      <c r="G9" s="1">
        <v>644094</v>
      </c>
      <c r="H9" s="3">
        <v>121</v>
      </c>
      <c r="I9" s="1">
        <v>13</v>
      </c>
      <c r="J9" s="2">
        <v>44582</v>
      </c>
      <c r="K9" s="8">
        <f>(F9/G9)*100</f>
        <v>11.503289892469111</v>
      </c>
      <c r="L9" s="8">
        <f>(H9/G9)*100</f>
        <v>1.8786077808518632E-2</v>
      </c>
    </row>
    <row r="10" spans="1:12" x14ac:dyDescent="0.3">
      <c r="A10" s="1" t="s">
        <v>31</v>
      </c>
      <c r="B10" s="1" t="s">
        <v>22</v>
      </c>
      <c r="C10" s="1" t="s">
        <v>18</v>
      </c>
      <c r="D10" s="1" t="s">
        <v>32</v>
      </c>
      <c r="E10" s="35">
        <v>44570</v>
      </c>
      <c r="F10" s="1">
        <v>84035</v>
      </c>
      <c r="G10" s="1">
        <v>66087</v>
      </c>
      <c r="H10" s="3">
        <v>3405</v>
      </c>
      <c r="I10" s="1">
        <f>Table1[[#This Row],[end_date]]-Table1[[#This Row],[start_date]]</f>
        <v>14</v>
      </c>
      <c r="J10" s="2">
        <v>44584</v>
      </c>
      <c r="K10" s="8">
        <f>(F10/G10)*100</f>
        <v>127.15814002753945</v>
      </c>
      <c r="L10" s="8">
        <f>(H10/G10)*100</f>
        <v>5.1522992419083939</v>
      </c>
    </row>
    <row r="11" spans="1:12" x14ac:dyDescent="0.3">
      <c r="A11" s="1" t="s">
        <v>33</v>
      </c>
      <c r="B11" s="1" t="s">
        <v>14</v>
      </c>
      <c r="C11" s="1" t="s">
        <v>15</v>
      </c>
      <c r="D11" s="1" t="s">
        <v>32</v>
      </c>
      <c r="E11" s="35">
        <v>44571</v>
      </c>
      <c r="F11" s="1">
        <v>74906</v>
      </c>
      <c r="G11" s="1">
        <v>258767</v>
      </c>
      <c r="H11" s="3">
        <v>1149</v>
      </c>
      <c r="I11" s="1">
        <v>1</v>
      </c>
      <c r="J11" s="2">
        <v>44572</v>
      </c>
      <c r="K11" s="8">
        <f>(F11/G11)*100</f>
        <v>28.947276893885231</v>
      </c>
      <c r="L11" s="8">
        <f>(H11/G11)*100</f>
        <v>0.44402879810795043</v>
      </c>
    </row>
    <row r="12" spans="1:12" x14ac:dyDescent="0.3">
      <c r="A12" s="1" t="s">
        <v>1349</v>
      </c>
      <c r="B12" s="1" t="s">
        <v>22</v>
      </c>
      <c r="C12" s="1" t="s">
        <v>27</v>
      </c>
      <c r="D12" s="1" t="s">
        <v>32</v>
      </c>
      <c r="E12" s="35">
        <v>44572</v>
      </c>
      <c r="F12" s="1">
        <v>15117</v>
      </c>
      <c r="G12" s="1">
        <v>926004</v>
      </c>
      <c r="H12" s="3">
        <v>2657</v>
      </c>
      <c r="I12" s="1">
        <v>18</v>
      </c>
      <c r="J12" s="2">
        <v>44590</v>
      </c>
      <c r="K12" s="8">
        <f>(F12/G12)*100</f>
        <v>1.6324983477393185</v>
      </c>
      <c r="L12" s="8">
        <f>(H12/G12)*100</f>
        <v>0.28693180591012563</v>
      </c>
    </row>
    <row r="13" spans="1:12" x14ac:dyDescent="0.3">
      <c r="A13" s="1" t="s">
        <v>34</v>
      </c>
      <c r="B13" s="1" t="s">
        <v>24</v>
      </c>
      <c r="C13" s="1" t="s">
        <v>11</v>
      </c>
      <c r="D13" s="1" t="s">
        <v>28</v>
      </c>
      <c r="E13" s="35">
        <v>44573</v>
      </c>
      <c r="F13" s="1">
        <v>87945</v>
      </c>
      <c r="G13" s="1">
        <v>992541</v>
      </c>
      <c r="H13" s="3">
        <v>2901</v>
      </c>
      <c r="I13" s="1">
        <v>7</v>
      </c>
      <c r="J13" s="2">
        <v>44580</v>
      </c>
      <c r="L13" s="8">
        <f>(H13/G13)*100</f>
        <v>0.29228011739565418</v>
      </c>
    </row>
    <row r="14" spans="1:12" x14ac:dyDescent="0.3">
      <c r="A14" s="1" t="s">
        <v>35</v>
      </c>
      <c r="B14" s="1" t="s">
        <v>14</v>
      </c>
      <c r="C14" s="1" t="s">
        <v>18</v>
      </c>
      <c r="D14" s="1" t="s">
        <v>16</v>
      </c>
      <c r="E14" s="35">
        <v>44574</v>
      </c>
      <c r="F14" s="1">
        <v>59591</v>
      </c>
      <c r="G14" s="1">
        <v>343970</v>
      </c>
      <c r="H14" s="3">
        <v>1906</v>
      </c>
      <c r="I14" s="1">
        <v>19</v>
      </c>
      <c r="J14" s="2">
        <v>44593</v>
      </c>
      <c r="K14" s="8">
        <f>(F14/G14)*100</f>
        <v>17.32447597174172</v>
      </c>
      <c r="L14" s="8">
        <f>(H14/G14)*100</f>
        <v>0.55411809169404302</v>
      </c>
    </row>
    <row r="15" spans="1:12" x14ac:dyDescent="0.3">
      <c r="A15" s="1" t="s">
        <v>36</v>
      </c>
      <c r="B15" s="1" t="s">
        <v>10</v>
      </c>
      <c r="C15" s="1" t="s">
        <v>37</v>
      </c>
      <c r="D15" s="1" t="s">
        <v>16</v>
      </c>
      <c r="E15" s="35">
        <v>44575</v>
      </c>
      <c r="F15" s="1">
        <v>71678</v>
      </c>
      <c r="G15" s="1">
        <v>696891</v>
      </c>
      <c r="H15" s="3">
        <v>2935</v>
      </c>
      <c r="I15" s="1">
        <v>9</v>
      </c>
      <c r="J15" s="2">
        <v>44584</v>
      </c>
      <c r="K15" s="8">
        <f>(F15/G15)*100</f>
        <v>10.285396137990016</v>
      </c>
      <c r="L15" s="8">
        <f>(H15/G15)*100</f>
        <v>0.42115624968610588</v>
      </c>
    </row>
    <row r="16" spans="1:12" x14ac:dyDescent="0.3">
      <c r="A16" s="1" t="s">
        <v>38</v>
      </c>
      <c r="B16" s="1" t="s">
        <v>14</v>
      </c>
      <c r="C16" s="1" t="s">
        <v>27</v>
      </c>
      <c r="D16" s="1" t="s">
        <v>16</v>
      </c>
      <c r="E16" s="35">
        <v>44576</v>
      </c>
      <c r="F16" s="1">
        <v>65588</v>
      </c>
      <c r="G16" s="1">
        <v>420535</v>
      </c>
      <c r="H16" s="3">
        <v>279</v>
      </c>
      <c r="I16" s="1">
        <v>21</v>
      </c>
      <c r="J16" s="2">
        <v>44597</v>
      </c>
      <c r="K16" s="8">
        <f>(F16/G16)*100</f>
        <v>15.596323730486167</v>
      </c>
      <c r="L16" s="8">
        <f>(H16/G16)*100</f>
        <v>6.6344061730890413E-2</v>
      </c>
    </row>
    <row r="17" spans="1:12" x14ac:dyDescent="0.3">
      <c r="A17" s="1" t="s">
        <v>39</v>
      </c>
      <c r="B17" s="1" t="s">
        <v>22</v>
      </c>
      <c r="C17" s="1" t="s">
        <v>27</v>
      </c>
      <c r="D17" s="1" t="s">
        <v>28</v>
      </c>
      <c r="E17" s="35">
        <v>44577</v>
      </c>
      <c r="F17" s="1">
        <v>51368</v>
      </c>
      <c r="G17" s="1">
        <v>905867</v>
      </c>
      <c r="H17" s="3">
        <v>2297</v>
      </c>
      <c r="I17" s="1">
        <v>23</v>
      </c>
      <c r="J17" s="2">
        <v>44600</v>
      </c>
      <c r="K17" s="8">
        <f>(F17/G17)*100</f>
        <v>5.6705896119408257</v>
      </c>
      <c r="L17" s="8">
        <f>(H17/G17)*100</f>
        <v>0.25356923256946107</v>
      </c>
    </row>
    <row r="18" spans="1:12" x14ac:dyDescent="0.3">
      <c r="A18" s="1" t="s">
        <v>40</v>
      </c>
      <c r="B18" s="1" t="s">
        <v>14</v>
      </c>
      <c r="C18" s="1" t="s">
        <v>30</v>
      </c>
      <c r="D18" s="1" t="s">
        <v>19</v>
      </c>
      <c r="E18" s="35">
        <v>44578</v>
      </c>
      <c r="F18" s="1">
        <v>14300</v>
      </c>
      <c r="G18" s="1">
        <v>719281</v>
      </c>
      <c r="H18" s="3">
        <v>3530</v>
      </c>
      <c r="I18" s="1">
        <v>11</v>
      </c>
      <c r="J18" s="2">
        <v>44589</v>
      </c>
      <c r="K18" s="8">
        <f>(F18/G18)*100</f>
        <v>1.9880964463123592</v>
      </c>
      <c r="L18" s="8">
        <f>(H18/G18)*100</f>
        <v>0.49076786401976419</v>
      </c>
    </row>
    <row r="19" spans="1:12" x14ac:dyDescent="0.3">
      <c r="A19" s="1" t="s">
        <v>41</v>
      </c>
      <c r="B19" s="1" t="s">
        <v>22</v>
      </c>
      <c r="C19" s="1" t="s">
        <v>11</v>
      </c>
      <c r="D19" s="1" t="s">
        <v>12</v>
      </c>
      <c r="E19" s="35">
        <v>44579</v>
      </c>
      <c r="F19" s="1">
        <v>66262</v>
      </c>
      <c r="G19" s="1">
        <v>130779</v>
      </c>
      <c r="H19" s="3">
        <v>4080</v>
      </c>
      <c r="I19" s="1">
        <v>25</v>
      </c>
      <c r="J19" s="2">
        <v>44604</v>
      </c>
      <c r="K19" s="8">
        <f>(F19/G19)*100</f>
        <v>50.667156041872161</v>
      </c>
      <c r="L19" s="8">
        <f>(H19/G19)*100</f>
        <v>3.1197669350583808</v>
      </c>
    </row>
    <row r="20" spans="1:12" x14ac:dyDescent="0.3">
      <c r="A20" s="1" t="s">
        <v>42</v>
      </c>
      <c r="B20" s="1" t="s">
        <v>10</v>
      </c>
      <c r="C20" s="1" t="s">
        <v>15</v>
      </c>
      <c r="D20" s="1" t="s">
        <v>19</v>
      </c>
      <c r="E20" s="35">
        <v>44580</v>
      </c>
      <c r="F20" s="1">
        <v>5542</v>
      </c>
      <c r="G20" s="1">
        <v>362628</v>
      </c>
      <c r="H20" s="3">
        <v>1083</v>
      </c>
      <c r="I20" s="1">
        <v>18</v>
      </c>
      <c r="J20" s="2">
        <v>44598</v>
      </c>
      <c r="K20" s="8">
        <f>(F20/G20)*100</f>
        <v>1.528287942464454</v>
      </c>
      <c r="L20" s="8">
        <f>(H20/G20)*100</f>
        <v>0.29865316522717494</v>
      </c>
    </row>
    <row r="21" spans="1:12" x14ac:dyDescent="0.3">
      <c r="A21" s="1" t="s">
        <v>43</v>
      </c>
      <c r="B21" s="1" t="s">
        <v>14</v>
      </c>
      <c r="C21" s="1" t="s">
        <v>37</v>
      </c>
      <c r="D21" s="1" t="s">
        <v>16</v>
      </c>
      <c r="E21" s="35">
        <v>44581</v>
      </c>
      <c r="F21" s="1">
        <v>94041</v>
      </c>
      <c r="G21" s="1">
        <v>941739</v>
      </c>
      <c r="H21" s="3">
        <v>881</v>
      </c>
      <c r="I21" s="1">
        <v>26</v>
      </c>
      <c r="J21" s="2">
        <v>44607</v>
      </c>
      <c r="K21" s="8">
        <f>(F21/G21)*100</f>
        <v>9.9858878096797525</v>
      </c>
      <c r="L21" s="8">
        <f>(H21/G21)*100</f>
        <v>9.3550336133472231E-2</v>
      </c>
    </row>
    <row r="22" spans="1:12" x14ac:dyDescent="0.3">
      <c r="A22" s="1" t="s">
        <v>44</v>
      </c>
      <c r="B22" s="1" t="s">
        <v>10</v>
      </c>
      <c r="C22" s="1" t="s">
        <v>30</v>
      </c>
      <c r="D22" s="1" t="s">
        <v>19</v>
      </c>
      <c r="E22" s="35">
        <v>44582</v>
      </c>
      <c r="F22" s="1">
        <v>65086</v>
      </c>
      <c r="G22" s="1">
        <v>886509</v>
      </c>
      <c r="H22" s="3">
        <v>2489</v>
      </c>
      <c r="I22" s="1">
        <v>22</v>
      </c>
      <c r="J22" s="2">
        <v>44604</v>
      </c>
      <c r="K22" s="8">
        <f>(F22/G22)*100</f>
        <v>7.3418318370146274</v>
      </c>
      <c r="L22" s="8">
        <f>(H22/G22)*100</f>
        <v>0.28076421107963934</v>
      </c>
    </row>
    <row r="23" spans="1:12" x14ac:dyDescent="0.3">
      <c r="A23" s="1" t="s">
        <v>45</v>
      </c>
      <c r="B23" s="1" t="s">
        <v>22</v>
      </c>
      <c r="C23" s="1" t="s">
        <v>18</v>
      </c>
      <c r="D23" s="1" t="s">
        <v>16</v>
      </c>
      <c r="E23" s="35">
        <v>44583</v>
      </c>
      <c r="F23" s="1">
        <v>62078</v>
      </c>
      <c r="G23" s="4">
        <v>100019</v>
      </c>
      <c r="H23" s="3">
        <v>2377</v>
      </c>
      <c r="I23" s="1">
        <v>8</v>
      </c>
      <c r="J23" s="2">
        <v>44591</v>
      </c>
      <c r="K23" s="8">
        <f>(F23/G23)*100</f>
        <v>62.066207420590089</v>
      </c>
      <c r="L23" s="8">
        <f>(H23/G23)*100</f>
        <v>2.3765484557933996</v>
      </c>
    </row>
    <row r="24" spans="1:12" x14ac:dyDescent="0.3">
      <c r="A24" s="1" t="s">
        <v>46</v>
      </c>
      <c r="B24" s="1" t="s">
        <v>24</v>
      </c>
      <c r="C24" s="1" t="s">
        <v>30</v>
      </c>
      <c r="D24" s="1" t="s">
        <v>19</v>
      </c>
      <c r="E24" s="35">
        <v>44584</v>
      </c>
      <c r="F24" s="1">
        <v>77601</v>
      </c>
      <c r="G24" s="1">
        <v>596436</v>
      </c>
      <c r="H24" s="3">
        <v>2704</v>
      </c>
      <c r="I24" s="1">
        <v>6</v>
      </c>
      <c r="J24" s="2">
        <v>44590</v>
      </c>
      <c r="K24" s="8">
        <f>(F24/G24)*100</f>
        <v>13.010784057300365</v>
      </c>
      <c r="L24" s="8">
        <f>(H24/G24)*100</f>
        <v>0.45335962282625458</v>
      </c>
    </row>
    <row r="25" spans="1:12" x14ac:dyDescent="0.3">
      <c r="A25" s="1" t="s">
        <v>47</v>
      </c>
      <c r="B25" s="1" t="s">
        <v>10</v>
      </c>
      <c r="C25" s="1" t="s">
        <v>30</v>
      </c>
      <c r="D25" s="1" t="s">
        <v>28</v>
      </c>
      <c r="E25" s="35">
        <v>44585</v>
      </c>
      <c r="F25" s="1">
        <v>29510</v>
      </c>
      <c r="G25" s="1">
        <v>183606</v>
      </c>
      <c r="H25" s="3">
        <v>1242</v>
      </c>
      <c r="I25" s="1">
        <v>22</v>
      </c>
      <c r="J25" s="2">
        <v>44607</v>
      </c>
      <c r="K25" s="8">
        <f>(F25/G25)*100</f>
        <v>16.072459505680641</v>
      </c>
      <c r="L25" s="8">
        <f>(H25/G25)*100</f>
        <v>0.67644848207574915</v>
      </c>
    </row>
    <row r="26" spans="1:12" x14ac:dyDescent="0.3">
      <c r="A26" s="1" t="s">
        <v>48</v>
      </c>
      <c r="B26" s="1" t="s">
        <v>10</v>
      </c>
      <c r="C26" s="1" t="s">
        <v>18</v>
      </c>
      <c r="D26" s="1" t="s">
        <v>12</v>
      </c>
      <c r="E26" s="35">
        <v>44586</v>
      </c>
      <c r="F26" s="1">
        <v>54251</v>
      </c>
      <c r="G26" s="1">
        <v>745065</v>
      </c>
      <c r="H26" s="3">
        <v>4573</v>
      </c>
      <c r="I26" s="1">
        <v>20</v>
      </c>
      <c r="J26" s="2">
        <v>44606</v>
      </c>
      <c r="K26" s="8">
        <f>(F26/G26)*100</f>
        <v>7.2813781347936093</v>
      </c>
      <c r="L26" s="8">
        <f>(H26/G26)*100</f>
        <v>0.61377195278264318</v>
      </c>
    </row>
    <row r="27" spans="1:12" x14ac:dyDescent="0.3">
      <c r="A27" s="1" t="s">
        <v>49</v>
      </c>
      <c r="B27" s="1" t="s">
        <v>22</v>
      </c>
      <c r="C27" s="1" t="s">
        <v>11</v>
      </c>
      <c r="D27" s="1" t="s">
        <v>16</v>
      </c>
      <c r="E27" s="35">
        <v>44587</v>
      </c>
      <c r="F27" s="1">
        <v>42835</v>
      </c>
      <c r="G27" s="1">
        <v>243034</v>
      </c>
      <c r="H27" s="3">
        <v>18</v>
      </c>
      <c r="I27" s="1">
        <v>19</v>
      </c>
      <c r="J27" s="2">
        <v>44606</v>
      </c>
      <c r="K27" s="8">
        <f>(F27/G27)*100</f>
        <v>17.625105952253595</v>
      </c>
      <c r="L27" s="8">
        <f>(H27/G27)*100</f>
        <v>7.4063711250277739E-3</v>
      </c>
    </row>
    <row r="28" spans="1:12" x14ac:dyDescent="0.3">
      <c r="A28" s="1" t="s">
        <v>50</v>
      </c>
      <c r="B28" s="1" t="s">
        <v>14</v>
      </c>
      <c r="C28" s="1" t="s">
        <v>11</v>
      </c>
      <c r="D28" s="1" t="s">
        <v>28</v>
      </c>
      <c r="E28" s="35">
        <v>44588</v>
      </c>
      <c r="F28" s="1">
        <v>94908</v>
      </c>
      <c r="G28" s="1">
        <v>818370</v>
      </c>
      <c r="H28" s="3">
        <v>3006</v>
      </c>
      <c r="I28" s="1">
        <v>10</v>
      </c>
      <c r="J28" s="2">
        <v>44598</v>
      </c>
      <c r="K28" s="8">
        <f>(F28/G28)*100</f>
        <v>11.597199310825177</v>
      </c>
      <c r="L28" s="8">
        <f>(H28/G28)*100</f>
        <v>0.36731551743099083</v>
      </c>
    </row>
    <row r="29" spans="1:12" x14ac:dyDescent="0.3">
      <c r="A29" s="1" t="s">
        <v>51</v>
      </c>
      <c r="B29" s="1" t="s">
        <v>22</v>
      </c>
      <c r="C29" s="1" t="s">
        <v>11</v>
      </c>
      <c r="D29" s="1" t="s">
        <v>16</v>
      </c>
      <c r="E29" s="35">
        <v>44589</v>
      </c>
      <c r="F29" s="1">
        <v>64540</v>
      </c>
      <c r="G29" s="1">
        <v>342198</v>
      </c>
      <c r="H29" s="3">
        <v>2199</v>
      </c>
      <c r="I29" s="1">
        <v>23</v>
      </c>
      <c r="J29" s="2">
        <v>44612</v>
      </c>
      <c r="K29" s="8">
        <f>(F29/G29)*100</f>
        <v>18.8604258353351</v>
      </c>
      <c r="L29" s="8">
        <f>(H29/G29)*100</f>
        <v>0.6426104185296232</v>
      </c>
    </row>
    <row r="30" spans="1:12" x14ac:dyDescent="0.3">
      <c r="A30" s="1" t="s">
        <v>52</v>
      </c>
      <c r="B30" s="1" t="s">
        <v>22</v>
      </c>
      <c r="C30" s="1" t="s">
        <v>27</v>
      </c>
      <c r="D30" s="1" t="s">
        <v>16</v>
      </c>
      <c r="E30" s="35">
        <v>44590</v>
      </c>
      <c r="F30" s="1">
        <v>42387</v>
      </c>
      <c r="G30" s="1">
        <v>767627</v>
      </c>
      <c r="H30" s="3">
        <v>3108</v>
      </c>
      <c r="I30" s="1">
        <v>24</v>
      </c>
      <c r="J30" s="2">
        <v>44614</v>
      </c>
      <c r="K30" s="8">
        <f>(F30/G30)*100</f>
        <v>5.5218224476210453</v>
      </c>
      <c r="L30" s="8">
        <f>(H30/G30)*100</f>
        <v>0.40488414294963571</v>
      </c>
    </row>
    <row r="31" spans="1:12" x14ac:dyDescent="0.3">
      <c r="A31" s="1" t="s">
        <v>53</v>
      </c>
      <c r="B31" s="1" t="s">
        <v>10</v>
      </c>
      <c r="C31" s="1" t="s">
        <v>37</v>
      </c>
      <c r="D31" s="1" t="s">
        <v>28</v>
      </c>
      <c r="E31" s="35">
        <v>44592</v>
      </c>
      <c r="F31" s="1">
        <v>25884</v>
      </c>
      <c r="G31" s="1">
        <v>377896</v>
      </c>
      <c r="H31" s="3">
        <v>1177</v>
      </c>
      <c r="I31" s="1">
        <v>10</v>
      </c>
      <c r="J31" s="2">
        <v>44602</v>
      </c>
      <c r="K31" s="8">
        <f>(F31/G31)*100</f>
        <v>6.8495035671189957</v>
      </c>
      <c r="L31" s="8">
        <f>(H31/G31)*100</f>
        <v>0.31146135444672607</v>
      </c>
    </row>
    <row r="32" spans="1:12" x14ac:dyDescent="0.3">
      <c r="A32" s="1" t="s">
        <v>54</v>
      </c>
      <c r="B32" s="1" t="s">
        <v>24</v>
      </c>
      <c r="C32" s="1" t="s">
        <v>25</v>
      </c>
      <c r="D32" s="1" t="s">
        <v>19</v>
      </c>
      <c r="E32" s="35">
        <v>44593</v>
      </c>
      <c r="F32" s="1">
        <v>67139</v>
      </c>
      <c r="G32" s="1">
        <v>384668</v>
      </c>
      <c r="H32" s="3">
        <v>2988</v>
      </c>
      <c r="I32" s="1">
        <f>Table1[[#This Row],[end_date]]-Table1[[#This Row],[start_date]]</f>
        <v>14</v>
      </c>
      <c r="J32" s="2">
        <v>44607</v>
      </c>
      <c r="K32" s="8">
        <f>(F32/G32)*100</f>
        <v>17.453752326681709</v>
      </c>
      <c r="L32" s="8">
        <f>(H32/G32)*100</f>
        <v>0.77677373735273014</v>
      </c>
    </row>
    <row r="33" spans="1:12" x14ac:dyDescent="0.3">
      <c r="A33" s="1" t="s">
        <v>55</v>
      </c>
      <c r="B33" s="1" t="s">
        <v>22</v>
      </c>
      <c r="C33" s="1" t="s">
        <v>30</v>
      </c>
      <c r="D33" s="1" t="s">
        <v>16</v>
      </c>
      <c r="E33" s="35">
        <v>44594</v>
      </c>
      <c r="F33" s="1">
        <v>53051</v>
      </c>
      <c r="G33" s="1">
        <v>742569</v>
      </c>
      <c r="H33" s="3">
        <v>4786</v>
      </c>
      <c r="I33" s="1">
        <v>27</v>
      </c>
      <c r="J33" s="2">
        <v>44621</v>
      </c>
      <c r="K33" s="8">
        <f>(F33/G33)*100</f>
        <v>7.1442519146368886</v>
      </c>
      <c r="L33" s="8">
        <f>(H33/G33)*100</f>
        <v>0.64451922986281407</v>
      </c>
    </row>
    <row r="34" spans="1:12" x14ac:dyDescent="0.3">
      <c r="A34" s="1" t="s">
        <v>56</v>
      </c>
      <c r="B34" s="1" t="s">
        <v>22</v>
      </c>
      <c r="C34" s="1" t="s">
        <v>11</v>
      </c>
      <c r="D34" s="1" t="s">
        <v>32</v>
      </c>
      <c r="E34" s="35">
        <v>44595</v>
      </c>
      <c r="F34" s="1">
        <v>16152</v>
      </c>
      <c r="G34" s="1">
        <v>533092</v>
      </c>
      <c r="H34" s="3">
        <v>4390</v>
      </c>
      <c r="I34" s="1">
        <v>17</v>
      </c>
      <c r="J34" s="2">
        <v>44612</v>
      </c>
      <c r="K34" s="8">
        <f>(F34/G34)*100</f>
        <v>3.0298710166350276</v>
      </c>
      <c r="L34" s="8">
        <f>(H34/G34)*100</f>
        <v>0.82349763267878706</v>
      </c>
    </row>
    <row r="35" spans="1:12" x14ac:dyDescent="0.3">
      <c r="A35" s="1" t="s">
        <v>57</v>
      </c>
      <c r="B35" s="1" t="s">
        <v>14</v>
      </c>
      <c r="C35" s="1" t="s">
        <v>25</v>
      </c>
      <c r="D35" s="1" t="s">
        <v>32</v>
      </c>
      <c r="E35" s="35">
        <v>44596</v>
      </c>
      <c r="F35" s="1">
        <v>56221</v>
      </c>
      <c r="G35" s="1">
        <v>65176</v>
      </c>
      <c r="H35" s="3">
        <v>2644</v>
      </c>
      <c r="I35" s="1">
        <v>5</v>
      </c>
      <c r="J35" s="2">
        <v>44601</v>
      </c>
      <c r="K35" s="8">
        <f>(F35/G35)*100</f>
        <v>86.260279857616297</v>
      </c>
      <c r="L35" s="8">
        <f>(H35/G35)*100</f>
        <v>4.0567079906714127</v>
      </c>
    </row>
    <row r="36" spans="1:12" x14ac:dyDescent="0.3">
      <c r="A36" s="1" t="s">
        <v>58</v>
      </c>
      <c r="B36" s="1" t="s">
        <v>22</v>
      </c>
      <c r="C36" s="1" t="s">
        <v>18</v>
      </c>
      <c r="D36" s="1" t="s">
        <v>12</v>
      </c>
      <c r="E36" s="35">
        <v>44597</v>
      </c>
      <c r="F36" s="1">
        <v>51945</v>
      </c>
      <c r="G36" s="1">
        <v>870753</v>
      </c>
      <c r="H36" s="3">
        <v>2188</v>
      </c>
      <c r="I36" s="1">
        <v>8</v>
      </c>
      <c r="J36" s="2">
        <v>44605</v>
      </c>
      <c r="K36" s="8">
        <f>(F36/G36)*100</f>
        <v>5.965526389228633</v>
      </c>
      <c r="L36" s="8">
        <f>(H36/G36)*100</f>
        <v>0.25127676849807007</v>
      </c>
    </row>
    <row r="37" spans="1:12" x14ac:dyDescent="0.3">
      <c r="A37" s="1" t="s">
        <v>59</v>
      </c>
      <c r="B37" s="1" t="s">
        <v>22</v>
      </c>
      <c r="C37" s="1" t="s">
        <v>11</v>
      </c>
      <c r="D37" s="1" t="s">
        <v>32</v>
      </c>
      <c r="E37" s="35">
        <v>44598</v>
      </c>
      <c r="F37" s="1">
        <v>91998</v>
      </c>
      <c r="G37" s="1">
        <v>370665</v>
      </c>
      <c r="H37" s="3">
        <v>1502</v>
      </c>
      <c r="I37" s="1">
        <v>13</v>
      </c>
      <c r="J37" s="2">
        <v>44611</v>
      </c>
      <c r="K37" s="8">
        <f>(F37/G37)*100</f>
        <v>24.81971591598883</v>
      </c>
      <c r="L37" s="8">
        <f>(H37/G37)*100</f>
        <v>0.40521764935993415</v>
      </c>
    </row>
    <row r="38" spans="1:12" x14ac:dyDescent="0.3">
      <c r="A38" s="1" t="s">
        <v>60</v>
      </c>
      <c r="B38" s="1" t="s">
        <v>14</v>
      </c>
      <c r="C38" s="1" t="s">
        <v>37</v>
      </c>
      <c r="D38" s="1" t="s">
        <v>28</v>
      </c>
      <c r="E38" s="35">
        <v>44599</v>
      </c>
      <c r="F38" s="1">
        <v>95253</v>
      </c>
      <c r="G38" s="1">
        <v>193054</v>
      </c>
      <c r="H38" s="3">
        <v>994</v>
      </c>
      <c r="I38" s="1">
        <v>7</v>
      </c>
      <c r="J38" s="2">
        <v>44606</v>
      </c>
      <c r="K38" s="8">
        <f>(F38/G38)*100</f>
        <v>49.340081013602408</v>
      </c>
      <c r="L38" s="8">
        <f>(H38/G38)*100</f>
        <v>0.51488184652998636</v>
      </c>
    </row>
    <row r="39" spans="1:12" x14ac:dyDescent="0.3">
      <c r="A39" s="1" t="s">
        <v>61</v>
      </c>
      <c r="B39" s="1" t="s">
        <v>22</v>
      </c>
      <c r="C39" s="1" t="s">
        <v>37</v>
      </c>
      <c r="D39" s="1" t="s">
        <v>12</v>
      </c>
      <c r="E39" s="35">
        <v>44600</v>
      </c>
      <c r="F39" s="1">
        <v>18633</v>
      </c>
      <c r="G39" s="1">
        <v>562636</v>
      </c>
      <c r="H39" s="3">
        <v>4930</v>
      </c>
      <c r="I39" s="1">
        <v>6</v>
      </c>
      <c r="J39" s="2">
        <v>44606</v>
      </c>
      <c r="K39" s="8">
        <f>(F39/G39)*100</f>
        <v>3.3117326299774632</v>
      </c>
      <c r="L39" s="8">
        <f>(H39/G39)*100</f>
        <v>0.87623259087580596</v>
      </c>
    </row>
    <row r="40" spans="1:12" x14ac:dyDescent="0.3">
      <c r="A40" s="1" t="s">
        <v>62</v>
      </c>
      <c r="B40" s="1" t="s">
        <v>14</v>
      </c>
      <c r="C40" s="1" t="s">
        <v>30</v>
      </c>
      <c r="D40" s="1" t="s">
        <v>28</v>
      </c>
      <c r="E40" s="35">
        <v>44601</v>
      </c>
      <c r="F40" s="1">
        <v>11377</v>
      </c>
      <c r="G40" s="1">
        <v>943036</v>
      </c>
      <c r="H40" s="3">
        <v>3012</v>
      </c>
      <c r="I40" s="1">
        <v>2</v>
      </c>
      <c r="J40" s="2">
        <v>44603</v>
      </c>
      <c r="K40" s="8">
        <f>(F40/G40)*100</f>
        <v>1.2064226604286581</v>
      </c>
      <c r="L40" s="8">
        <f>(H40/G40)*100</f>
        <v>0.31939395738868931</v>
      </c>
    </row>
    <row r="41" spans="1:12" x14ac:dyDescent="0.3">
      <c r="A41" s="1" t="s">
        <v>63</v>
      </c>
      <c r="B41" s="1" t="s">
        <v>14</v>
      </c>
      <c r="C41" s="1" t="s">
        <v>15</v>
      </c>
      <c r="D41" s="1" t="s">
        <v>12</v>
      </c>
      <c r="E41" s="35">
        <v>44602</v>
      </c>
      <c r="F41" s="1">
        <v>70726</v>
      </c>
      <c r="G41" s="1">
        <v>590195</v>
      </c>
      <c r="H41" s="3">
        <v>1474</v>
      </c>
      <c r="I41" s="1">
        <v>13</v>
      </c>
      <c r="J41" s="2">
        <v>44615</v>
      </c>
      <c r="K41" s="8">
        <f>(F41/G41)*100</f>
        <v>11.983496979811758</v>
      </c>
      <c r="L41" s="8">
        <f>(H41/G41)*100</f>
        <v>0.24974796465574936</v>
      </c>
    </row>
    <row r="42" spans="1:12" x14ac:dyDescent="0.3">
      <c r="A42" s="1" t="s">
        <v>64</v>
      </c>
      <c r="B42" s="1" t="s">
        <v>10</v>
      </c>
      <c r="C42" s="1" t="s">
        <v>30</v>
      </c>
      <c r="D42" s="1" t="s">
        <v>28</v>
      </c>
      <c r="E42" s="35">
        <v>44603</v>
      </c>
      <c r="F42" s="1">
        <v>56156</v>
      </c>
      <c r="G42" s="1">
        <v>787107</v>
      </c>
      <c r="H42" s="3">
        <v>3403</v>
      </c>
      <c r="I42" s="1">
        <v>6</v>
      </c>
      <c r="J42" s="2">
        <v>44609</v>
      </c>
      <c r="K42" s="8">
        <f>(F42/G42)*100</f>
        <v>7.1344810807171077</v>
      </c>
      <c r="L42" s="8">
        <f>(H42/G42)*100</f>
        <v>0.43234274374386206</v>
      </c>
    </row>
    <row r="43" spans="1:12" x14ac:dyDescent="0.3">
      <c r="A43" s="1" t="s">
        <v>65</v>
      </c>
      <c r="B43" s="1" t="s">
        <v>10</v>
      </c>
      <c r="C43" s="1" t="s">
        <v>25</v>
      </c>
      <c r="D43" s="1" t="s">
        <v>28</v>
      </c>
      <c r="E43" s="35">
        <v>44604</v>
      </c>
      <c r="F43" s="1">
        <v>45946</v>
      </c>
      <c r="G43" s="1">
        <v>744577</v>
      </c>
      <c r="H43" s="3">
        <v>244</v>
      </c>
      <c r="I43" s="1">
        <v>19</v>
      </c>
      <c r="J43" s="2">
        <v>44623</v>
      </c>
      <c r="K43" s="8">
        <f>(F43/G43)*100</f>
        <v>6.1707519840123988</v>
      </c>
      <c r="L43" s="8">
        <f>(H43/G43)*100</f>
        <v>3.2770284335938392E-2</v>
      </c>
    </row>
    <row r="44" spans="1:12" x14ac:dyDescent="0.3">
      <c r="A44" s="1" t="s">
        <v>66</v>
      </c>
      <c r="B44" s="1" t="s">
        <v>22</v>
      </c>
      <c r="C44" s="1" t="s">
        <v>11</v>
      </c>
      <c r="D44" s="1" t="s">
        <v>12</v>
      </c>
      <c r="E44" s="35">
        <v>44605</v>
      </c>
      <c r="F44" s="1">
        <v>76982</v>
      </c>
      <c r="G44" s="1">
        <v>819061</v>
      </c>
      <c r="H44" s="3">
        <v>3039</v>
      </c>
      <c r="I44" s="1">
        <v>23</v>
      </c>
      <c r="J44" s="2">
        <v>44628</v>
      </c>
      <c r="K44" s="8">
        <f>(F44/G44)*100</f>
        <v>9.3988115659273248</v>
      </c>
      <c r="L44" s="8">
        <f>(H44/G44)*100</f>
        <v>0.37103463600391179</v>
      </c>
    </row>
    <row r="45" spans="1:12" x14ac:dyDescent="0.3">
      <c r="A45" s="1" t="s">
        <v>1350</v>
      </c>
      <c r="B45" s="1" t="s">
        <v>10</v>
      </c>
      <c r="C45" s="1" t="s">
        <v>37</v>
      </c>
      <c r="D45" s="1" t="s">
        <v>12</v>
      </c>
      <c r="E45" s="35">
        <v>44606</v>
      </c>
      <c r="F45" s="1">
        <v>22508</v>
      </c>
      <c r="G45" s="1">
        <v>729703</v>
      </c>
      <c r="H45" s="3">
        <v>2746</v>
      </c>
      <c r="I45" s="1">
        <v>23</v>
      </c>
      <c r="J45" s="2">
        <v>44629</v>
      </c>
      <c r="K45" s="8">
        <f>(F45/G45)*100</f>
        <v>3.0845426152832043</v>
      </c>
      <c r="L45" s="8">
        <f>(H45/G45)*100</f>
        <v>0.37631748807391502</v>
      </c>
    </row>
    <row r="46" spans="1:12" x14ac:dyDescent="0.3">
      <c r="A46" s="1" t="s">
        <v>67</v>
      </c>
      <c r="B46" s="1" t="s">
        <v>10</v>
      </c>
      <c r="C46" s="1" t="s">
        <v>37</v>
      </c>
      <c r="D46" s="1" t="s">
        <v>19</v>
      </c>
      <c r="E46" s="35">
        <v>44607</v>
      </c>
      <c r="F46" s="1">
        <v>8010</v>
      </c>
      <c r="G46" s="1">
        <v>545063</v>
      </c>
      <c r="H46" s="3">
        <v>2024</v>
      </c>
      <c r="I46" s="1">
        <v>14</v>
      </c>
      <c r="J46" s="2">
        <v>44621</v>
      </c>
      <c r="K46" s="8">
        <f>(F46/G46)*100</f>
        <v>1.4695548954891453</v>
      </c>
      <c r="L46" s="8">
        <f>(H46/G46)*100</f>
        <v>0.37133322203121477</v>
      </c>
    </row>
    <row r="47" spans="1:12" x14ac:dyDescent="0.3">
      <c r="A47" s="1" t="s">
        <v>68</v>
      </c>
      <c r="B47" s="1" t="s">
        <v>22</v>
      </c>
      <c r="C47" s="1" t="s">
        <v>25</v>
      </c>
      <c r="D47" s="1" t="s">
        <v>12</v>
      </c>
      <c r="E47" s="35">
        <v>44608</v>
      </c>
      <c r="F47" s="1">
        <v>46553</v>
      </c>
      <c r="G47" s="1">
        <v>590453</v>
      </c>
      <c r="H47" s="3">
        <v>3497</v>
      </c>
      <c r="I47" s="1">
        <v>23</v>
      </c>
      <c r="J47" s="2">
        <v>44631</v>
      </c>
      <c r="K47" s="8">
        <f>(F47/G47)*100</f>
        <v>7.8842854554045783</v>
      </c>
      <c r="L47" s="8">
        <f>(H47/G47)*100</f>
        <v>0.59225713138895053</v>
      </c>
    </row>
    <row r="48" spans="1:12" x14ac:dyDescent="0.3">
      <c r="A48" s="1" t="s">
        <v>69</v>
      </c>
      <c r="B48" s="1" t="s">
        <v>22</v>
      </c>
      <c r="C48" s="1" t="s">
        <v>15</v>
      </c>
      <c r="D48" s="1" t="s">
        <v>19</v>
      </c>
      <c r="E48" s="35">
        <v>44609</v>
      </c>
      <c r="F48" s="1">
        <v>55128</v>
      </c>
      <c r="G48" s="1">
        <v>835097</v>
      </c>
      <c r="H48" s="3">
        <v>1885</v>
      </c>
      <c r="I48" s="1">
        <v>20</v>
      </c>
      <c r="J48" s="2">
        <v>44629</v>
      </c>
      <c r="K48" s="8">
        <f>(F48/G48)*100</f>
        <v>6.6013888206998699</v>
      </c>
      <c r="L48" s="8">
        <f>(H48/G48)*100</f>
        <v>0.2257222813637218</v>
      </c>
    </row>
    <row r="49" spans="1:12" x14ac:dyDescent="0.3">
      <c r="A49" s="1" t="s">
        <v>70</v>
      </c>
      <c r="B49" s="1" t="s">
        <v>14</v>
      </c>
      <c r="C49" s="1" t="s">
        <v>11</v>
      </c>
      <c r="D49" s="1" t="s">
        <v>16</v>
      </c>
      <c r="E49" s="35">
        <v>44610</v>
      </c>
      <c r="F49" s="1">
        <v>5209</v>
      </c>
      <c r="G49" s="1">
        <v>610655</v>
      </c>
      <c r="H49" s="3">
        <v>4501</v>
      </c>
      <c r="I49" s="1">
        <v>23</v>
      </c>
      <c r="J49" s="2">
        <v>44633</v>
      </c>
      <c r="K49" s="8">
        <f>(F49/G49)*100</f>
        <v>0.85301848015655324</v>
      </c>
      <c r="L49" s="8">
        <f>(H49/G49)*100</f>
        <v>0.73707740049618853</v>
      </c>
    </row>
    <row r="50" spans="1:12" x14ac:dyDescent="0.3">
      <c r="A50" s="1" t="s">
        <v>71</v>
      </c>
      <c r="B50" s="1" t="s">
        <v>22</v>
      </c>
      <c r="C50" s="1" t="s">
        <v>37</v>
      </c>
      <c r="D50" s="1" t="s">
        <v>16</v>
      </c>
      <c r="E50" s="35">
        <v>44611</v>
      </c>
      <c r="F50" s="1">
        <v>74484</v>
      </c>
      <c r="G50" s="1">
        <v>901061</v>
      </c>
      <c r="H50" s="3">
        <v>2887</v>
      </c>
      <c r="I50" s="1">
        <v>15</v>
      </c>
      <c r="J50" s="2">
        <v>44626</v>
      </c>
      <c r="K50" s="8">
        <f>(F50/G50)*100</f>
        <v>8.2662550038232716</v>
      </c>
      <c r="L50" s="8">
        <f>(H50/G50)*100</f>
        <v>0.32040006170503438</v>
      </c>
    </row>
    <row r="51" spans="1:12" x14ac:dyDescent="0.3">
      <c r="A51" s="1" t="s">
        <v>72</v>
      </c>
      <c r="B51" s="1" t="s">
        <v>22</v>
      </c>
      <c r="C51" s="1" t="s">
        <v>15</v>
      </c>
      <c r="D51" s="1" t="s">
        <v>12</v>
      </c>
      <c r="E51" s="35">
        <v>44612</v>
      </c>
      <c r="F51" s="1">
        <v>79322</v>
      </c>
      <c r="G51" s="1">
        <v>805572</v>
      </c>
      <c r="H51" s="3">
        <v>4879</v>
      </c>
      <c r="I51" s="1">
        <v>5</v>
      </c>
      <c r="J51" s="2">
        <v>44617</v>
      </c>
      <c r="K51" s="8">
        <f>(F51/G51)*100</f>
        <v>9.8466679576747964</v>
      </c>
      <c r="L51" s="8">
        <f>(H51/G51)*100</f>
        <v>0.60565660176868119</v>
      </c>
    </row>
    <row r="52" spans="1:12" x14ac:dyDescent="0.3">
      <c r="A52" s="1" t="s">
        <v>73</v>
      </c>
      <c r="B52" s="1" t="s">
        <v>22</v>
      </c>
      <c r="C52" s="1" t="s">
        <v>15</v>
      </c>
      <c r="D52" s="1" t="s">
        <v>28</v>
      </c>
      <c r="E52" s="35">
        <v>44613</v>
      </c>
      <c r="F52" s="1">
        <v>68391</v>
      </c>
      <c r="G52" s="1">
        <v>446138</v>
      </c>
      <c r="H52" s="3">
        <v>1200</v>
      </c>
      <c r="I52" s="1">
        <v>15</v>
      </c>
      <c r="J52" s="2">
        <v>44628</v>
      </c>
      <c r="K52" s="8">
        <f>(F52/G52)*100</f>
        <v>15.329561705122629</v>
      </c>
      <c r="L52" s="8">
        <f>(H52/G52)*100</f>
        <v>0.26897507049388308</v>
      </c>
    </row>
    <row r="53" spans="1:12" x14ac:dyDescent="0.3">
      <c r="A53" s="1" t="s">
        <v>74</v>
      </c>
      <c r="B53" s="1" t="s">
        <v>10</v>
      </c>
      <c r="C53" s="1" t="s">
        <v>27</v>
      </c>
      <c r="D53" s="1" t="s">
        <v>19</v>
      </c>
      <c r="E53" s="35">
        <v>44614</v>
      </c>
      <c r="F53" s="1">
        <v>92192</v>
      </c>
      <c r="G53" s="1">
        <v>570185</v>
      </c>
      <c r="H53" s="3">
        <v>4154</v>
      </c>
      <c r="I53" s="1">
        <v>12</v>
      </c>
      <c r="J53" s="2">
        <v>44626</v>
      </c>
      <c r="K53" s="8">
        <f>(F53/G53)*100</f>
        <v>16.168787323412577</v>
      </c>
      <c r="L53" s="8">
        <f>(H53/G53)*100</f>
        <v>0.72853547532818297</v>
      </c>
    </row>
    <row r="54" spans="1:12" x14ac:dyDescent="0.3">
      <c r="A54" s="1" t="s">
        <v>75</v>
      </c>
      <c r="B54" s="1" t="s">
        <v>14</v>
      </c>
      <c r="C54" s="1" t="s">
        <v>30</v>
      </c>
      <c r="D54" s="1" t="s">
        <v>28</v>
      </c>
      <c r="E54" s="35">
        <v>44615</v>
      </c>
      <c r="F54" s="1">
        <v>37594</v>
      </c>
      <c r="G54" s="1">
        <v>200808</v>
      </c>
      <c r="H54" s="3">
        <v>191</v>
      </c>
      <c r="I54" s="1">
        <v>10</v>
      </c>
      <c r="J54" s="2">
        <v>44625</v>
      </c>
      <c r="K54" s="8">
        <f>(F54/G54)*100</f>
        <v>18.721365682642126</v>
      </c>
      <c r="L54" s="8">
        <f>(H54/G54)*100</f>
        <v>9.5115732440938613E-2</v>
      </c>
    </row>
    <row r="55" spans="1:12" x14ac:dyDescent="0.3">
      <c r="A55" s="1" t="s">
        <v>76</v>
      </c>
      <c r="B55" s="1" t="s">
        <v>10</v>
      </c>
      <c r="C55" s="1" t="s">
        <v>25</v>
      </c>
      <c r="D55" s="1" t="s">
        <v>12</v>
      </c>
      <c r="E55" s="35">
        <v>44616</v>
      </c>
      <c r="F55" s="1">
        <v>47307</v>
      </c>
      <c r="G55" s="1">
        <v>714802</v>
      </c>
      <c r="H55" s="3">
        <v>1182</v>
      </c>
      <c r="I55" s="1">
        <v>10</v>
      </c>
      <c r="J55" s="2">
        <v>44626</v>
      </c>
      <c r="K55" s="8">
        <f>(F55/G55)*100</f>
        <v>6.6181963676654521</v>
      </c>
      <c r="L55" s="8">
        <f>(H55/G55)*100</f>
        <v>0.16536047744690138</v>
      </c>
    </row>
    <row r="56" spans="1:12" x14ac:dyDescent="0.3">
      <c r="A56" s="1" t="s">
        <v>77</v>
      </c>
      <c r="B56" s="1" t="s">
        <v>10</v>
      </c>
      <c r="C56" s="1" t="s">
        <v>27</v>
      </c>
      <c r="D56" s="1" t="s">
        <v>32</v>
      </c>
      <c r="E56" s="35">
        <v>44617</v>
      </c>
      <c r="F56" s="1">
        <v>68348</v>
      </c>
      <c r="G56" s="1">
        <v>293838</v>
      </c>
      <c r="H56" s="3">
        <v>439</v>
      </c>
      <c r="I56" s="1">
        <v>7</v>
      </c>
      <c r="J56" s="2">
        <v>44624</v>
      </c>
      <c r="K56" s="8">
        <f>(F56/G56)*100</f>
        <v>23.260436022570261</v>
      </c>
      <c r="L56" s="8">
        <f>(H56/G56)*100</f>
        <v>0.14940205147053817</v>
      </c>
    </row>
    <row r="57" spans="1:12" x14ac:dyDescent="0.3">
      <c r="A57" s="1" t="s">
        <v>78</v>
      </c>
      <c r="B57" s="1" t="s">
        <v>14</v>
      </c>
      <c r="C57" s="1" t="s">
        <v>30</v>
      </c>
      <c r="D57" s="1" t="s">
        <v>19</v>
      </c>
      <c r="E57" s="35">
        <v>44618</v>
      </c>
      <c r="F57" s="1">
        <v>52889</v>
      </c>
      <c r="G57" s="1">
        <v>456134</v>
      </c>
      <c r="H57" s="3">
        <v>1740</v>
      </c>
      <c r="I57" s="1">
        <v>3</v>
      </c>
      <c r="J57" s="2">
        <v>44621</v>
      </c>
      <c r="K57" s="8">
        <f>(F57/G57)*100</f>
        <v>11.595057592724945</v>
      </c>
      <c r="L57" s="8">
        <f>(H57/G57)*100</f>
        <v>0.38146684965382982</v>
      </c>
    </row>
    <row r="58" spans="1:12" x14ac:dyDescent="0.3">
      <c r="A58" s="1" t="s">
        <v>79</v>
      </c>
      <c r="B58" s="1" t="s">
        <v>14</v>
      </c>
      <c r="C58" s="1" t="s">
        <v>27</v>
      </c>
      <c r="D58" s="1" t="s">
        <v>16</v>
      </c>
      <c r="E58" s="35">
        <v>44619</v>
      </c>
      <c r="F58" s="1">
        <v>33777</v>
      </c>
      <c r="G58" s="1">
        <v>85832</v>
      </c>
      <c r="H58" s="3">
        <v>2230</v>
      </c>
      <c r="I58" s="1">
        <v>14</v>
      </c>
      <c r="J58" s="2">
        <v>44633</v>
      </c>
      <c r="K58" s="8">
        <f>(F58/G58)*100</f>
        <v>39.352455960480945</v>
      </c>
      <c r="L58" s="8">
        <f>(H58/G58)*100</f>
        <v>2.5980986112405633</v>
      </c>
    </row>
    <row r="59" spans="1:12" x14ac:dyDescent="0.3">
      <c r="A59" s="1" t="s">
        <v>80</v>
      </c>
      <c r="B59" s="1" t="s">
        <v>22</v>
      </c>
      <c r="C59" s="1" t="s">
        <v>15</v>
      </c>
      <c r="D59" s="1" t="s">
        <v>32</v>
      </c>
      <c r="E59" s="35">
        <v>44620</v>
      </c>
      <c r="F59" s="1">
        <v>73657</v>
      </c>
      <c r="G59" s="1">
        <v>510496</v>
      </c>
      <c r="H59" s="3">
        <v>4732</v>
      </c>
      <c r="I59" s="1">
        <v>17</v>
      </c>
      <c r="J59" s="2">
        <v>44637</v>
      </c>
      <c r="K59" s="8">
        <f>(F59/G59)*100</f>
        <v>14.428516579953612</v>
      </c>
      <c r="L59" s="8">
        <f>(H59/G59)*100</f>
        <v>0.92694164107064503</v>
      </c>
    </row>
    <row r="60" spans="1:12" x14ac:dyDescent="0.3">
      <c r="A60" s="1" t="s">
        <v>81</v>
      </c>
      <c r="B60" s="1" t="s">
        <v>22</v>
      </c>
      <c r="C60" s="1" t="s">
        <v>25</v>
      </c>
      <c r="D60" s="1" t="s">
        <v>28</v>
      </c>
      <c r="E60" s="35">
        <v>44621</v>
      </c>
      <c r="F60" s="1">
        <v>39557</v>
      </c>
      <c r="G60" s="1">
        <v>773895</v>
      </c>
      <c r="H60" s="3">
        <v>2235</v>
      </c>
      <c r="I60" s="1">
        <v>10</v>
      </c>
      <c r="J60" s="2">
        <v>44631</v>
      </c>
      <c r="K60" s="8">
        <f>(F60/G60)*100</f>
        <v>5.1114169234844518</v>
      </c>
      <c r="L60" s="8">
        <f>(H60/G60)*100</f>
        <v>0.28879886806349703</v>
      </c>
    </row>
    <row r="61" spans="1:12" x14ac:dyDescent="0.3">
      <c r="A61" s="1" t="s">
        <v>82</v>
      </c>
      <c r="B61" s="1" t="s">
        <v>14</v>
      </c>
      <c r="C61" s="1" t="s">
        <v>15</v>
      </c>
      <c r="D61" s="1" t="s">
        <v>16</v>
      </c>
      <c r="E61" s="35">
        <v>44622</v>
      </c>
      <c r="F61" s="1">
        <v>90065</v>
      </c>
      <c r="G61" s="1">
        <v>871443</v>
      </c>
      <c r="H61" s="3">
        <v>1674</v>
      </c>
      <c r="I61" s="1">
        <v>14</v>
      </c>
      <c r="J61" s="2">
        <v>44636</v>
      </c>
      <c r="K61" s="8">
        <f>(F61/G61)*100</f>
        <v>10.335156745765357</v>
      </c>
      <c r="L61" s="8">
        <f>(H61/G61)*100</f>
        <v>0.19209518006341206</v>
      </c>
    </row>
    <row r="62" spans="1:12" x14ac:dyDescent="0.3">
      <c r="A62" s="1" t="s">
        <v>83</v>
      </c>
      <c r="B62" s="1" t="s">
        <v>14</v>
      </c>
      <c r="C62" s="1" t="s">
        <v>11</v>
      </c>
      <c r="D62" s="1" t="s">
        <v>32</v>
      </c>
      <c r="E62" s="35">
        <v>44623</v>
      </c>
      <c r="F62" s="1">
        <v>16051</v>
      </c>
      <c r="G62" s="1">
        <v>272426</v>
      </c>
      <c r="H62" s="3">
        <v>3565</v>
      </c>
      <c r="I62" s="1">
        <v>17</v>
      </c>
      <c r="J62" s="2">
        <v>44640</v>
      </c>
      <c r="K62" s="8">
        <f>(F62/G62)*100</f>
        <v>5.8918752248316979</v>
      </c>
      <c r="L62" s="8">
        <f>(H62/G62)*100</f>
        <v>1.3086122469955144</v>
      </c>
    </row>
    <row r="63" spans="1:12" x14ac:dyDescent="0.3">
      <c r="A63" s="1" t="s">
        <v>84</v>
      </c>
      <c r="B63" s="1" t="s">
        <v>14</v>
      </c>
      <c r="C63" s="1" t="s">
        <v>11</v>
      </c>
      <c r="D63" s="1" t="s">
        <v>12</v>
      </c>
      <c r="E63" s="35">
        <v>44624</v>
      </c>
      <c r="F63" s="1">
        <v>58473</v>
      </c>
      <c r="G63" s="1">
        <v>579913</v>
      </c>
      <c r="H63" s="3">
        <v>3515</v>
      </c>
      <c r="I63" s="1">
        <v>9</v>
      </c>
      <c r="J63" s="2">
        <v>44633</v>
      </c>
      <c r="K63" s="8">
        <f>(F63/G63)*100</f>
        <v>10.083064183765496</v>
      </c>
      <c r="L63" s="8">
        <f>(H63/G63)*100</f>
        <v>0.60612540156885597</v>
      </c>
    </row>
    <row r="64" spans="1:12" x14ac:dyDescent="0.3">
      <c r="A64" s="1" t="s">
        <v>85</v>
      </c>
      <c r="B64" s="1" t="s">
        <v>10</v>
      </c>
      <c r="C64" s="1" t="s">
        <v>15</v>
      </c>
      <c r="D64" s="1" t="s">
        <v>28</v>
      </c>
      <c r="E64" s="35">
        <v>44625</v>
      </c>
      <c r="F64" s="1">
        <v>35574</v>
      </c>
      <c r="G64" s="1">
        <v>914958</v>
      </c>
      <c r="H64" s="3">
        <v>1735</v>
      </c>
      <c r="I64" s="1">
        <f>Table1[[#This Row],[end_date]]-Table1[[#This Row],[start_date]]</f>
        <v>26</v>
      </c>
      <c r="J64" s="2">
        <v>44651</v>
      </c>
      <c r="K64" s="8">
        <f>(F64/G64)*100</f>
        <v>3.888047320204862</v>
      </c>
      <c r="L64" s="8">
        <f>(H64/G64)*100</f>
        <v>0.18962619049180401</v>
      </c>
    </row>
    <row r="65" spans="1:12" x14ac:dyDescent="0.3">
      <c r="A65" s="1" t="s">
        <v>86</v>
      </c>
      <c r="B65" s="1" t="s">
        <v>14</v>
      </c>
      <c r="C65" s="1" t="s">
        <v>15</v>
      </c>
      <c r="D65" s="1" t="s">
        <v>16</v>
      </c>
      <c r="E65" s="35">
        <v>44626</v>
      </c>
      <c r="F65" s="1">
        <v>9817</v>
      </c>
      <c r="G65" s="1">
        <v>54246</v>
      </c>
      <c r="H65" s="3">
        <v>2163</v>
      </c>
      <c r="I65" s="1">
        <v>25</v>
      </c>
      <c r="J65" s="2">
        <v>44651</v>
      </c>
      <c r="K65" s="8">
        <f>(F65/G65)*100</f>
        <v>18.0971868893559</v>
      </c>
      <c r="L65" s="8">
        <f>(H65/G65)*100</f>
        <v>3.9873907753567082</v>
      </c>
    </row>
    <row r="66" spans="1:12" x14ac:dyDescent="0.3">
      <c r="A66" s="1" t="s">
        <v>87</v>
      </c>
      <c r="B66" s="1" t="s">
        <v>14</v>
      </c>
      <c r="C66" s="1" t="s">
        <v>27</v>
      </c>
      <c r="D66" s="1" t="s">
        <v>19</v>
      </c>
      <c r="E66" s="35">
        <v>44627</v>
      </c>
      <c r="F66" s="1">
        <v>25168</v>
      </c>
      <c r="G66" s="1">
        <v>645095</v>
      </c>
      <c r="H66" s="3">
        <v>4764</v>
      </c>
      <c r="I66" s="1">
        <v>15</v>
      </c>
      <c r="J66" s="2">
        <v>44642</v>
      </c>
      <c r="K66" s="8">
        <f>(F66/G66)*100</f>
        <v>3.9014408730497059</v>
      </c>
      <c r="L66" s="8">
        <f>(H66/G66)*100</f>
        <v>0.73849588045171644</v>
      </c>
    </row>
    <row r="67" spans="1:12" x14ac:dyDescent="0.3">
      <c r="A67" s="1" t="s">
        <v>88</v>
      </c>
      <c r="B67" s="1" t="s">
        <v>14</v>
      </c>
      <c r="C67" s="1" t="s">
        <v>37</v>
      </c>
      <c r="D67" s="1" t="s">
        <v>28</v>
      </c>
      <c r="E67" s="35">
        <v>44628</v>
      </c>
      <c r="F67" s="1">
        <v>35285</v>
      </c>
      <c r="G67" s="1">
        <v>592582</v>
      </c>
      <c r="H67" s="3">
        <v>941</v>
      </c>
      <c r="I67" s="1">
        <v>14</v>
      </c>
      <c r="J67" s="2">
        <v>44642</v>
      </c>
      <c r="K67" s="8">
        <f>(F67/G67)*100</f>
        <v>5.9544501857970706</v>
      </c>
      <c r="L67" s="8">
        <f>(H67/G67)*100</f>
        <v>0.15879658848901923</v>
      </c>
    </row>
    <row r="68" spans="1:12" x14ac:dyDescent="0.3">
      <c r="A68" s="1" t="s">
        <v>89</v>
      </c>
      <c r="B68" s="1" t="s">
        <v>22</v>
      </c>
      <c r="C68" s="1" t="s">
        <v>18</v>
      </c>
      <c r="D68" s="1" t="s">
        <v>32</v>
      </c>
      <c r="E68" s="35">
        <v>44629</v>
      </c>
      <c r="F68" s="1">
        <v>20821</v>
      </c>
      <c r="G68" s="1">
        <v>20266</v>
      </c>
      <c r="H68" s="3">
        <v>2303</v>
      </c>
      <c r="I68" s="1">
        <v>26</v>
      </c>
      <c r="J68" s="2">
        <v>44655</v>
      </c>
      <c r="K68" s="8">
        <f>(F68/G68)*100</f>
        <v>102.73857692687261</v>
      </c>
      <c r="L68" s="8">
        <f>(H68/G68)*100</f>
        <v>11.363860653310965</v>
      </c>
    </row>
    <row r="69" spans="1:12" x14ac:dyDescent="0.3">
      <c r="A69" s="1" t="s">
        <v>90</v>
      </c>
      <c r="B69" s="1" t="s">
        <v>22</v>
      </c>
      <c r="C69" s="1" t="s">
        <v>25</v>
      </c>
      <c r="D69" s="1" t="s">
        <v>12</v>
      </c>
      <c r="E69" s="35">
        <v>44630</v>
      </c>
      <c r="F69" s="1">
        <v>14954</v>
      </c>
      <c r="G69" s="1">
        <v>694205</v>
      </c>
      <c r="H69" s="3">
        <v>1416</v>
      </c>
      <c r="I69" s="1">
        <v>8</v>
      </c>
      <c r="J69" s="2">
        <v>44638</v>
      </c>
      <c r="K69" s="8">
        <f>(F69/G69)*100</f>
        <v>2.1541187401416009</v>
      </c>
      <c r="L69" s="8">
        <f>(H69/G69)*100</f>
        <v>0.20397433034910437</v>
      </c>
    </row>
    <row r="70" spans="1:12" x14ac:dyDescent="0.3">
      <c r="A70" s="1" t="s">
        <v>91</v>
      </c>
      <c r="B70" s="1" t="s">
        <v>14</v>
      </c>
      <c r="C70" s="1" t="s">
        <v>37</v>
      </c>
      <c r="D70" s="1" t="s">
        <v>19</v>
      </c>
      <c r="E70" s="35">
        <v>44631</v>
      </c>
      <c r="F70" s="1">
        <v>13862</v>
      </c>
      <c r="G70" s="1">
        <v>917266</v>
      </c>
      <c r="H70" s="3">
        <v>632</v>
      </c>
      <c r="I70" s="1">
        <v>10</v>
      </c>
      <c r="J70" s="2">
        <v>44641</v>
      </c>
      <c r="K70" s="8">
        <f>(F70/G70)*100</f>
        <v>1.5112301120939837</v>
      </c>
      <c r="L70" s="8">
        <f>(H70/G70)*100</f>
        <v>6.8900406207141662E-2</v>
      </c>
    </row>
    <row r="71" spans="1:12" x14ac:dyDescent="0.3">
      <c r="A71" s="1" t="s">
        <v>92</v>
      </c>
      <c r="B71" s="1" t="s">
        <v>22</v>
      </c>
      <c r="C71" s="1" t="s">
        <v>25</v>
      </c>
      <c r="D71" s="1" t="s">
        <v>12</v>
      </c>
      <c r="E71" s="35">
        <v>44632</v>
      </c>
      <c r="F71" s="1">
        <v>60577</v>
      </c>
      <c r="G71" s="1">
        <v>967742</v>
      </c>
      <c r="H71" s="3">
        <v>4136</v>
      </c>
      <c r="I71" s="1">
        <v>28</v>
      </c>
      <c r="J71" s="2">
        <v>44660</v>
      </c>
      <c r="K71" s="8">
        <f>(F71/G71)*100</f>
        <v>6.2596229160251387</v>
      </c>
      <c r="L71" s="8">
        <f>(H71/G71)*100</f>
        <v>0.42738663817422412</v>
      </c>
    </row>
    <row r="72" spans="1:12" x14ac:dyDescent="0.3">
      <c r="A72" s="1" t="s">
        <v>93</v>
      </c>
      <c r="B72" s="1" t="s">
        <v>14</v>
      </c>
      <c r="C72" s="1" t="s">
        <v>27</v>
      </c>
      <c r="D72" s="1" t="s">
        <v>32</v>
      </c>
      <c r="E72" s="35">
        <v>44633</v>
      </c>
      <c r="F72" s="1">
        <v>1283</v>
      </c>
      <c r="G72" s="1">
        <v>253347</v>
      </c>
      <c r="H72" s="3">
        <v>1321</v>
      </c>
      <c r="I72" s="1">
        <f>Table1[[#This Row],[end_date]]-Table1[[#This Row],[start_date]]</f>
        <v>24</v>
      </c>
      <c r="J72" s="2">
        <v>44657</v>
      </c>
      <c r="K72" s="8">
        <f>(F72/G72)*100</f>
        <v>0.50642004839212618</v>
      </c>
      <c r="L72" s="8">
        <f>(H72/G72)*100</f>
        <v>0.52141923922525235</v>
      </c>
    </row>
    <row r="73" spans="1:12" x14ac:dyDescent="0.3">
      <c r="A73" s="1" t="s">
        <v>94</v>
      </c>
      <c r="B73" s="1" t="s">
        <v>10</v>
      </c>
      <c r="C73" s="1" t="s">
        <v>25</v>
      </c>
      <c r="D73" s="1" t="s">
        <v>32</v>
      </c>
      <c r="E73" s="35">
        <v>44634</v>
      </c>
      <c r="F73" s="1">
        <v>81839</v>
      </c>
      <c r="G73" s="1">
        <v>402126</v>
      </c>
      <c r="H73" s="3">
        <v>3989</v>
      </c>
      <c r="I73" s="1">
        <v>15</v>
      </c>
      <c r="J73" s="2">
        <v>44649</v>
      </c>
      <c r="K73" s="8">
        <f>(F73/G73)*100</f>
        <v>20.351581345150525</v>
      </c>
      <c r="L73" s="8">
        <f>(H73/G73)*100</f>
        <v>0.99197763884951473</v>
      </c>
    </row>
    <row r="74" spans="1:12" x14ac:dyDescent="0.3">
      <c r="A74" s="1" t="s">
        <v>95</v>
      </c>
      <c r="B74" s="1" t="s">
        <v>22</v>
      </c>
      <c r="C74" s="1" t="s">
        <v>25</v>
      </c>
      <c r="D74" s="1" t="s">
        <v>28</v>
      </c>
      <c r="E74" s="35">
        <v>44635</v>
      </c>
      <c r="F74" s="1">
        <v>59145</v>
      </c>
      <c r="G74" s="1">
        <v>296370</v>
      </c>
      <c r="H74" s="3">
        <v>3863</v>
      </c>
      <c r="I74" s="1">
        <v>6</v>
      </c>
      <c r="J74" s="2">
        <v>44641</v>
      </c>
      <c r="K74" s="8">
        <f>(F74/G74)*100</f>
        <v>19.956473327259843</v>
      </c>
      <c r="L74" s="8">
        <f>(H74/G74)*100</f>
        <v>1.3034382697304046</v>
      </c>
    </row>
    <row r="75" spans="1:12" x14ac:dyDescent="0.3">
      <c r="A75" s="1" t="s">
        <v>96</v>
      </c>
      <c r="B75" s="1" t="s">
        <v>22</v>
      </c>
      <c r="C75" s="1" t="s">
        <v>30</v>
      </c>
      <c r="D75" s="1" t="s">
        <v>28</v>
      </c>
      <c r="E75" s="35">
        <v>44636</v>
      </c>
      <c r="F75" s="1">
        <v>58854</v>
      </c>
      <c r="G75" s="1">
        <v>954193</v>
      </c>
      <c r="H75" s="3">
        <v>4775</v>
      </c>
      <c r="I75" s="1">
        <v>2</v>
      </c>
      <c r="J75" s="2">
        <v>44638</v>
      </c>
      <c r="K75" s="8">
        <f>(F75/G75)*100</f>
        <v>6.1679345792727469</v>
      </c>
      <c r="L75" s="8">
        <f>(H75/G75)*100</f>
        <v>0.50042287042558475</v>
      </c>
    </row>
    <row r="76" spans="1:12" x14ac:dyDescent="0.3">
      <c r="A76" s="1" t="s">
        <v>97</v>
      </c>
      <c r="B76" s="1" t="s">
        <v>22</v>
      </c>
      <c r="C76" s="1" t="s">
        <v>25</v>
      </c>
      <c r="D76" s="1" t="s">
        <v>28</v>
      </c>
      <c r="E76" s="35">
        <v>44637</v>
      </c>
      <c r="F76" s="1">
        <v>67907</v>
      </c>
      <c r="G76" s="1">
        <v>20559</v>
      </c>
      <c r="H76" s="3">
        <v>4249</v>
      </c>
      <c r="I76" s="1">
        <v>24</v>
      </c>
      <c r="J76" s="2">
        <v>44661</v>
      </c>
      <c r="K76" s="8">
        <f>(F76/G76)*100</f>
        <v>330.30303030303031</v>
      </c>
      <c r="L76" s="8">
        <f>(H76/G76)*100</f>
        <v>20.667347633639768</v>
      </c>
    </row>
    <row r="77" spans="1:12" x14ac:dyDescent="0.3">
      <c r="A77" s="1" t="s">
        <v>98</v>
      </c>
      <c r="B77" s="1" t="s">
        <v>22</v>
      </c>
      <c r="C77" s="1" t="s">
        <v>27</v>
      </c>
      <c r="D77" s="1" t="s">
        <v>12</v>
      </c>
      <c r="E77" s="35">
        <v>44638</v>
      </c>
      <c r="F77" s="1">
        <v>546</v>
      </c>
      <c r="G77" s="1">
        <v>706942</v>
      </c>
      <c r="H77" s="3">
        <v>4983</v>
      </c>
      <c r="I77" s="1">
        <v>4</v>
      </c>
      <c r="J77" s="2">
        <v>44642</v>
      </c>
      <c r="K77" s="8">
        <f>(F77/G77)*100</f>
        <v>7.7234058805389985E-2</v>
      </c>
      <c r="L77" s="8">
        <f>(H77/G77)*100</f>
        <v>0.70486687733930087</v>
      </c>
    </row>
    <row r="78" spans="1:12" x14ac:dyDescent="0.3">
      <c r="A78" s="1" t="s">
        <v>99</v>
      </c>
      <c r="B78" s="1" t="s">
        <v>14</v>
      </c>
      <c r="C78" s="1" t="s">
        <v>18</v>
      </c>
      <c r="D78" s="1" t="s">
        <v>12</v>
      </c>
      <c r="E78" s="35">
        <v>44639</v>
      </c>
      <c r="F78" s="1">
        <v>40307</v>
      </c>
      <c r="G78" s="1">
        <v>99522</v>
      </c>
      <c r="H78" s="3">
        <v>913</v>
      </c>
      <c r="I78" s="1">
        <v>19</v>
      </c>
      <c r="J78" s="2">
        <v>44658</v>
      </c>
      <c r="K78" s="8">
        <f>(F78/G78)*100</f>
        <v>40.500592833745301</v>
      </c>
      <c r="L78" s="8">
        <f>(H78/G78)*100</f>
        <v>0.91738510078173663</v>
      </c>
    </row>
    <row r="79" spans="1:12" x14ac:dyDescent="0.3">
      <c r="A79" s="1" t="s">
        <v>100</v>
      </c>
      <c r="B79" s="1" t="s">
        <v>14</v>
      </c>
      <c r="C79" s="1" t="s">
        <v>15</v>
      </c>
      <c r="D79" s="1" t="s">
        <v>16</v>
      </c>
      <c r="E79" s="35">
        <v>44640</v>
      </c>
      <c r="F79" s="1">
        <v>36062</v>
      </c>
      <c r="G79" s="1">
        <v>514556</v>
      </c>
      <c r="H79" s="3">
        <v>2687</v>
      </c>
      <c r="I79" s="1">
        <v>7</v>
      </c>
      <c r="J79" s="2">
        <v>44647</v>
      </c>
      <c r="K79" s="8">
        <f>(F79/G79)*100</f>
        <v>7.0083722665754546</v>
      </c>
      <c r="L79" s="8">
        <f>(H79/G79)*100</f>
        <v>0.52219777827874903</v>
      </c>
    </row>
    <row r="80" spans="1:12" x14ac:dyDescent="0.3">
      <c r="A80" s="1" t="s">
        <v>101</v>
      </c>
      <c r="B80" s="1" t="s">
        <v>10</v>
      </c>
      <c r="C80" s="1" t="s">
        <v>37</v>
      </c>
      <c r="D80" s="1" t="s">
        <v>12</v>
      </c>
      <c r="E80" s="35">
        <v>44641</v>
      </c>
      <c r="F80" s="1">
        <v>83172</v>
      </c>
      <c r="G80" s="1">
        <v>966560</v>
      </c>
      <c r="H80" s="3">
        <v>632</v>
      </c>
      <c r="I80" s="1">
        <v>3</v>
      </c>
      <c r="J80" s="2">
        <v>44644</v>
      </c>
      <c r="K80" s="8">
        <f>(F80/G80)*100</f>
        <v>8.6049495116702523</v>
      </c>
      <c r="L80" s="8">
        <f>(H80/G80)*100</f>
        <v>6.5386525409700386E-2</v>
      </c>
    </row>
    <row r="81" spans="1:12" x14ac:dyDescent="0.3">
      <c r="A81" s="1" t="s">
        <v>102</v>
      </c>
      <c r="B81" s="1" t="s">
        <v>14</v>
      </c>
      <c r="C81" s="1" t="s">
        <v>18</v>
      </c>
      <c r="D81" s="1" t="s">
        <v>12</v>
      </c>
      <c r="E81" s="35">
        <v>44642</v>
      </c>
      <c r="F81" s="1">
        <v>44128</v>
      </c>
      <c r="G81" s="1">
        <v>862711</v>
      </c>
      <c r="H81" s="3">
        <v>974</v>
      </c>
      <c r="I81" s="1">
        <v>21</v>
      </c>
      <c r="J81" s="2">
        <v>44663</v>
      </c>
      <c r="K81" s="8">
        <f>(F81/G81)*100</f>
        <v>5.1150385239089342</v>
      </c>
      <c r="L81" s="8">
        <f>(H81/G81)*100</f>
        <v>0.11289991665806973</v>
      </c>
    </row>
    <row r="82" spans="1:12" x14ac:dyDescent="0.3">
      <c r="A82" s="1" t="s">
        <v>103</v>
      </c>
      <c r="B82" s="1" t="s">
        <v>14</v>
      </c>
      <c r="C82" s="1" t="s">
        <v>15</v>
      </c>
      <c r="D82" s="1" t="s">
        <v>32</v>
      </c>
      <c r="E82" s="35">
        <v>44643</v>
      </c>
      <c r="F82" s="1">
        <v>35056</v>
      </c>
      <c r="G82" s="1">
        <v>246712</v>
      </c>
      <c r="H82" s="3">
        <v>3141</v>
      </c>
      <c r="I82" s="1">
        <v>14</v>
      </c>
      <c r="J82" s="2">
        <v>44657</v>
      </c>
      <c r="K82" s="8">
        <f>(F82/G82)*100</f>
        <v>14.209280456564741</v>
      </c>
      <c r="L82" s="8">
        <f>(H82/G82)*100</f>
        <v>1.2731443950841466</v>
      </c>
    </row>
    <row r="83" spans="1:12" x14ac:dyDescent="0.3">
      <c r="A83" s="1" t="s">
        <v>104</v>
      </c>
      <c r="B83" s="1" t="s">
        <v>10</v>
      </c>
      <c r="C83" s="1" t="s">
        <v>30</v>
      </c>
      <c r="D83" s="1" t="s">
        <v>28</v>
      </c>
      <c r="E83" s="35">
        <v>44644</v>
      </c>
      <c r="F83" s="1">
        <v>62613</v>
      </c>
      <c r="G83" s="1">
        <v>63546</v>
      </c>
      <c r="H83" s="3">
        <v>588</v>
      </c>
      <c r="I83" s="1">
        <v>26</v>
      </c>
      <c r="J83" s="2">
        <v>44670</v>
      </c>
      <c r="K83" s="8">
        <f>(F83/G83)*100</f>
        <v>98.531772259465583</v>
      </c>
      <c r="L83" s="8">
        <f>(H83/G83)*100</f>
        <v>0.92531394580304038</v>
      </c>
    </row>
    <row r="84" spans="1:12" x14ac:dyDescent="0.3">
      <c r="A84" s="1" t="s">
        <v>105</v>
      </c>
      <c r="B84" s="1" t="s">
        <v>22</v>
      </c>
      <c r="C84" s="1" t="s">
        <v>27</v>
      </c>
      <c r="D84" s="1" t="s">
        <v>19</v>
      </c>
      <c r="E84" s="35">
        <v>44645</v>
      </c>
      <c r="F84" s="1">
        <v>14424</v>
      </c>
      <c r="G84" s="1">
        <v>765026</v>
      </c>
      <c r="H84" s="3">
        <v>3459</v>
      </c>
      <c r="I84" s="1">
        <v>26</v>
      </c>
      <c r="J84" s="2">
        <v>44671</v>
      </c>
      <c r="K84" s="8">
        <f>(F84/G84)*100</f>
        <v>1.8854261162365722</v>
      </c>
      <c r="L84" s="8">
        <f>(H84/G84)*100</f>
        <v>0.45214149584458568</v>
      </c>
    </row>
    <row r="85" spans="1:12" x14ac:dyDescent="0.3">
      <c r="A85" s="1" t="s">
        <v>106</v>
      </c>
      <c r="B85" s="1" t="s">
        <v>22</v>
      </c>
      <c r="C85" s="1" t="s">
        <v>25</v>
      </c>
      <c r="D85" s="1" t="s">
        <v>16</v>
      </c>
      <c r="E85" s="35">
        <v>44646</v>
      </c>
      <c r="F85" s="1">
        <v>12046</v>
      </c>
      <c r="G85" s="1">
        <v>271294</v>
      </c>
      <c r="H85" s="3">
        <v>125</v>
      </c>
      <c r="I85" s="1">
        <v>9</v>
      </c>
      <c r="J85" s="2">
        <v>44655</v>
      </c>
      <c r="K85" s="8">
        <f>(F85/G85)*100</f>
        <v>4.4402014051176959</v>
      </c>
      <c r="L85" s="8">
        <f>(H85/G85)*100</f>
        <v>4.6075475314603348E-2</v>
      </c>
    </row>
    <row r="86" spans="1:12" x14ac:dyDescent="0.3">
      <c r="A86" s="1" t="s">
        <v>107</v>
      </c>
      <c r="B86" s="1" t="s">
        <v>22</v>
      </c>
      <c r="C86" s="1" t="s">
        <v>27</v>
      </c>
      <c r="D86" s="1" t="s">
        <v>16</v>
      </c>
      <c r="E86" s="35">
        <v>44647</v>
      </c>
      <c r="F86" s="1">
        <v>80889</v>
      </c>
      <c r="G86" s="1">
        <v>745299</v>
      </c>
      <c r="H86" s="3">
        <v>3313</v>
      </c>
      <c r="I86" s="1">
        <v>7</v>
      </c>
      <c r="J86" s="2">
        <v>44654</v>
      </c>
      <c r="K86" s="8">
        <f>(F86/G86)*100</f>
        <v>10.853228033312805</v>
      </c>
      <c r="L86" s="8">
        <f>(H86/G86)*100</f>
        <v>0.44451958207377174</v>
      </c>
    </row>
    <row r="87" spans="1:12" x14ac:dyDescent="0.3">
      <c r="A87" s="1" t="s">
        <v>108</v>
      </c>
      <c r="B87" s="1" t="s">
        <v>10</v>
      </c>
      <c r="C87" s="1" t="s">
        <v>30</v>
      </c>
      <c r="D87" s="1" t="s">
        <v>16</v>
      </c>
      <c r="E87" s="35">
        <v>44648</v>
      </c>
      <c r="F87" s="1">
        <v>50173</v>
      </c>
      <c r="G87" s="1">
        <v>124085</v>
      </c>
      <c r="H87" s="3">
        <v>3188</v>
      </c>
      <c r="I87" s="1">
        <v>26</v>
      </c>
      <c r="J87" s="2">
        <v>44674</v>
      </c>
      <c r="K87" s="8">
        <f>(F87/G87)*100</f>
        <v>40.43437965910465</v>
      </c>
      <c r="L87" s="8">
        <f>(H87/G87)*100</f>
        <v>2.5692065922553091</v>
      </c>
    </row>
    <row r="88" spans="1:12" x14ac:dyDescent="0.3">
      <c r="A88" s="1" t="s">
        <v>109</v>
      </c>
      <c r="B88" s="1" t="s">
        <v>14</v>
      </c>
      <c r="C88" s="1" t="s">
        <v>37</v>
      </c>
      <c r="D88" s="1" t="s">
        <v>28</v>
      </c>
      <c r="E88" s="35">
        <v>44649</v>
      </c>
      <c r="F88" s="1">
        <v>60999</v>
      </c>
      <c r="G88" s="1">
        <v>373067</v>
      </c>
      <c r="H88" s="3">
        <v>3862</v>
      </c>
      <c r="I88" s="1">
        <v>18</v>
      </c>
      <c r="J88" s="2">
        <v>44667</v>
      </c>
      <c r="K88" s="8">
        <f>(F88/G88)*100</f>
        <v>16.3506823171173</v>
      </c>
      <c r="L88" s="8">
        <f>(H88/G88)*100</f>
        <v>1.035202791991787</v>
      </c>
    </row>
    <row r="89" spans="1:12" x14ac:dyDescent="0.3">
      <c r="A89" s="1" t="s">
        <v>110</v>
      </c>
      <c r="B89" s="1" t="s">
        <v>22</v>
      </c>
      <c r="C89" s="1" t="s">
        <v>15</v>
      </c>
      <c r="D89" s="1" t="s">
        <v>16</v>
      </c>
      <c r="E89" s="35">
        <v>44650</v>
      </c>
      <c r="F89" s="1">
        <v>22050</v>
      </c>
      <c r="G89" s="1">
        <v>887799</v>
      </c>
      <c r="H89" s="3">
        <v>3933</v>
      </c>
      <c r="I89" s="1">
        <v>24</v>
      </c>
      <c r="J89" s="2">
        <v>44674</v>
      </c>
      <c r="K89" s="8">
        <f>(F89/G89)*100</f>
        <v>2.4836702902346137</v>
      </c>
      <c r="L89" s="8">
        <f>(H89/G89)*100</f>
        <v>0.4430056803398067</v>
      </c>
    </row>
    <row r="90" spans="1:12" x14ac:dyDescent="0.3">
      <c r="A90" s="1" t="s">
        <v>111</v>
      </c>
      <c r="B90" s="1" t="s">
        <v>14</v>
      </c>
      <c r="C90" s="1" t="s">
        <v>30</v>
      </c>
      <c r="D90" s="1" t="s">
        <v>16</v>
      </c>
      <c r="E90" s="35">
        <v>44651</v>
      </c>
      <c r="F90" s="1">
        <v>21563</v>
      </c>
      <c r="G90" s="1">
        <v>132334</v>
      </c>
      <c r="H90" s="3">
        <v>4015</v>
      </c>
      <c r="I90" s="1">
        <v>4</v>
      </c>
      <c r="J90" s="2">
        <v>44655</v>
      </c>
      <c r="K90" s="8">
        <f>(F90/G90)*100</f>
        <v>16.294376350748863</v>
      </c>
      <c r="L90" s="8">
        <f>(H90/G90)*100</f>
        <v>3.0339897532002356</v>
      </c>
    </row>
    <row r="91" spans="1:12" x14ac:dyDescent="0.3">
      <c r="A91" s="1" t="s">
        <v>112</v>
      </c>
      <c r="B91" s="1" t="s">
        <v>22</v>
      </c>
      <c r="C91" s="1" t="s">
        <v>18</v>
      </c>
      <c r="D91" s="1" t="s">
        <v>19</v>
      </c>
      <c r="E91" s="35">
        <v>44652</v>
      </c>
      <c r="F91" s="1">
        <v>79681</v>
      </c>
      <c r="G91" s="1">
        <v>683092</v>
      </c>
      <c r="H91" s="3">
        <v>1737</v>
      </c>
      <c r="I91" s="1">
        <v>11</v>
      </c>
      <c r="J91" s="2">
        <v>44663</v>
      </c>
      <c r="K91" s="8">
        <f>(F91/G91)*100</f>
        <v>11.664753795974773</v>
      </c>
      <c r="L91" s="8">
        <f>(H91/G91)*100</f>
        <v>0.25428492794528407</v>
      </c>
    </row>
    <row r="92" spans="1:12" x14ac:dyDescent="0.3">
      <c r="A92" s="1" t="s">
        <v>113</v>
      </c>
      <c r="B92" s="1" t="s">
        <v>14</v>
      </c>
      <c r="C92" s="1" t="s">
        <v>11</v>
      </c>
      <c r="D92" s="1" t="s">
        <v>12</v>
      </c>
      <c r="E92" s="35">
        <v>44653</v>
      </c>
      <c r="F92" s="1">
        <v>96799</v>
      </c>
      <c r="G92" s="1">
        <v>943218</v>
      </c>
      <c r="H92" s="3">
        <v>4148</v>
      </c>
      <c r="I92" s="1">
        <v>25</v>
      </c>
      <c r="J92" s="2">
        <v>44678</v>
      </c>
      <c r="K92" s="8">
        <f>(F92/G92)*100</f>
        <v>10.26263281659171</v>
      </c>
      <c r="L92" s="8">
        <f>(H92/G92)*100</f>
        <v>0.43977108155272698</v>
      </c>
    </row>
    <row r="93" spans="1:12" x14ac:dyDescent="0.3">
      <c r="A93" s="1" t="s">
        <v>114</v>
      </c>
      <c r="B93" s="1" t="s">
        <v>14</v>
      </c>
      <c r="C93" s="1" t="s">
        <v>27</v>
      </c>
      <c r="D93" s="1" t="s">
        <v>32</v>
      </c>
      <c r="E93" s="35">
        <v>44654</v>
      </c>
      <c r="F93" s="1">
        <v>98154</v>
      </c>
      <c r="G93" s="1">
        <v>262533</v>
      </c>
      <c r="H93" s="3">
        <v>413</v>
      </c>
      <c r="I93" s="1">
        <v>5</v>
      </c>
      <c r="J93" s="2">
        <v>44659</v>
      </c>
      <c r="K93" s="8">
        <f>(F93/G93)*100</f>
        <v>37.38729988230051</v>
      </c>
      <c r="L93" s="8">
        <f>(H93/G93)*100</f>
        <v>0.15731355677191056</v>
      </c>
    </row>
    <row r="94" spans="1:12" x14ac:dyDescent="0.3">
      <c r="A94" s="1" t="s">
        <v>115</v>
      </c>
      <c r="B94" s="1" t="s">
        <v>22</v>
      </c>
      <c r="C94" s="1" t="s">
        <v>27</v>
      </c>
      <c r="D94" s="1" t="s">
        <v>19</v>
      </c>
      <c r="E94" s="35">
        <v>44655</v>
      </c>
      <c r="F94" s="1">
        <v>79052</v>
      </c>
      <c r="G94" s="1">
        <v>301115</v>
      </c>
      <c r="H94" s="3">
        <v>86</v>
      </c>
      <c r="I94" s="1">
        <v>23</v>
      </c>
      <c r="J94" s="2">
        <v>44678</v>
      </c>
      <c r="K94" s="8">
        <f>(F94/G94)*100</f>
        <v>26.253092672234864</v>
      </c>
      <c r="L94" s="8">
        <f>(H94/G94)*100</f>
        <v>2.8560516746093684E-2</v>
      </c>
    </row>
    <row r="95" spans="1:12" x14ac:dyDescent="0.3">
      <c r="A95" s="1" t="s">
        <v>116</v>
      </c>
      <c r="B95" s="1" t="s">
        <v>22</v>
      </c>
      <c r="C95" s="1" t="s">
        <v>15</v>
      </c>
      <c r="D95" s="1" t="s">
        <v>28</v>
      </c>
      <c r="E95" s="35">
        <v>44656</v>
      </c>
      <c r="F95" s="1">
        <v>36067</v>
      </c>
      <c r="G95" s="1">
        <v>542774</v>
      </c>
      <c r="H95" s="3">
        <v>1810</v>
      </c>
      <c r="I95" s="1">
        <v>16</v>
      </c>
      <c r="J95" s="2">
        <v>44672</v>
      </c>
      <c r="K95" s="8">
        <f>(F95/G95)*100</f>
        <v>6.6449387774653905</v>
      </c>
      <c r="L95" s="8">
        <f>(H95/G95)*100</f>
        <v>0.33347212652043023</v>
      </c>
    </row>
    <row r="96" spans="1:12" x14ac:dyDescent="0.3">
      <c r="A96" s="1" t="s">
        <v>117</v>
      </c>
      <c r="B96" s="1" t="s">
        <v>14</v>
      </c>
      <c r="C96" s="1" t="s">
        <v>15</v>
      </c>
      <c r="D96" s="1" t="s">
        <v>28</v>
      </c>
      <c r="E96" s="35">
        <v>44657</v>
      </c>
      <c r="F96" s="1">
        <v>19670</v>
      </c>
      <c r="G96" s="1">
        <v>299556</v>
      </c>
      <c r="H96" s="3">
        <v>741</v>
      </c>
      <c r="I96" s="1">
        <v>1</v>
      </c>
      <c r="J96" s="2">
        <v>44658</v>
      </c>
      <c r="K96" s="8">
        <f>(F96/G96)*100</f>
        <v>6.5663849163428543</v>
      </c>
      <c r="L96" s="8">
        <f>(H96/G96)*100</f>
        <v>0.24736610183070945</v>
      </c>
    </row>
    <row r="97" spans="1:12" x14ac:dyDescent="0.3">
      <c r="A97" s="1" t="s">
        <v>118</v>
      </c>
      <c r="B97" s="1" t="s">
        <v>22</v>
      </c>
      <c r="C97" s="1" t="s">
        <v>15</v>
      </c>
      <c r="D97" s="1" t="s">
        <v>32</v>
      </c>
      <c r="E97" s="35">
        <v>44658</v>
      </c>
      <c r="F97" s="1">
        <v>73939</v>
      </c>
      <c r="G97" s="4">
        <v>645587</v>
      </c>
      <c r="H97" s="3">
        <v>3946</v>
      </c>
      <c r="I97" s="1">
        <v>25</v>
      </c>
      <c r="J97" s="2">
        <v>44683</v>
      </c>
      <c r="K97" s="8">
        <f>(F97/G97)*100</f>
        <v>11.452987746035777</v>
      </c>
      <c r="L97" s="8">
        <f>(H97/G97)*100</f>
        <v>0.61122668207383357</v>
      </c>
    </row>
    <row r="98" spans="1:12" x14ac:dyDescent="0.3">
      <c r="A98" s="1" t="s">
        <v>119</v>
      </c>
      <c r="B98" s="1" t="s">
        <v>22</v>
      </c>
      <c r="C98" s="1" t="s">
        <v>18</v>
      </c>
      <c r="D98" s="1" t="s">
        <v>12</v>
      </c>
      <c r="E98" s="35">
        <v>44659</v>
      </c>
      <c r="F98" s="1">
        <v>732</v>
      </c>
      <c r="G98" s="1">
        <v>396542</v>
      </c>
      <c r="H98" s="3">
        <v>2299</v>
      </c>
      <c r="I98" s="1">
        <v>1</v>
      </c>
      <c r="J98" s="2">
        <v>44660</v>
      </c>
      <c r="K98" s="8">
        <f>(F98/G98)*100</f>
        <v>0.18459583095863744</v>
      </c>
      <c r="L98" s="8">
        <f>(H98/G98)*100</f>
        <v>0.57976204286052924</v>
      </c>
    </row>
    <row r="99" spans="1:12" x14ac:dyDescent="0.3">
      <c r="A99" s="1" t="s">
        <v>120</v>
      </c>
      <c r="B99" s="1" t="s">
        <v>22</v>
      </c>
      <c r="C99" s="1" t="s">
        <v>37</v>
      </c>
      <c r="D99" s="1" t="s">
        <v>19</v>
      </c>
      <c r="E99" s="35">
        <v>44660</v>
      </c>
      <c r="F99" s="1">
        <v>35084</v>
      </c>
      <c r="G99" s="1">
        <v>792744</v>
      </c>
      <c r="H99" s="3">
        <v>3170</v>
      </c>
      <c r="I99" s="1">
        <v>6</v>
      </c>
      <c r="J99" s="2">
        <v>44666</v>
      </c>
      <c r="K99" s="8">
        <f>(F99/G99)*100</f>
        <v>4.4256405598780937</v>
      </c>
      <c r="L99" s="8">
        <f>(H99/G99)*100</f>
        <v>0.39987688333181964</v>
      </c>
    </row>
    <row r="100" spans="1:12" x14ac:dyDescent="0.3">
      <c r="A100" s="1" t="s">
        <v>121</v>
      </c>
      <c r="B100" s="1" t="s">
        <v>24</v>
      </c>
      <c r="C100" s="1" t="s">
        <v>25</v>
      </c>
      <c r="D100" s="1" t="s">
        <v>16</v>
      </c>
      <c r="E100" s="35">
        <v>44661</v>
      </c>
      <c r="F100" s="1">
        <v>20282</v>
      </c>
      <c r="G100" s="1">
        <v>842018</v>
      </c>
      <c r="H100" s="3">
        <v>390</v>
      </c>
      <c r="I100" s="1">
        <v>2</v>
      </c>
      <c r="J100" s="2">
        <v>44663</v>
      </c>
      <c r="K100" s="8">
        <f>(F100/G100)*100</f>
        <v>2.4087371053825453</v>
      </c>
      <c r="L100" s="8">
        <f>(H100/G100)*100</f>
        <v>4.6317299630174176E-2</v>
      </c>
    </row>
    <row r="101" spans="1:12" x14ac:dyDescent="0.3">
      <c r="A101" s="1" t="s">
        <v>122</v>
      </c>
      <c r="B101" s="1" t="s">
        <v>24</v>
      </c>
      <c r="C101" s="1" t="s">
        <v>18</v>
      </c>
      <c r="D101" s="1" t="s">
        <v>19</v>
      </c>
      <c r="E101" s="35">
        <v>44662</v>
      </c>
      <c r="F101" s="1">
        <v>20391</v>
      </c>
      <c r="G101" s="1">
        <v>28608</v>
      </c>
      <c r="H101" s="3">
        <v>4131</v>
      </c>
      <c r="I101" s="1">
        <v>2</v>
      </c>
      <c r="J101" s="2">
        <v>44664</v>
      </c>
      <c r="K101" s="8">
        <f>(F101/G101)*100</f>
        <v>71.277265100671144</v>
      </c>
      <c r="L101" s="8">
        <f>(H101/G101)*100</f>
        <v>14.440016778523489</v>
      </c>
    </row>
    <row r="102" spans="1:12" x14ac:dyDescent="0.3">
      <c r="A102" s="1" t="s">
        <v>123</v>
      </c>
      <c r="B102" s="1" t="s">
        <v>14</v>
      </c>
      <c r="C102" s="1" t="s">
        <v>15</v>
      </c>
      <c r="D102" s="1" t="s">
        <v>32</v>
      </c>
      <c r="E102" s="35">
        <v>44663</v>
      </c>
      <c r="F102" s="1">
        <v>95236</v>
      </c>
      <c r="G102" s="1">
        <v>677630</v>
      </c>
      <c r="H102" s="3">
        <v>4290</v>
      </c>
      <c r="I102" s="1">
        <v>15</v>
      </c>
      <c r="J102" s="2">
        <v>44678</v>
      </c>
      <c r="K102" s="8">
        <f>(F102/G102)*100</f>
        <v>14.05427740802503</v>
      </c>
      <c r="L102" s="8">
        <f>(H102/G102)*100</f>
        <v>0.63308885379927105</v>
      </c>
    </row>
    <row r="103" spans="1:12" x14ac:dyDescent="0.3">
      <c r="A103" s="1" t="s">
        <v>124</v>
      </c>
      <c r="B103" s="1" t="s">
        <v>22</v>
      </c>
      <c r="C103" s="1" t="s">
        <v>37</v>
      </c>
      <c r="D103" s="1" t="s">
        <v>19</v>
      </c>
      <c r="E103" s="35">
        <v>44664</v>
      </c>
      <c r="F103" s="1">
        <v>3271</v>
      </c>
      <c r="G103" s="1">
        <v>851811</v>
      </c>
      <c r="H103" s="3">
        <v>226</v>
      </c>
      <c r="I103" s="1">
        <v>5</v>
      </c>
      <c r="J103" s="2">
        <v>44669</v>
      </c>
      <c r="K103" s="8">
        <f>(F103/G103)*100</f>
        <v>0.38400537208371338</v>
      </c>
      <c r="L103" s="8">
        <f>(H103/G103)*100</f>
        <v>2.6531707150999458E-2</v>
      </c>
    </row>
    <row r="104" spans="1:12" x14ac:dyDescent="0.3">
      <c r="A104" s="1" t="s">
        <v>125</v>
      </c>
      <c r="B104" s="1" t="s">
        <v>24</v>
      </c>
      <c r="C104" s="1" t="s">
        <v>37</v>
      </c>
      <c r="D104" s="1" t="s">
        <v>32</v>
      </c>
      <c r="E104" s="35">
        <v>44665</v>
      </c>
      <c r="F104" s="1">
        <v>9199</v>
      </c>
      <c r="G104" s="1">
        <v>583288</v>
      </c>
      <c r="H104" s="3">
        <v>2352</v>
      </c>
      <c r="I104" s="1">
        <v>29</v>
      </c>
      <c r="J104" s="2">
        <v>44694</v>
      </c>
      <c r="K104" s="8">
        <f>(F104/G104)*100</f>
        <v>1.5770939913044673</v>
      </c>
      <c r="L104" s="8">
        <f>(H104/G104)*100</f>
        <v>0.40323133683531975</v>
      </c>
    </row>
    <row r="105" spans="1:12" x14ac:dyDescent="0.3">
      <c r="A105" s="1" t="s">
        <v>126</v>
      </c>
      <c r="B105" s="1" t="s">
        <v>10</v>
      </c>
      <c r="C105" s="1" t="s">
        <v>25</v>
      </c>
      <c r="D105" s="1" t="s">
        <v>28</v>
      </c>
      <c r="E105" s="35">
        <v>44666</v>
      </c>
      <c r="F105" s="1">
        <v>3274</v>
      </c>
      <c r="G105" s="1">
        <v>408103</v>
      </c>
      <c r="H105" s="3">
        <v>4454</v>
      </c>
      <c r="I105" s="1">
        <v>29</v>
      </c>
      <c r="J105" s="2">
        <v>44695</v>
      </c>
      <c r="K105" s="8">
        <f>(F105/G105)*100</f>
        <v>0.80224845198393535</v>
      </c>
      <c r="L105" s="8">
        <f>(H105/G105)*100</f>
        <v>1.0913911439023971</v>
      </c>
    </row>
    <row r="106" spans="1:12" x14ac:dyDescent="0.3">
      <c r="A106" s="1" t="s">
        <v>1351</v>
      </c>
      <c r="B106" s="1" t="s">
        <v>10</v>
      </c>
      <c r="C106" s="1" t="s">
        <v>30</v>
      </c>
      <c r="D106" s="1" t="s">
        <v>19</v>
      </c>
      <c r="E106" s="35">
        <v>44667</v>
      </c>
      <c r="F106" s="1">
        <v>53947</v>
      </c>
      <c r="G106" s="1">
        <v>507079</v>
      </c>
      <c r="H106" s="3">
        <v>105</v>
      </c>
      <c r="I106" s="1">
        <v>23</v>
      </c>
      <c r="J106" s="2">
        <v>44690</v>
      </c>
      <c r="K106" s="8">
        <f>(F106/G106)*100</f>
        <v>10.638776206468814</v>
      </c>
      <c r="L106" s="8">
        <f>(H106/G106)*100</f>
        <v>2.070683266315505E-2</v>
      </c>
    </row>
    <row r="107" spans="1:12" x14ac:dyDescent="0.3">
      <c r="A107" s="1" t="s">
        <v>127</v>
      </c>
      <c r="B107" s="1" t="s">
        <v>14</v>
      </c>
      <c r="C107" s="1" t="s">
        <v>15</v>
      </c>
      <c r="D107" s="1" t="s">
        <v>19</v>
      </c>
      <c r="E107" s="35">
        <v>44668</v>
      </c>
      <c r="F107" s="1">
        <v>78470</v>
      </c>
      <c r="G107" s="1">
        <v>301569</v>
      </c>
      <c r="H107" s="3">
        <v>1084</v>
      </c>
      <c r="I107" s="1">
        <v>15</v>
      </c>
      <c r="J107" s="2">
        <v>44683</v>
      </c>
      <c r="K107" s="8">
        <f>(F107/G107)*100</f>
        <v>26.020579038296376</v>
      </c>
      <c r="L107" s="8">
        <f>(H107/G107)*100</f>
        <v>0.35945339209268856</v>
      </c>
    </row>
    <row r="108" spans="1:12" x14ac:dyDescent="0.3">
      <c r="A108" s="1" t="s">
        <v>128</v>
      </c>
      <c r="B108" s="1" t="s">
        <v>22</v>
      </c>
      <c r="C108" s="1" t="s">
        <v>25</v>
      </c>
      <c r="D108" s="1" t="s">
        <v>16</v>
      </c>
      <c r="E108" s="35">
        <v>44669</v>
      </c>
      <c r="F108" s="1">
        <v>5648</v>
      </c>
      <c r="G108" s="1">
        <v>261544</v>
      </c>
      <c r="H108" s="3">
        <v>256</v>
      </c>
      <c r="I108" s="1">
        <f>Table1[[#This Row],[end_date]]-Table1[[#This Row],[start_date]]</f>
        <v>18</v>
      </c>
      <c r="J108" s="2">
        <v>44687</v>
      </c>
      <c r="K108" s="8">
        <f>(F108/G108)*100</f>
        <v>2.1594836815220382</v>
      </c>
      <c r="L108" s="8">
        <f>(H108/G108)*100</f>
        <v>9.7880280182302021E-2</v>
      </c>
    </row>
    <row r="109" spans="1:12" x14ac:dyDescent="0.3">
      <c r="A109" s="1" t="s">
        <v>129</v>
      </c>
      <c r="B109" s="1" t="s">
        <v>22</v>
      </c>
      <c r="C109" s="1" t="s">
        <v>15</v>
      </c>
      <c r="D109" s="1" t="s">
        <v>19</v>
      </c>
      <c r="E109" s="35">
        <v>44670</v>
      </c>
      <c r="F109" s="1">
        <v>94160</v>
      </c>
      <c r="G109" s="1">
        <v>398210</v>
      </c>
      <c r="H109" s="3">
        <v>3156</v>
      </c>
      <c r="I109" s="1">
        <v>23</v>
      </c>
      <c r="J109" s="2">
        <v>44693</v>
      </c>
      <c r="K109" s="8">
        <f>(F109/G109)*100</f>
        <v>23.645815022224454</v>
      </c>
      <c r="L109" s="8">
        <f>(H109/G109)*100</f>
        <v>0.79254664624193261</v>
      </c>
    </row>
    <row r="110" spans="1:12" x14ac:dyDescent="0.3">
      <c r="A110" s="1" t="s">
        <v>130</v>
      </c>
      <c r="B110" s="1" t="s">
        <v>24</v>
      </c>
      <c r="C110" s="1" t="s">
        <v>15</v>
      </c>
      <c r="D110" s="1" t="s">
        <v>19</v>
      </c>
      <c r="E110" s="35">
        <v>44671</v>
      </c>
      <c r="F110" s="1">
        <v>96502</v>
      </c>
      <c r="G110" s="1">
        <v>72882</v>
      </c>
      <c r="H110" s="3">
        <v>891</v>
      </c>
      <c r="I110" s="1">
        <v>22</v>
      </c>
      <c r="J110" s="2">
        <v>44693</v>
      </c>
      <c r="K110" s="8">
        <f>(F110/G110)*100</f>
        <v>132.40855080815567</v>
      </c>
      <c r="L110" s="8">
        <f>(H110/G110)*100</f>
        <v>1.2225240800197581</v>
      </c>
    </row>
    <row r="111" spans="1:12" x14ac:dyDescent="0.3">
      <c r="A111" s="1" t="s">
        <v>131</v>
      </c>
      <c r="B111" s="1" t="s">
        <v>14</v>
      </c>
      <c r="C111" s="1" t="s">
        <v>30</v>
      </c>
      <c r="D111" s="1" t="s">
        <v>28</v>
      </c>
      <c r="E111" s="35">
        <v>44672</v>
      </c>
      <c r="F111" s="1">
        <v>13046</v>
      </c>
      <c r="G111" s="1">
        <v>738786</v>
      </c>
      <c r="H111" s="3">
        <v>1193</v>
      </c>
      <c r="I111" s="1">
        <v>3</v>
      </c>
      <c r="J111" s="2">
        <v>44675</v>
      </c>
      <c r="K111" s="8">
        <f>(F111/G111)*100</f>
        <v>1.7658699542221969</v>
      </c>
      <c r="L111" s="8">
        <f>(H111/G111)*100</f>
        <v>0.16148113256071447</v>
      </c>
    </row>
    <row r="112" spans="1:12" x14ac:dyDescent="0.3">
      <c r="A112" s="1" t="s">
        <v>132</v>
      </c>
      <c r="B112" s="1" t="s">
        <v>22</v>
      </c>
      <c r="C112" s="1" t="s">
        <v>37</v>
      </c>
      <c r="D112" s="1" t="s">
        <v>12</v>
      </c>
      <c r="E112" s="35">
        <v>44673</v>
      </c>
      <c r="F112" s="1">
        <v>22169</v>
      </c>
      <c r="G112" s="1">
        <v>307019</v>
      </c>
      <c r="H112" s="3">
        <v>4477</v>
      </c>
      <c r="I112" s="1">
        <v>2</v>
      </c>
      <c r="J112" s="2">
        <v>44675</v>
      </c>
      <c r="K112" s="8">
        <f>(F112/G112)*100</f>
        <v>7.220725753129285</v>
      </c>
      <c r="L112" s="8">
        <f>(H112/G112)*100</f>
        <v>1.4582159410329654</v>
      </c>
    </row>
    <row r="113" spans="1:12" x14ac:dyDescent="0.3">
      <c r="A113" s="1" t="s">
        <v>133</v>
      </c>
      <c r="B113" s="1" t="s">
        <v>22</v>
      </c>
      <c r="C113" s="1" t="s">
        <v>27</v>
      </c>
      <c r="D113" s="1" t="s">
        <v>19</v>
      </c>
      <c r="E113" s="35">
        <v>44674</v>
      </c>
      <c r="F113" s="1">
        <v>38884</v>
      </c>
      <c r="G113" s="1">
        <v>642465</v>
      </c>
      <c r="H113" s="3">
        <v>3860</v>
      </c>
      <c r="I113" s="1">
        <v>3</v>
      </c>
      <c r="J113" s="2">
        <v>44677</v>
      </c>
      <c r="K113" s="8">
        <f>(F113/G113)*100</f>
        <v>6.0523141338438666</v>
      </c>
      <c r="L113" s="8">
        <f>(H113/G113)*100</f>
        <v>0.60081093911730599</v>
      </c>
    </row>
    <row r="114" spans="1:12" x14ac:dyDescent="0.3">
      <c r="A114" s="1" t="s">
        <v>134</v>
      </c>
      <c r="B114" s="1" t="s">
        <v>14</v>
      </c>
      <c r="C114" s="1" t="s">
        <v>18</v>
      </c>
      <c r="D114" s="1" t="s">
        <v>16</v>
      </c>
      <c r="E114" s="35">
        <v>44675</v>
      </c>
      <c r="F114" s="1">
        <v>26444</v>
      </c>
      <c r="G114" s="1">
        <v>293480</v>
      </c>
      <c r="H114" s="3">
        <v>978</v>
      </c>
      <c r="I114" s="1">
        <v>22</v>
      </c>
      <c r="J114" s="2">
        <v>44697</v>
      </c>
      <c r="K114" s="8">
        <f>(F114/G114)*100</f>
        <v>9.0104947526236874</v>
      </c>
      <c r="L114" s="8">
        <f>(H114/G114)*100</f>
        <v>0.33324246967425381</v>
      </c>
    </row>
    <row r="115" spans="1:12" x14ac:dyDescent="0.3">
      <c r="A115" s="1" t="s">
        <v>135</v>
      </c>
      <c r="B115" s="1" t="s">
        <v>22</v>
      </c>
      <c r="C115" s="1" t="s">
        <v>18</v>
      </c>
      <c r="D115" s="1" t="s">
        <v>32</v>
      </c>
      <c r="E115" s="35">
        <v>44676</v>
      </c>
      <c r="F115" s="1">
        <v>77597</v>
      </c>
      <c r="G115" s="1">
        <v>3432</v>
      </c>
      <c r="H115" s="3">
        <v>4321</v>
      </c>
      <c r="I115" s="1">
        <v>27</v>
      </c>
      <c r="J115" s="2">
        <v>44703</v>
      </c>
      <c r="K115" s="8">
        <f>(F115/G115)*100</f>
        <v>2260.9848484848485</v>
      </c>
      <c r="L115" s="8">
        <f>(H115/G115)*100</f>
        <v>125.90326340326341</v>
      </c>
    </row>
    <row r="116" spans="1:12" x14ac:dyDescent="0.3">
      <c r="A116" s="1" t="s">
        <v>136</v>
      </c>
      <c r="B116" s="1" t="s">
        <v>10</v>
      </c>
      <c r="C116" s="1" t="s">
        <v>18</v>
      </c>
      <c r="D116" s="1" t="s">
        <v>19</v>
      </c>
      <c r="E116" s="35">
        <v>44677</v>
      </c>
      <c r="F116" s="1">
        <v>82376</v>
      </c>
      <c r="G116" s="1">
        <v>749141</v>
      </c>
      <c r="H116" s="3">
        <v>73</v>
      </c>
      <c r="I116" s="1">
        <v>20</v>
      </c>
      <c r="J116" s="2">
        <v>44697</v>
      </c>
      <c r="K116" s="8">
        <f>(F116/G116)*100</f>
        <v>10.996060821661075</v>
      </c>
      <c r="L116" s="8">
        <f>(H116/G116)*100</f>
        <v>9.7444940271591059E-3</v>
      </c>
    </row>
    <row r="117" spans="1:12" x14ac:dyDescent="0.3">
      <c r="A117" s="1" t="s">
        <v>137</v>
      </c>
      <c r="B117" s="1" t="s">
        <v>10</v>
      </c>
      <c r="C117" s="1" t="s">
        <v>27</v>
      </c>
      <c r="D117" s="1" t="s">
        <v>19</v>
      </c>
      <c r="E117" s="35">
        <v>44678</v>
      </c>
      <c r="F117" s="1">
        <v>76710</v>
      </c>
      <c r="G117" s="1">
        <v>954399</v>
      </c>
      <c r="H117" s="3">
        <v>3098</v>
      </c>
      <c r="I117" s="1">
        <f>Table1[[#This Row],[end_date]]-Table1[[#This Row],[start_date]]</f>
        <v>29</v>
      </c>
      <c r="J117" s="2">
        <v>44707</v>
      </c>
      <c r="K117" s="8">
        <f>(F117/G117)*100</f>
        <v>8.0375188993282674</v>
      </c>
      <c r="L117" s="8">
        <f>(H117/G117)*100</f>
        <v>0.32460218420178566</v>
      </c>
    </row>
    <row r="118" spans="1:12" x14ac:dyDescent="0.3">
      <c r="A118" s="1" t="s">
        <v>138</v>
      </c>
      <c r="B118" s="1" t="s">
        <v>10</v>
      </c>
      <c r="C118" s="1" t="s">
        <v>11</v>
      </c>
      <c r="D118" s="1" t="s">
        <v>16</v>
      </c>
      <c r="E118" s="35">
        <v>44679</v>
      </c>
      <c r="F118" s="1">
        <v>42809</v>
      </c>
      <c r="G118" s="1">
        <v>225396</v>
      </c>
      <c r="H118" s="3">
        <v>4877</v>
      </c>
      <c r="I118" s="1">
        <v>3</v>
      </c>
      <c r="J118" s="2">
        <v>44682</v>
      </c>
      <c r="K118" s="8">
        <f>(F118/G118)*100</f>
        <v>18.992794903192603</v>
      </c>
      <c r="L118" s="8">
        <f>(H118/G118)*100</f>
        <v>2.1637473602016009</v>
      </c>
    </row>
    <row r="119" spans="1:12" x14ac:dyDescent="0.3">
      <c r="A119" s="1" t="s">
        <v>139</v>
      </c>
      <c r="B119" s="1" t="s">
        <v>14</v>
      </c>
      <c r="C119" s="1" t="s">
        <v>15</v>
      </c>
      <c r="D119" s="1" t="s">
        <v>12</v>
      </c>
      <c r="E119" s="35">
        <v>44680</v>
      </c>
      <c r="F119" s="1">
        <v>88590</v>
      </c>
      <c r="G119" s="1">
        <v>21663</v>
      </c>
      <c r="H119" s="3">
        <v>559</v>
      </c>
      <c r="I119" s="1">
        <v>2</v>
      </c>
      <c r="J119" s="2">
        <v>44682</v>
      </c>
      <c r="K119" s="8">
        <f>(F119/G119)*100</f>
        <v>408.9461293449661</v>
      </c>
      <c r="L119" s="8">
        <f>(H119/G119)*100</f>
        <v>2.5804366892858792</v>
      </c>
    </row>
    <row r="120" spans="1:12" x14ac:dyDescent="0.3">
      <c r="A120" s="1" t="s">
        <v>140</v>
      </c>
      <c r="B120" s="1" t="s">
        <v>14</v>
      </c>
      <c r="C120" s="1" t="s">
        <v>37</v>
      </c>
      <c r="D120" s="1" t="s">
        <v>32</v>
      </c>
      <c r="E120" s="35">
        <v>44681</v>
      </c>
      <c r="F120" s="1">
        <v>6793</v>
      </c>
      <c r="G120" s="1">
        <v>64476</v>
      </c>
      <c r="H120" s="3">
        <v>3283</v>
      </c>
      <c r="I120" s="1">
        <v>29</v>
      </c>
      <c r="J120" s="2">
        <v>44710</v>
      </c>
      <c r="K120" s="8">
        <f>(F120/G120)*100</f>
        <v>10.535703207395001</v>
      </c>
      <c r="L120" s="8">
        <f>(H120/G120)*100</f>
        <v>5.0918171102425713</v>
      </c>
    </row>
    <row r="121" spans="1:12" x14ac:dyDescent="0.3">
      <c r="A121" s="1" t="s">
        <v>141</v>
      </c>
      <c r="B121" s="1" t="s">
        <v>14</v>
      </c>
      <c r="C121" s="1" t="s">
        <v>11</v>
      </c>
      <c r="D121" s="1" t="s">
        <v>28</v>
      </c>
      <c r="E121" s="35">
        <v>44682</v>
      </c>
      <c r="F121" s="1">
        <v>87175</v>
      </c>
      <c r="G121" s="1">
        <v>178177</v>
      </c>
      <c r="H121" s="3">
        <v>3371</v>
      </c>
      <c r="I121" s="1">
        <v>16</v>
      </c>
      <c r="J121" s="2">
        <v>44698</v>
      </c>
      <c r="K121" s="8">
        <f>(F121/G121)*100</f>
        <v>48.926067898774818</v>
      </c>
      <c r="L121" s="8">
        <f>(H121/G121)*100</f>
        <v>1.8919389146747334</v>
      </c>
    </row>
    <row r="122" spans="1:12" x14ac:dyDescent="0.3">
      <c r="A122" s="1" t="s">
        <v>142</v>
      </c>
      <c r="B122" s="1" t="s">
        <v>14</v>
      </c>
      <c r="C122" s="1" t="s">
        <v>11</v>
      </c>
      <c r="D122" s="1" t="s">
        <v>28</v>
      </c>
      <c r="E122" s="35">
        <v>44683</v>
      </c>
      <c r="F122" s="1">
        <v>60722</v>
      </c>
      <c r="G122" s="1">
        <v>838775</v>
      </c>
      <c r="H122" s="3">
        <v>248</v>
      </c>
      <c r="I122" s="1">
        <v>10</v>
      </c>
      <c r="J122" s="2">
        <v>44693</v>
      </c>
      <c r="K122" s="8">
        <f>(F122/G122)*100</f>
        <v>7.2393669339214926</v>
      </c>
      <c r="L122" s="8">
        <f>(H122/G122)*100</f>
        <v>2.9566927960418467E-2</v>
      </c>
    </row>
    <row r="123" spans="1:12" x14ac:dyDescent="0.3">
      <c r="A123" s="1" t="s">
        <v>143</v>
      </c>
      <c r="B123" s="1" t="s">
        <v>22</v>
      </c>
      <c r="C123" s="1" t="s">
        <v>18</v>
      </c>
      <c r="D123" s="1" t="s">
        <v>32</v>
      </c>
      <c r="E123" s="35">
        <v>44684</v>
      </c>
      <c r="F123" s="1">
        <v>53738</v>
      </c>
      <c r="G123" s="1">
        <v>723951</v>
      </c>
      <c r="H123" s="3">
        <v>1855</v>
      </c>
      <c r="I123" s="1">
        <v>22</v>
      </c>
      <c r="J123" s="2">
        <v>44706</v>
      </c>
      <c r="K123" s="8">
        <f>(F123/G123)*100</f>
        <v>7.4228780677145281</v>
      </c>
      <c r="L123" s="8">
        <f>(H123/G123)*100</f>
        <v>0.25623281133667886</v>
      </c>
    </row>
    <row r="124" spans="1:12" x14ac:dyDescent="0.3">
      <c r="A124" s="1" t="s">
        <v>144</v>
      </c>
      <c r="B124" s="1" t="s">
        <v>14</v>
      </c>
      <c r="C124" s="1" t="s">
        <v>15</v>
      </c>
      <c r="D124" s="1" t="s">
        <v>32</v>
      </c>
      <c r="E124" s="35">
        <v>44685</v>
      </c>
      <c r="F124" s="1">
        <v>89356</v>
      </c>
      <c r="G124" s="1">
        <v>956081</v>
      </c>
      <c r="H124" s="3">
        <v>2373</v>
      </c>
      <c r="I124" s="1">
        <v>27</v>
      </c>
      <c r="J124" s="2">
        <v>44712</v>
      </c>
      <c r="K124" s="8">
        <f>(F124/G124)*100</f>
        <v>9.3460700505501109</v>
      </c>
      <c r="L124" s="8">
        <f>(H124/G124)*100</f>
        <v>0.24820072776260588</v>
      </c>
    </row>
    <row r="125" spans="1:12" x14ac:dyDescent="0.3">
      <c r="A125" s="1" t="s">
        <v>145</v>
      </c>
      <c r="B125" s="1" t="s">
        <v>22</v>
      </c>
      <c r="C125" s="1" t="s">
        <v>11</v>
      </c>
      <c r="D125" s="1" t="s">
        <v>12</v>
      </c>
      <c r="E125" s="35">
        <v>44686</v>
      </c>
      <c r="F125" s="1">
        <v>99357</v>
      </c>
      <c r="G125" s="1">
        <v>958664</v>
      </c>
      <c r="H125" s="3">
        <v>607</v>
      </c>
      <c r="I125" s="1">
        <v>28</v>
      </c>
      <c r="J125" s="2">
        <v>44714</v>
      </c>
      <c r="K125" s="8">
        <f>(F125/G125)*100</f>
        <v>10.364110887651982</v>
      </c>
      <c r="L125" s="8">
        <f>(H125/G125)*100</f>
        <v>6.3317283219146647E-2</v>
      </c>
    </row>
    <row r="126" spans="1:12" x14ac:dyDescent="0.3">
      <c r="A126" s="1" t="s">
        <v>146</v>
      </c>
      <c r="B126" s="1" t="s">
        <v>14</v>
      </c>
      <c r="C126" s="1" t="s">
        <v>37</v>
      </c>
      <c r="D126" s="1" t="s">
        <v>19</v>
      </c>
      <c r="E126" s="35">
        <v>44687</v>
      </c>
      <c r="F126" s="1">
        <v>32820</v>
      </c>
      <c r="G126" s="1">
        <v>627719</v>
      </c>
      <c r="H126" s="3">
        <v>1211</v>
      </c>
      <c r="I126" s="1">
        <v>27</v>
      </c>
      <c r="J126" s="2">
        <v>44714</v>
      </c>
      <c r="K126" s="8">
        <f>(F126/G126)*100</f>
        <v>5.2284541331391914</v>
      </c>
      <c r="L126" s="8">
        <f>(H126/G126)*100</f>
        <v>0.19292071770967584</v>
      </c>
    </row>
    <row r="127" spans="1:12" x14ac:dyDescent="0.3">
      <c r="A127" s="1" t="s">
        <v>147</v>
      </c>
      <c r="B127" s="1" t="s">
        <v>22</v>
      </c>
      <c r="C127" s="1" t="s">
        <v>18</v>
      </c>
      <c r="D127" s="1" t="s">
        <v>16</v>
      </c>
      <c r="E127" s="35">
        <v>44688</v>
      </c>
      <c r="F127" s="1">
        <v>52163</v>
      </c>
      <c r="G127" s="1">
        <v>305713</v>
      </c>
      <c r="H127" s="3">
        <v>4520</v>
      </c>
      <c r="I127" s="1">
        <v>23</v>
      </c>
      <c r="J127" s="2">
        <v>44711</v>
      </c>
      <c r="K127" s="8">
        <f>(F127/G127)*100</f>
        <v>17.062735310569064</v>
      </c>
      <c r="L127" s="8">
        <f>(H127/G127)*100</f>
        <v>1.4785108909336535</v>
      </c>
    </row>
    <row r="128" spans="1:12" x14ac:dyDescent="0.3">
      <c r="A128" s="1" t="s">
        <v>148</v>
      </c>
      <c r="B128" s="1" t="s">
        <v>22</v>
      </c>
      <c r="C128" s="1" t="s">
        <v>25</v>
      </c>
      <c r="D128" s="1" t="s">
        <v>16</v>
      </c>
      <c r="E128" s="35">
        <v>44689</v>
      </c>
      <c r="F128" s="1">
        <v>38333</v>
      </c>
      <c r="G128" s="1">
        <v>156332</v>
      </c>
      <c r="H128" s="3">
        <v>3394</v>
      </c>
      <c r="I128" s="1">
        <v>8</v>
      </c>
      <c r="J128" s="2">
        <v>44697</v>
      </c>
      <c r="K128" s="8">
        <f>(F128/G128)*100</f>
        <v>24.520251771870122</v>
      </c>
      <c r="L128" s="8">
        <f>(H128/G128)*100</f>
        <v>2.1710206483637386</v>
      </c>
    </row>
    <row r="129" spans="1:12" x14ac:dyDescent="0.3">
      <c r="A129" s="1" t="s">
        <v>149</v>
      </c>
      <c r="B129" s="1" t="s">
        <v>22</v>
      </c>
      <c r="C129" s="1" t="s">
        <v>11</v>
      </c>
      <c r="D129" s="1" t="s">
        <v>19</v>
      </c>
      <c r="E129" s="35">
        <v>44690</v>
      </c>
      <c r="F129" s="1">
        <v>20172</v>
      </c>
      <c r="G129" s="1">
        <v>722186</v>
      </c>
      <c r="H129" s="3">
        <v>923</v>
      </c>
      <c r="I129" s="1">
        <v>23</v>
      </c>
      <c r="J129" s="2">
        <v>44713</v>
      </c>
      <c r="K129" s="8">
        <f>(F129/G129)*100</f>
        <v>2.7931862428792584</v>
      </c>
      <c r="L129" s="8">
        <f>(H129/G129)*100</f>
        <v>0.12780640998302376</v>
      </c>
    </row>
    <row r="130" spans="1:12" x14ac:dyDescent="0.3">
      <c r="A130" s="1" t="s">
        <v>150</v>
      </c>
      <c r="B130" s="1" t="s">
        <v>14</v>
      </c>
      <c r="C130" s="1" t="s">
        <v>37</v>
      </c>
      <c r="D130" s="1" t="s">
        <v>28</v>
      </c>
      <c r="E130" s="35">
        <v>44691</v>
      </c>
      <c r="F130" s="1">
        <v>29556</v>
      </c>
      <c r="G130" s="1">
        <v>473989</v>
      </c>
      <c r="H130" s="3">
        <v>3825</v>
      </c>
      <c r="I130" s="1">
        <v>2</v>
      </c>
      <c r="J130" s="2">
        <v>44693</v>
      </c>
      <c r="K130" s="8">
        <f>(F130/G130)*100</f>
        <v>6.2355877457071784</v>
      </c>
      <c r="L130" s="8">
        <f>(H130/G130)*100</f>
        <v>0.80698075271789016</v>
      </c>
    </row>
    <row r="131" spans="1:12" x14ac:dyDescent="0.3">
      <c r="A131" s="1" t="s">
        <v>151</v>
      </c>
      <c r="B131" s="1" t="s">
        <v>22</v>
      </c>
      <c r="C131" s="1" t="s">
        <v>30</v>
      </c>
      <c r="D131" s="1" t="s">
        <v>12</v>
      </c>
      <c r="E131" s="35">
        <v>44692</v>
      </c>
      <c r="F131" s="1">
        <v>79731</v>
      </c>
      <c r="G131" s="1">
        <v>66162</v>
      </c>
      <c r="H131" s="3">
        <v>4922</v>
      </c>
      <c r="I131" s="1">
        <v>14</v>
      </c>
      <c r="J131" s="2">
        <v>44706</v>
      </c>
      <c r="K131" s="8">
        <f>(F131/G131)*100</f>
        <v>120.50875124693934</v>
      </c>
      <c r="L131" s="8">
        <f>(H131/G131)*100</f>
        <v>7.439315619237628</v>
      </c>
    </row>
    <row r="132" spans="1:12" x14ac:dyDescent="0.3">
      <c r="A132" s="1" t="s">
        <v>152</v>
      </c>
      <c r="B132" s="1" t="s">
        <v>24</v>
      </c>
      <c r="C132" s="1" t="s">
        <v>15</v>
      </c>
      <c r="D132" s="1" t="s">
        <v>28</v>
      </c>
      <c r="E132" s="35">
        <v>44693</v>
      </c>
      <c r="F132" s="1">
        <v>80601</v>
      </c>
      <c r="G132" s="1">
        <v>71798</v>
      </c>
      <c r="H132" s="3">
        <v>1833</v>
      </c>
      <c r="I132" s="1">
        <v>6</v>
      </c>
      <c r="J132" s="2">
        <v>44699</v>
      </c>
      <c r="K132" s="8">
        <f>(F132/G132)*100</f>
        <v>112.26078720855735</v>
      </c>
      <c r="L132" s="8">
        <f>(H132/G132)*100</f>
        <v>2.5529959051784172</v>
      </c>
    </row>
    <row r="133" spans="1:12" x14ac:dyDescent="0.3">
      <c r="A133" s="1" t="s">
        <v>153</v>
      </c>
      <c r="B133" s="1" t="s">
        <v>14</v>
      </c>
      <c r="C133" s="1" t="s">
        <v>15</v>
      </c>
      <c r="D133" s="1" t="s">
        <v>28</v>
      </c>
      <c r="E133" s="35">
        <v>44694</v>
      </c>
      <c r="F133" s="1">
        <v>72957</v>
      </c>
      <c r="G133" s="1">
        <v>618852</v>
      </c>
      <c r="H133" s="3">
        <v>1938</v>
      </c>
      <c r="I133" s="1">
        <v>5</v>
      </c>
      <c r="J133" s="2">
        <v>44699</v>
      </c>
      <c r="K133" s="8">
        <f>(F133/G133)*100</f>
        <v>11.789086889918753</v>
      </c>
      <c r="L133" s="8">
        <f>(H133/G133)*100</f>
        <v>0.31316049717864691</v>
      </c>
    </row>
    <row r="134" spans="1:12" x14ac:dyDescent="0.3">
      <c r="A134" s="1" t="s">
        <v>154</v>
      </c>
      <c r="B134" s="1" t="s">
        <v>22</v>
      </c>
      <c r="C134" s="1" t="s">
        <v>37</v>
      </c>
      <c r="D134" s="1" t="s">
        <v>32</v>
      </c>
      <c r="E134" s="35">
        <v>44695</v>
      </c>
      <c r="F134" s="1">
        <v>47967</v>
      </c>
      <c r="G134" s="1">
        <v>670002</v>
      </c>
      <c r="H134" s="3">
        <v>1575</v>
      </c>
      <c r="I134" s="1">
        <v>10</v>
      </c>
      <c r="J134" s="2">
        <v>44705</v>
      </c>
      <c r="K134" s="8">
        <f>(F134/G134)*100</f>
        <v>7.1592323605004156</v>
      </c>
      <c r="L134" s="8">
        <f>(H134/G134)*100</f>
        <v>0.23507392515246225</v>
      </c>
    </row>
    <row r="135" spans="1:12" x14ac:dyDescent="0.3">
      <c r="A135" s="1" t="s">
        <v>155</v>
      </c>
      <c r="B135" s="1" t="s">
        <v>14</v>
      </c>
      <c r="C135" s="1" t="s">
        <v>15</v>
      </c>
      <c r="D135" s="1" t="s">
        <v>16</v>
      </c>
      <c r="E135" s="35">
        <v>44696</v>
      </c>
      <c r="F135" s="1">
        <v>82189</v>
      </c>
      <c r="G135" s="1">
        <v>220943</v>
      </c>
      <c r="H135" s="3">
        <v>3501</v>
      </c>
      <c r="I135" s="1">
        <v>3</v>
      </c>
      <c r="J135" s="2">
        <v>44699</v>
      </c>
      <c r="K135" s="8">
        <f>(F135/G135)*100</f>
        <v>37.199187120660085</v>
      </c>
      <c r="L135" s="8">
        <f>(H135/G135)*100</f>
        <v>1.5845715863367476</v>
      </c>
    </row>
    <row r="136" spans="1:12" x14ac:dyDescent="0.3">
      <c r="A136" s="1" t="s">
        <v>156</v>
      </c>
      <c r="B136" s="1" t="s">
        <v>22</v>
      </c>
      <c r="C136" s="1" t="s">
        <v>30</v>
      </c>
      <c r="D136" s="1" t="s">
        <v>28</v>
      </c>
      <c r="E136" s="35">
        <v>44697</v>
      </c>
      <c r="F136" s="1">
        <v>54965</v>
      </c>
      <c r="G136" s="1">
        <v>331179</v>
      </c>
      <c r="H136" s="3">
        <v>4152</v>
      </c>
      <c r="I136" s="1">
        <v>2</v>
      </c>
      <c r="J136" s="2">
        <v>44699</v>
      </c>
      <c r="K136" s="8">
        <f>(F136/G136)*100</f>
        <v>16.596764891493724</v>
      </c>
      <c r="L136" s="8">
        <f>(H136/G136)*100</f>
        <v>1.2537026804235776</v>
      </c>
    </row>
    <row r="137" spans="1:12" x14ac:dyDescent="0.3">
      <c r="A137" s="1" t="s">
        <v>157</v>
      </c>
      <c r="B137" s="1" t="s">
        <v>24</v>
      </c>
      <c r="C137" s="1" t="s">
        <v>27</v>
      </c>
      <c r="D137" s="1" t="s">
        <v>12</v>
      </c>
      <c r="E137" s="35">
        <v>44698</v>
      </c>
      <c r="F137" s="1">
        <v>12342</v>
      </c>
      <c r="G137" s="1">
        <v>120893</v>
      </c>
      <c r="H137" s="3">
        <v>3250</v>
      </c>
      <c r="I137" s="1">
        <v>22</v>
      </c>
      <c r="J137" s="2">
        <v>44720</v>
      </c>
      <c r="K137" s="8">
        <f>(F137/G137)*100</f>
        <v>10.209027817987808</v>
      </c>
      <c r="L137" s="8">
        <f>(H137/G137)*100</f>
        <v>2.6883276947383221</v>
      </c>
    </row>
    <row r="138" spans="1:12" x14ac:dyDescent="0.3">
      <c r="A138" s="1" t="s">
        <v>158</v>
      </c>
      <c r="B138" s="1" t="s">
        <v>14</v>
      </c>
      <c r="C138" s="1" t="s">
        <v>11</v>
      </c>
      <c r="D138" s="1" t="s">
        <v>16</v>
      </c>
      <c r="E138" s="35">
        <v>44699</v>
      </c>
      <c r="F138" s="1">
        <v>76631</v>
      </c>
      <c r="G138" s="1">
        <v>926767</v>
      </c>
      <c r="H138" s="3">
        <v>2678</v>
      </c>
      <c r="I138" s="1">
        <v>27</v>
      </c>
      <c r="J138" s="2">
        <v>44726</v>
      </c>
      <c r="K138" s="8">
        <f>(F138/G138)*100</f>
        <v>8.2686371008031134</v>
      </c>
      <c r="L138" s="8">
        <f>(H138/G138)*100</f>
        <v>0.28896151891467869</v>
      </c>
    </row>
    <row r="139" spans="1:12" x14ac:dyDescent="0.3">
      <c r="A139" s="1" t="s">
        <v>159</v>
      </c>
      <c r="B139" s="1" t="s">
        <v>10</v>
      </c>
      <c r="C139" s="1" t="s">
        <v>11</v>
      </c>
      <c r="D139" s="1" t="s">
        <v>32</v>
      </c>
      <c r="E139" s="35">
        <v>44700</v>
      </c>
      <c r="F139" s="1">
        <v>67121</v>
      </c>
      <c r="G139" s="1">
        <v>124644</v>
      </c>
      <c r="H139" s="3">
        <v>922</v>
      </c>
      <c r="I139" s="1">
        <v>11</v>
      </c>
      <c r="J139" s="2">
        <v>44711</v>
      </c>
      <c r="K139" s="8">
        <f>(F139/G139)*100</f>
        <v>53.85016527069093</v>
      </c>
      <c r="L139" s="8">
        <f>(H139/G139)*100</f>
        <v>0.73970668463784861</v>
      </c>
    </row>
    <row r="140" spans="1:12" x14ac:dyDescent="0.3">
      <c r="A140" s="1" t="s">
        <v>160</v>
      </c>
      <c r="B140" s="1" t="s">
        <v>22</v>
      </c>
      <c r="C140" s="1" t="s">
        <v>18</v>
      </c>
      <c r="D140" s="1" t="s">
        <v>12</v>
      </c>
      <c r="E140" s="35">
        <v>44701</v>
      </c>
      <c r="F140" s="1">
        <v>33853</v>
      </c>
      <c r="G140" s="1">
        <v>508137</v>
      </c>
      <c r="H140" s="3">
        <v>1107</v>
      </c>
      <c r="I140" s="1">
        <v>2</v>
      </c>
      <c r="J140" s="2">
        <v>44703</v>
      </c>
      <c r="K140" s="8">
        <f>(F140/G140)*100</f>
        <v>6.6621796877613715</v>
      </c>
      <c r="L140" s="8">
        <f>(H140/G140)*100</f>
        <v>0.21785463369130764</v>
      </c>
    </row>
    <row r="141" spans="1:12" x14ac:dyDescent="0.3">
      <c r="A141" s="1" t="s">
        <v>161</v>
      </c>
      <c r="B141" s="1" t="s">
        <v>14</v>
      </c>
      <c r="C141" s="1" t="s">
        <v>15</v>
      </c>
      <c r="D141" s="1" t="s">
        <v>16</v>
      </c>
      <c r="E141" s="35">
        <v>44702</v>
      </c>
      <c r="F141" s="1">
        <v>69473</v>
      </c>
      <c r="G141" s="1">
        <v>521689</v>
      </c>
      <c r="H141" s="3">
        <v>1858</v>
      </c>
      <c r="I141" s="1">
        <v>14</v>
      </c>
      <c r="J141" s="2">
        <v>44716</v>
      </c>
      <c r="K141" s="8">
        <f>(F141/G141)*100</f>
        <v>13.316937869113591</v>
      </c>
      <c r="L141" s="8">
        <f>(H141/G141)*100</f>
        <v>0.35615088683104301</v>
      </c>
    </row>
    <row r="142" spans="1:12" x14ac:dyDescent="0.3">
      <c r="A142" s="1" t="s">
        <v>162</v>
      </c>
      <c r="B142" s="1" t="s">
        <v>14</v>
      </c>
      <c r="C142" s="1" t="s">
        <v>27</v>
      </c>
      <c r="D142" s="1" t="s">
        <v>28</v>
      </c>
      <c r="E142" s="35">
        <v>44703</v>
      </c>
      <c r="F142" s="1">
        <v>47358</v>
      </c>
      <c r="G142" s="1">
        <v>425137</v>
      </c>
      <c r="H142" s="3">
        <v>4559</v>
      </c>
      <c r="I142" s="1">
        <v>14</v>
      </c>
      <c r="J142" s="2">
        <v>44717</v>
      </c>
      <c r="K142" s="8">
        <f>(F142/G142)*100</f>
        <v>11.139467983261866</v>
      </c>
      <c r="L142" s="8">
        <f>(H142/G142)*100</f>
        <v>1.0723602038872175</v>
      </c>
    </row>
    <row r="143" spans="1:12" x14ac:dyDescent="0.3">
      <c r="A143" s="1" t="s">
        <v>1352</v>
      </c>
      <c r="B143" s="1" t="s">
        <v>24</v>
      </c>
      <c r="C143" s="1" t="s">
        <v>11</v>
      </c>
      <c r="D143" s="1" t="s">
        <v>16</v>
      </c>
      <c r="E143" s="35">
        <v>44704</v>
      </c>
      <c r="F143" s="1">
        <v>41519</v>
      </c>
      <c r="G143" s="1">
        <v>605437</v>
      </c>
      <c r="H143" s="3">
        <v>3526</v>
      </c>
      <c r="I143" s="1">
        <v>13</v>
      </c>
      <c r="J143" s="2">
        <v>44717</v>
      </c>
      <c r="K143" s="8">
        <f>(F143/G143)*100</f>
        <v>6.8576912213822405</v>
      </c>
      <c r="L143" s="8">
        <f>(H143/G143)*100</f>
        <v>0.58238924941818893</v>
      </c>
    </row>
    <row r="144" spans="1:12" x14ac:dyDescent="0.3">
      <c r="A144" s="1" t="s">
        <v>163</v>
      </c>
      <c r="B144" s="1" t="s">
        <v>14</v>
      </c>
      <c r="C144" s="1" t="s">
        <v>25</v>
      </c>
      <c r="D144" s="1" t="s">
        <v>12</v>
      </c>
      <c r="E144" s="35">
        <v>44705</v>
      </c>
      <c r="F144" s="1">
        <v>32146</v>
      </c>
      <c r="G144" s="1">
        <v>184608</v>
      </c>
      <c r="H144" s="3">
        <v>3105</v>
      </c>
      <c r="I144" s="1">
        <v>17</v>
      </c>
      <c r="J144" s="2">
        <v>44722</v>
      </c>
      <c r="K144" s="8">
        <f>(F144/G144)*100</f>
        <v>17.413113191194316</v>
      </c>
      <c r="L144" s="8">
        <f>(H144/G144)*100</f>
        <v>1.6819422776911077</v>
      </c>
    </row>
    <row r="145" spans="1:12" x14ac:dyDescent="0.3">
      <c r="A145" s="1" t="s">
        <v>164</v>
      </c>
      <c r="B145" s="1" t="s">
        <v>14</v>
      </c>
      <c r="C145" s="1" t="s">
        <v>11</v>
      </c>
      <c r="D145" s="1" t="s">
        <v>19</v>
      </c>
      <c r="E145" s="35">
        <v>44706</v>
      </c>
      <c r="F145" s="1">
        <v>11672</v>
      </c>
      <c r="G145" s="1">
        <v>976241</v>
      </c>
      <c r="H145" s="3">
        <v>2650</v>
      </c>
      <c r="I145" s="1">
        <v>12</v>
      </c>
      <c r="J145" s="2">
        <v>44718</v>
      </c>
      <c r="K145" s="8">
        <f>(F145/G145)*100</f>
        <v>1.1956064127607835</v>
      </c>
      <c r="L145" s="8">
        <f>(H145/G145)*100</f>
        <v>0.27144936547430398</v>
      </c>
    </row>
    <row r="146" spans="1:12" x14ac:dyDescent="0.3">
      <c r="A146" s="1" t="s">
        <v>165</v>
      </c>
      <c r="B146" s="1" t="s">
        <v>22</v>
      </c>
      <c r="C146" s="1" t="s">
        <v>30</v>
      </c>
      <c r="D146" s="1" t="s">
        <v>32</v>
      </c>
      <c r="E146" s="35">
        <v>44707</v>
      </c>
      <c r="F146" s="1">
        <v>60284</v>
      </c>
      <c r="G146" s="1">
        <v>214132</v>
      </c>
      <c r="H146" s="3">
        <v>4994</v>
      </c>
      <c r="I146" s="1">
        <v>25</v>
      </c>
      <c r="J146" s="2">
        <v>44732</v>
      </c>
      <c r="K146" s="8">
        <f>(F146/G146)*100</f>
        <v>28.152728223712476</v>
      </c>
      <c r="L146" s="8">
        <f>(H146/G146)*100</f>
        <v>2.3322063026544373</v>
      </c>
    </row>
    <row r="147" spans="1:12" x14ac:dyDescent="0.3">
      <c r="A147" s="1" t="s">
        <v>166</v>
      </c>
      <c r="B147" s="1" t="s">
        <v>22</v>
      </c>
      <c r="C147" s="1" t="s">
        <v>15</v>
      </c>
      <c r="D147" s="1" t="s">
        <v>12</v>
      </c>
      <c r="E147" s="35">
        <v>44708</v>
      </c>
      <c r="F147" s="1">
        <v>42016</v>
      </c>
      <c r="G147" s="1">
        <v>736295</v>
      </c>
      <c r="H147" s="3">
        <v>4074</v>
      </c>
      <c r="I147" s="1">
        <v>14</v>
      </c>
      <c r="J147" s="2">
        <v>44722</v>
      </c>
      <c r="K147" s="8">
        <f>(F147/G147)*100</f>
        <v>5.7064084368357788</v>
      </c>
      <c r="L147" s="8">
        <f>(H147/G147)*100</f>
        <v>0.55331083329372055</v>
      </c>
    </row>
    <row r="148" spans="1:12" x14ac:dyDescent="0.3">
      <c r="A148" s="1" t="s">
        <v>167</v>
      </c>
      <c r="B148" s="1" t="s">
        <v>14</v>
      </c>
      <c r="C148" s="1" t="s">
        <v>15</v>
      </c>
      <c r="D148" s="1" t="s">
        <v>32</v>
      </c>
      <c r="E148" s="35">
        <v>44709</v>
      </c>
      <c r="F148" s="1">
        <v>77632</v>
      </c>
      <c r="G148" s="1">
        <v>294778</v>
      </c>
      <c r="H148" s="3">
        <v>4533</v>
      </c>
      <c r="I148" s="1">
        <v>12</v>
      </c>
      <c r="J148" s="2">
        <v>44721</v>
      </c>
      <c r="K148" s="8">
        <f>(F148/G148)*100</f>
        <v>26.335750971917847</v>
      </c>
      <c r="L148" s="8">
        <f>(H148/G148)*100</f>
        <v>1.5377674046231402</v>
      </c>
    </row>
    <row r="149" spans="1:12" x14ac:dyDescent="0.3">
      <c r="A149" s="1" t="s">
        <v>168</v>
      </c>
      <c r="B149" s="1" t="s">
        <v>14</v>
      </c>
      <c r="C149" s="1" t="s">
        <v>37</v>
      </c>
      <c r="D149" s="1" t="s">
        <v>19</v>
      </c>
      <c r="E149" s="35">
        <v>44710</v>
      </c>
      <c r="F149" s="1">
        <v>26076</v>
      </c>
      <c r="G149" s="1">
        <v>72827</v>
      </c>
      <c r="H149" s="3">
        <v>2222</v>
      </c>
      <c r="I149" s="1">
        <f>Table1[[#This Row],[end_date]]-Table1[[#This Row],[start_date]]</f>
        <v>18</v>
      </c>
      <c r="J149" s="2">
        <v>44728</v>
      </c>
      <c r="K149" s="8">
        <f>(F149/G149)*100</f>
        <v>35.805401842723164</v>
      </c>
      <c r="L149" s="8">
        <f>(H149/G149)*100</f>
        <v>3.0510662254383676</v>
      </c>
    </row>
    <row r="150" spans="1:12" x14ac:dyDescent="0.3">
      <c r="A150" s="1" t="s">
        <v>169</v>
      </c>
      <c r="B150" s="1" t="s">
        <v>22</v>
      </c>
      <c r="C150" s="1" t="s">
        <v>15</v>
      </c>
      <c r="D150" s="1" t="s">
        <v>12</v>
      </c>
      <c r="E150" s="35">
        <v>44711</v>
      </c>
      <c r="F150" s="1">
        <v>6682</v>
      </c>
      <c r="G150" s="1">
        <v>7138</v>
      </c>
      <c r="H150" s="3">
        <v>3132</v>
      </c>
      <c r="I150" s="1">
        <v>24</v>
      </c>
      <c r="J150" s="2">
        <v>44735</v>
      </c>
      <c r="K150" s="8">
        <f>(F150/G150)*100</f>
        <v>93.611655926029698</v>
      </c>
      <c r="L150" s="8">
        <f>(H150/G150)*100</f>
        <v>43.877836929111794</v>
      </c>
    </row>
    <row r="151" spans="1:12" x14ac:dyDescent="0.3">
      <c r="A151" s="1" t="s">
        <v>170</v>
      </c>
      <c r="B151" s="1" t="s">
        <v>10</v>
      </c>
      <c r="C151" s="1" t="s">
        <v>25</v>
      </c>
      <c r="D151" s="1" t="s">
        <v>16</v>
      </c>
      <c r="E151" s="35">
        <v>44712</v>
      </c>
      <c r="F151" s="1">
        <v>76646</v>
      </c>
      <c r="G151" s="1">
        <v>587474</v>
      </c>
      <c r="H151" s="3">
        <v>4078</v>
      </c>
      <c r="I151" s="1">
        <v>24</v>
      </c>
      <c r="J151" s="2">
        <v>44736</v>
      </c>
      <c r="K151" s="8">
        <f>(F151/G151)*100</f>
        <v>13.046705045670107</v>
      </c>
      <c r="L151" s="8">
        <f>(H151/G151)*100</f>
        <v>0.69415837977510497</v>
      </c>
    </row>
    <row r="152" spans="1:12" x14ac:dyDescent="0.3">
      <c r="A152" s="1" t="s">
        <v>1353</v>
      </c>
      <c r="B152" s="1" t="s">
        <v>10</v>
      </c>
      <c r="C152" s="1" t="s">
        <v>11</v>
      </c>
      <c r="D152" s="1" t="s">
        <v>32</v>
      </c>
      <c r="E152" s="35">
        <v>44713</v>
      </c>
      <c r="F152" s="1">
        <v>25808</v>
      </c>
      <c r="G152" s="1">
        <v>967446</v>
      </c>
      <c r="H152" s="3">
        <v>1184</v>
      </c>
      <c r="I152" s="1">
        <v>25</v>
      </c>
      <c r="J152" s="2">
        <v>44738</v>
      </c>
      <c r="K152" s="8">
        <f>(F152/G152)*100</f>
        <v>2.6676424317222875</v>
      </c>
      <c r="L152" s="8">
        <f>(H152/G152)*100</f>
        <v>0.12238409172191524</v>
      </c>
    </row>
    <row r="153" spans="1:12" x14ac:dyDescent="0.3">
      <c r="A153" s="1" t="s">
        <v>171</v>
      </c>
      <c r="B153" s="1" t="s">
        <v>22</v>
      </c>
      <c r="C153" s="1" t="s">
        <v>37</v>
      </c>
      <c r="D153" s="1" t="s">
        <v>16</v>
      </c>
      <c r="E153" s="35">
        <v>44714</v>
      </c>
      <c r="F153" s="1">
        <v>83880</v>
      </c>
      <c r="G153" s="1">
        <v>669320</v>
      </c>
      <c r="H153" s="3">
        <v>568</v>
      </c>
      <c r="I153" s="1">
        <v>9</v>
      </c>
      <c r="J153" s="2">
        <v>44723</v>
      </c>
      <c r="K153" s="8">
        <f>(F153/G153)*100</f>
        <v>12.532122153827766</v>
      </c>
      <c r="L153" s="8">
        <f>(H153/G153)*100</f>
        <v>8.4862248251957206E-2</v>
      </c>
    </row>
    <row r="154" spans="1:12" x14ac:dyDescent="0.3">
      <c r="A154" s="1" t="s">
        <v>172</v>
      </c>
      <c r="B154" s="1" t="s">
        <v>14</v>
      </c>
      <c r="C154" s="1" t="s">
        <v>37</v>
      </c>
      <c r="D154" s="1" t="s">
        <v>12</v>
      </c>
      <c r="E154" s="35">
        <v>44715</v>
      </c>
      <c r="F154" s="1">
        <v>50680</v>
      </c>
      <c r="G154" s="1">
        <v>668727</v>
      </c>
      <c r="H154" s="3">
        <v>405</v>
      </c>
      <c r="I154" s="1">
        <v>8</v>
      </c>
      <c r="J154" s="2">
        <v>44723</v>
      </c>
      <c r="K154" s="8">
        <f>(F154/G154)*100</f>
        <v>7.5785784034441557</v>
      </c>
      <c r="L154" s="8">
        <f>(H154/G154)*100</f>
        <v>6.0562830572116873E-2</v>
      </c>
    </row>
    <row r="155" spans="1:12" x14ac:dyDescent="0.3">
      <c r="A155" s="1" t="s">
        <v>173</v>
      </c>
      <c r="B155" s="1" t="s">
        <v>22</v>
      </c>
      <c r="C155" s="1" t="s">
        <v>11</v>
      </c>
      <c r="D155" s="1" t="s">
        <v>12</v>
      </c>
      <c r="E155" s="35">
        <v>44716</v>
      </c>
      <c r="F155" s="1">
        <v>78141</v>
      </c>
      <c r="G155" s="1">
        <v>221022</v>
      </c>
      <c r="H155" s="3">
        <v>4071</v>
      </c>
      <c r="I155" s="1">
        <v>25</v>
      </c>
      <c r="J155" s="2">
        <v>44741</v>
      </c>
      <c r="K155" s="8">
        <f>(F155/G155)*100</f>
        <v>35.354399109590901</v>
      </c>
      <c r="L155" s="8">
        <f>(H155/G155)*100</f>
        <v>1.8418980915926924</v>
      </c>
    </row>
    <row r="156" spans="1:12" x14ac:dyDescent="0.3">
      <c r="A156" s="1" t="s">
        <v>174</v>
      </c>
      <c r="B156" s="1" t="s">
        <v>14</v>
      </c>
      <c r="C156" s="1" t="s">
        <v>15</v>
      </c>
      <c r="D156" s="1" t="s">
        <v>28</v>
      </c>
      <c r="E156" s="35">
        <v>44717</v>
      </c>
      <c r="F156" s="1">
        <v>11406</v>
      </c>
      <c r="G156" s="1">
        <v>605139</v>
      </c>
      <c r="H156" s="3">
        <v>2970</v>
      </c>
      <c r="I156" s="1">
        <v>21</v>
      </c>
      <c r="J156" s="2">
        <v>44738</v>
      </c>
      <c r="K156" s="8">
        <f>(F156/G156)*100</f>
        <v>1.8848562065905521</v>
      </c>
      <c r="L156" s="8">
        <f>(H156/G156)*100</f>
        <v>0.49079632943836049</v>
      </c>
    </row>
    <row r="157" spans="1:12" x14ac:dyDescent="0.3">
      <c r="A157" s="1" t="s">
        <v>175</v>
      </c>
      <c r="B157" s="1" t="s">
        <v>22</v>
      </c>
      <c r="C157" s="1" t="s">
        <v>18</v>
      </c>
      <c r="D157" s="1" t="s">
        <v>32</v>
      </c>
      <c r="E157" s="35">
        <v>44718</v>
      </c>
      <c r="F157" s="1">
        <v>81723</v>
      </c>
      <c r="G157" s="1">
        <v>37180</v>
      </c>
      <c r="H157" s="3">
        <v>4812</v>
      </c>
      <c r="I157" s="1">
        <v>26</v>
      </c>
      <c r="J157" s="2">
        <v>44744</v>
      </c>
      <c r="K157" s="8">
        <f>(F157/G157)*100</f>
        <v>219.80365788058097</v>
      </c>
      <c r="L157" s="8">
        <f>(H157/G157)*100</f>
        <v>12.942442173211404</v>
      </c>
    </row>
    <row r="158" spans="1:12" x14ac:dyDescent="0.3">
      <c r="A158" s="1" t="s">
        <v>176</v>
      </c>
      <c r="B158" s="1" t="s">
        <v>14</v>
      </c>
      <c r="C158" s="1" t="s">
        <v>15</v>
      </c>
      <c r="D158" s="1" t="s">
        <v>16</v>
      </c>
      <c r="E158" s="35">
        <v>44719</v>
      </c>
      <c r="F158" s="1">
        <v>81229</v>
      </c>
      <c r="G158" s="1">
        <v>27419</v>
      </c>
      <c r="H158" s="3">
        <v>4989</v>
      </c>
      <c r="I158" s="1">
        <v>24</v>
      </c>
      <c r="J158" s="2">
        <v>44743</v>
      </c>
      <c r="K158" s="8">
        <f>(F158/G158)*100</f>
        <v>296.25077501002954</v>
      </c>
      <c r="L158" s="8">
        <f>(H158/G158)*100</f>
        <v>18.195411940625114</v>
      </c>
    </row>
    <row r="159" spans="1:12" x14ac:dyDescent="0.3">
      <c r="A159" s="1" t="s">
        <v>177</v>
      </c>
      <c r="B159" s="1" t="s">
        <v>10</v>
      </c>
      <c r="C159" s="1" t="s">
        <v>18</v>
      </c>
      <c r="D159" s="1" t="s">
        <v>19</v>
      </c>
      <c r="E159" s="35">
        <v>44720</v>
      </c>
      <c r="F159" s="1">
        <v>46995</v>
      </c>
      <c r="G159" s="1">
        <v>170162</v>
      </c>
      <c r="H159" s="3">
        <v>844</v>
      </c>
      <c r="I159" s="1">
        <v>21</v>
      </c>
      <c r="J159" s="2">
        <v>44741</v>
      </c>
      <c r="K159" s="8">
        <f>(F159/G159)*100</f>
        <v>27.617799508703474</v>
      </c>
      <c r="L159" s="8">
        <f>(H159/G159)*100</f>
        <v>0.49599793138303494</v>
      </c>
    </row>
    <row r="160" spans="1:12" x14ac:dyDescent="0.3">
      <c r="A160" s="1" t="s">
        <v>178</v>
      </c>
      <c r="B160" s="1" t="s">
        <v>10</v>
      </c>
      <c r="C160" s="1" t="s">
        <v>30</v>
      </c>
      <c r="D160" s="1" t="s">
        <v>12</v>
      </c>
      <c r="E160" s="35">
        <v>44721</v>
      </c>
      <c r="F160" s="1">
        <v>19889</v>
      </c>
      <c r="G160" s="1">
        <v>558826</v>
      </c>
      <c r="H160" s="3">
        <v>2104</v>
      </c>
      <c r="I160" s="1">
        <v>15</v>
      </c>
      <c r="J160" s="2">
        <v>44736</v>
      </c>
      <c r="K160" s="8">
        <f>(F160/G160)*100</f>
        <v>3.5590684756972655</v>
      </c>
      <c r="L160" s="8">
        <f>(H160/G160)*100</f>
        <v>0.37650359861566929</v>
      </c>
    </row>
    <row r="161" spans="1:12" x14ac:dyDescent="0.3">
      <c r="A161" s="1" t="s">
        <v>179</v>
      </c>
      <c r="B161" s="1" t="s">
        <v>22</v>
      </c>
      <c r="C161" s="1" t="s">
        <v>27</v>
      </c>
      <c r="D161" s="1" t="s">
        <v>16</v>
      </c>
      <c r="E161" s="35">
        <v>44722</v>
      </c>
      <c r="F161" s="1">
        <v>87601</v>
      </c>
      <c r="G161" s="1">
        <v>66153</v>
      </c>
      <c r="H161" s="3">
        <v>2917</v>
      </c>
      <c r="I161" s="1">
        <v>8</v>
      </c>
      <c r="J161" s="2">
        <v>44730</v>
      </c>
      <c r="K161" s="8">
        <f>(F161/G161)*100</f>
        <v>132.42181004640756</v>
      </c>
      <c r="L161" s="8">
        <f>(H161/G161)*100</f>
        <v>4.4094750049128537</v>
      </c>
    </row>
    <row r="162" spans="1:12" x14ac:dyDescent="0.3">
      <c r="A162" s="1" t="s">
        <v>180</v>
      </c>
      <c r="B162" s="1" t="s">
        <v>24</v>
      </c>
      <c r="C162" s="1" t="s">
        <v>11</v>
      </c>
      <c r="D162" s="1" t="s">
        <v>28</v>
      </c>
      <c r="E162" s="35">
        <v>44723</v>
      </c>
      <c r="F162" s="1">
        <v>9299</v>
      </c>
      <c r="G162" s="1">
        <v>854551</v>
      </c>
      <c r="H162" s="3">
        <v>3738</v>
      </c>
      <c r="I162" s="1">
        <v>14</v>
      </c>
      <c r="J162" s="2">
        <v>44737</v>
      </c>
      <c r="K162" s="8">
        <f>(F162/G162)*100</f>
        <v>1.0881737895105148</v>
      </c>
      <c r="L162" s="8">
        <f>(H162/G162)*100</f>
        <v>0.4374226933208199</v>
      </c>
    </row>
    <row r="163" spans="1:12" x14ac:dyDescent="0.3">
      <c r="A163" s="1" t="s">
        <v>181</v>
      </c>
      <c r="B163" s="1" t="s">
        <v>22</v>
      </c>
      <c r="C163" s="1" t="s">
        <v>37</v>
      </c>
      <c r="D163" s="1" t="s">
        <v>28</v>
      </c>
      <c r="E163" s="35">
        <v>44724</v>
      </c>
      <c r="F163" s="1">
        <v>27628</v>
      </c>
      <c r="G163" s="1">
        <v>906738</v>
      </c>
      <c r="H163" s="3">
        <v>4217</v>
      </c>
      <c r="I163" s="1">
        <v>28</v>
      </c>
      <c r="J163" s="2">
        <v>44752</v>
      </c>
      <c r="K163" s="8">
        <f>(F163/G163)*100</f>
        <v>3.046966157809643</v>
      </c>
      <c r="L163" s="8">
        <f>(H163/G163)*100</f>
        <v>0.46507370376007179</v>
      </c>
    </row>
    <row r="164" spans="1:12" x14ac:dyDescent="0.3">
      <c r="A164" s="1" t="s">
        <v>182</v>
      </c>
      <c r="B164" s="1" t="s">
        <v>22</v>
      </c>
      <c r="C164" s="1" t="s">
        <v>18</v>
      </c>
      <c r="D164" s="1" t="s">
        <v>19</v>
      </c>
      <c r="E164" s="35">
        <v>44725</v>
      </c>
      <c r="F164" s="1">
        <v>25558</v>
      </c>
      <c r="G164" s="1">
        <v>382324</v>
      </c>
      <c r="H164" s="3">
        <v>4647</v>
      </c>
      <c r="I164" s="1">
        <v>23</v>
      </c>
      <c r="J164" s="2">
        <v>44748</v>
      </c>
      <c r="K164" s="8">
        <f>(F164/G164)*100</f>
        <v>6.6849059959615404</v>
      </c>
      <c r="L164" s="8">
        <f>(H164/G164)*100</f>
        <v>1.2154612318347791</v>
      </c>
    </row>
    <row r="165" spans="1:12" x14ac:dyDescent="0.3">
      <c r="A165" s="1" t="s">
        <v>183</v>
      </c>
      <c r="B165" s="1" t="s">
        <v>14</v>
      </c>
      <c r="C165" s="1" t="s">
        <v>25</v>
      </c>
      <c r="D165" s="1" t="s">
        <v>16</v>
      </c>
      <c r="E165" s="35">
        <v>44726</v>
      </c>
      <c r="F165" s="1">
        <v>1253</v>
      </c>
      <c r="G165" s="1">
        <v>691130</v>
      </c>
      <c r="H165" s="3">
        <v>3796</v>
      </c>
      <c r="I165" s="1">
        <v>29</v>
      </c>
      <c r="J165" s="2">
        <v>44755</v>
      </c>
      <c r="K165" s="8">
        <f>(F165/G165)*100</f>
        <v>0.18129729573307482</v>
      </c>
      <c r="L165" s="8">
        <f>(H165/G165)*100</f>
        <v>0.54924543862949082</v>
      </c>
    </row>
    <row r="166" spans="1:12" x14ac:dyDescent="0.3">
      <c r="A166" s="1" t="s">
        <v>184</v>
      </c>
      <c r="B166" s="1" t="s">
        <v>22</v>
      </c>
      <c r="C166" s="1" t="s">
        <v>18</v>
      </c>
      <c r="D166" s="1" t="s">
        <v>19</v>
      </c>
      <c r="E166" s="35">
        <v>44727</v>
      </c>
      <c r="F166" s="1">
        <v>82098</v>
      </c>
      <c r="G166" s="1">
        <v>185352</v>
      </c>
      <c r="H166" s="3">
        <v>4941</v>
      </c>
      <c r="I166" s="1">
        <v>10</v>
      </c>
      <c r="J166" s="2">
        <v>44737</v>
      </c>
      <c r="K166" s="8">
        <f>(F166/G166)*100</f>
        <v>44.293020846821186</v>
      </c>
      <c r="L166" s="8">
        <f>(H166/G166)*100</f>
        <v>2.6657387025767187</v>
      </c>
    </row>
    <row r="167" spans="1:12" x14ac:dyDescent="0.3">
      <c r="A167" s="1" t="s">
        <v>185</v>
      </c>
      <c r="B167" s="1" t="s">
        <v>10</v>
      </c>
      <c r="C167" s="1" t="s">
        <v>11</v>
      </c>
      <c r="D167" s="1" t="s">
        <v>12</v>
      </c>
      <c r="E167" s="35">
        <v>44728</v>
      </c>
      <c r="F167" s="1">
        <v>61530</v>
      </c>
      <c r="G167" s="1">
        <v>444357</v>
      </c>
      <c r="H167" s="3">
        <v>290</v>
      </c>
      <c r="I167" s="1">
        <v>18</v>
      </c>
      <c r="J167" s="2">
        <v>44746</v>
      </c>
      <c r="K167" s="8">
        <f>(F167/G167)*100</f>
        <v>13.846974392211667</v>
      </c>
      <c r="L167" s="8">
        <f>(H167/G167)*100</f>
        <v>6.5262840463861271E-2</v>
      </c>
    </row>
    <row r="168" spans="1:12" x14ac:dyDescent="0.3">
      <c r="A168" s="1" t="s">
        <v>186</v>
      </c>
      <c r="B168" s="1" t="s">
        <v>10</v>
      </c>
      <c r="C168" s="1" t="s">
        <v>11</v>
      </c>
      <c r="D168" s="1" t="s">
        <v>12</v>
      </c>
      <c r="E168" s="35">
        <v>44729</v>
      </c>
      <c r="F168" s="1">
        <v>75971</v>
      </c>
      <c r="G168" s="1">
        <v>819661</v>
      </c>
      <c r="H168" s="3">
        <v>1655</v>
      </c>
      <c r="I168" s="1">
        <v>9</v>
      </c>
      <c r="J168" s="2">
        <v>44738</v>
      </c>
      <c r="K168" s="8">
        <f>(F168/G168)*100</f>
        <v>9.2685878674232391</v>
      </c>
      <c r="L168" s="8">
        <f>(H168/G168)*100</f>
        <v>0.20191274197503603</v>
      </c>
    </row>
    <row r="169" spans="1:12" x14ac:dyDescent="0.3">
      <c r="A169" s="1" t="s">
        <v>187</v>
      </c>
      <c r="B169" s="1" t="s">
        <v>22</v>
      </c>
      <c r="C169" s="1" t="s">
        <v>15</v>
      </c>
      <c r="D169" s="1" t="s">
        <v>12</v>
      </c>
      <c r="E169" s="35">
        <v>44730</v>
      </c>
      <c r="F169" s="1">
        <v>34487</v>
      </c>
      <c r="G169" s="1">
        <v>614203</v>
      </c>
      <c r="H169" s="3">
        <v>4115</v>
      </c>
      <c r="I169" s="1">
        <v>26</v>
      </c>
      <c r="J169" s="2">
        <v>44756</v>
      </c>
      <c r="K169" s="8">
        <f>(F169/G169)*100</f>
        <v>5.6149188460492701</v>
      </c>
      <c r="L169" s="8">
        <f>(H169/G169)*100</f>
        <v>0.66997393369944469</v>
      </c>
    </row>
    <row r="170" spans="1:12" x14ac:dyDescent="0.3">
      <c r="A170" s="1" t="s">
        <v>188</v>
      </c>
      <c r="B170" s="1" t="s">
        <v>24</v>
      </c>
      <c r="C170" s="1" t="s">
        <v>30</v>
      </c>
      <c r="D170" s="1" t="s">
        <v>16</v>
      </c>
      <c r="E170" s="35">
        <v>44731</v>
      </c>
      <c r="F170" s="1">
        <v>62164</v>
      </c>
      <c r="G170" s="1">
        <v>465628</v>
      </c>
      <c r="H170" s="3">
        <v>480</v>
      </c>
      <c r="I170" s="1">
        <v>16</v>
      </c>
      <c r="J170" s="2">
        <v>44747</v>
      </c>
      <c r="K170" s="8">
        <f>(F170/G170)*100</f>
        <v>13.350571701014543</v>
      </c>
      <c r="L170" s="8">
        <f>(H170/G170)*100</f>
        <v>0.10308658414012904</v>
      </c>
    </row>
    <row r="171" spans="1:12" x14ac:dyDescent="0.3">
      <c r="A171" s="1" t="s">
        <v>189</v>
      </c>
      <c r="B171" s="1" t="s">
        <v>22</v>
      </c>
      <c r="C171" s="1" t="s">
        <v>11</v>
      </c>
      <c r="D171" s="1" t="s">
        <v>32</v>
      </c>
      <c r="E171" s="35">
        <v>44732</v>
      </c>
      <c r="F171" s="1">
        <v>8820</v>
      </c>
      <c r="G171" s="1">
        <v>55149</v>
      </c>
      <c r="H171" s="3">
        <v>2671</v>
      </c>
      <c r="I171" s="1">
        <v>14</v>
      </c>
      <c r="J171" s="2">
        <v>44746</v>
      </c>
      <c r="K171" s="8">
        <f>(F171/G171)*100</f>
        <v>15.993037045096012</v>
      </c>
      <c r="L171" s="8">
        <f>(H171/G171)*100</f>
        <v>4.8432428511849714</v>
      </c>
    </row>
    <row r="172" spans="1:12" x14ac:dyDescent="0.3">
      <c r="A172" s="1" t="s">
        <v>190</v>
      </c>
      <c r="B172" s="1" t="s">
        <v>14</v>
      </c>
      <c r="C172" s="1" t="s">
        <v>30</v>
      </c>
      <c r="D172" s="1" t="s">
        <v>28</v>
      </c>
      <c r="E172" s="35">
        <v>44733</v>
      </c>
      <c r="F172" s="1">
        <v>92560</v>
      </c>
      <c r="G172" s="1">
        <v>254593</v>
      </c>
      <c r="H172" s="3">
        <v>1218</v>
      </c>
      <c r="I172" s="1">
        <v>24</v>
      </c>
      <c r="J172" s="2">
        <v>44757</v>
      </c>
      <c r="K172" s="8">
        <f>(F172/G172)*100</f>
        <v>36.356066349035522</v>
      </c>
      <c r="L172" s="8">
        <f>(H172/G172)*100</f>
        <v>0.47841063972693676</v>
      </c>
    </row>
    <row r="173" spans="1:12" x14ac:dyDescent="0.3">
      <c r="A173" s="1" t="s">
        <v>191</v>
      </c>
      <c r="B173" s="1" t="s">
        <v>22</v>
      </c>
      <c r="C173" s="1" t="s">
        <v>15</v>
      </c>
      <c r="D173" s="1" t="s">
        <v>32</v>
      </c>
      <c r="E173" s="35">
        <v>44734</v>
      </c>
      <c r="F173" s="1">
        <v>47635</v>
      </c>
      <c r="G173" s="1">
        <v>35767</v>
      </c>
      <c r="H173" s="3">
        <v>3369</v>
      </c>
      <c r="I173" s="1">
        <v>2</v>
      </c>
      <c r="J173" s="2">
        <v>44736</v>
      </c>
      <c r="K173" s="8">
        <f>(F173/G173)*100</f>
        <v>133.18142421785444</v>
      </c>
      <c r="L173" s="8">
        <f>(H173/G173)*100</f>
        <v>9.4192971174546365</v>
      </c>
    </row>
    <row r="174" spans="1:12" x14ac:dyDescent="0.3">
      <c r="A174" s="1" t="s">
        <v>192</v>
      </c>
      <c r="B174" s="1" t="s">
        <v>24</v>
      </c>
      <c r="C174" s="1" t="s">
        <v>27</v>
      </c>
      <c r="D174" s="1" t="s">
        <v>19</v>
      </c>
      <c r="E174" s="35">
        <v>44735</v>
      </c>
      <c r="F174" s="1">
        <v>6604</v>
      </c>
      <c r="G174" s="1">
        <v>218881</v>
      </c>
      <c r="H174" s="3">
        <v>3240</v>
      </c>
      <c r="I174" s="1">
        <v>9</v>
      </c>
      <c r="J174" s="2">
        <v>44744</v>
      </c>
      <c r="K174" s="8">
        <f>(F174/G174)*100</f>
        <v>3.0171645780127103</v>
      </c>
      <c r="L174" s="8">
        <f>(H174/G174)*100</f>
        <v>1.480256395027435</v>
      </c>
    </row>
    <row r="175" spans="1:12" x14ac:dyDescent="0.3">
      <c r="A175" s="1" t="s">
        <v>193</v>
      </c>
      <c r="B175" s="1" t="s">
        <v>22</v>
      </c>
      <c r="C175" s="1" t="s">
        <v>27</v>
      </c>
      <c r="D175" s="1" t="s">
        <v>32</v>
      </c>
      <c r="E175" s="35">
        <v>44736</v>
      </c>
      <c r="F175" s="1">
        <v>56529</v>
      </c>
      <c r="G175" s="1">
        <v>600073</v>
      </c>
      <c r="H175" s="3">
        <v>647</v>
      </c>
      <c r="I175" s="1">
        <v>10</v>
      </c>
      <c r="J175" s="2">
        <v>44746</v>
      </c>
      <c r="K175" s="8">
        <f>(F175/G175)*100</f>
        <v>9.4203538569474041</v>
      </c>
      <c r="L175" s="8">
        <f>(H175/G175)*100</f>
        <v>0.10782021520714978</v>
      </c>
    </row>
    <row r="176" spans="1:12" x14ac:dyDescent="0.3">
      <c r="A176" s="1" t="s">
        <v>194</v>
      </c>
      <c r="B176" s="1" t="s">
        <v>22</v>
      </c>
      <c r="C176" s="1" t="s">
        <v>11</v>
      </c>
      <c r="D176" s="1" t="s">
        <v>16</v>
      </c>
      <c r="E176" s="35">
        <v>44737</v>
      </c>
      <c r="F176" s="1">
        <v>30556</v>
      </c>
      <c r="G176" s="1">
        <v>847073</v>
      </c>
      <c r="H176" s="3">
        <v>354</v>
      </c>
      <c r="I176" s="1">
        <v>26</v>
      </c>
      <c r="J176" s="2">
        <v>44763</v>
      </c>
      <c r="K176" s="8">
        <f>(F176/G176)*100</f>
        <v>3.6072451842993458</v>
      </c>
      <c r="L176" s="8">
        <f>(H176/G176)*100</f>
        <v>4.1790967248395358E-2</v>
      </c>
    </row>
    <row r="177" spans="1:12" x14ac:dyDescent="0.3">
      <c r="A177" s="1" t="s">
        <v>195</v>
      </c>
      <c r="B177" s="1" t="s">
        <v>14</v>
      </c>
      <c r="C177" s="1" t="s">
        <v>30</v>
      </c>
      <c r="D177" s="1" t="s">
        <v>12</v>
      </c>
      <c r="E177" s="35">
        <v>44738</v>
      </c>
      <c r="F177" s="1">
        <v>78424</v>
      </c>
      <c r="G177" s="1">
        <v>787561</v>
      </c>
      <c r="H177" s="3">
        <v>2763</v>
      </c>
      <c r="I177" s="1">
        <v>7</v>
      </c>
      <c r="J177" s="2">
        <v>44745</v>
      </c>
      <c r="K177" s="8">
        <f>(F177/G177)*100</f>
        <v>9.9578318377878041</v>
      </c>
      <c r="L177" s="8">
        <f>(H177/G177)*100</f>
        <v>0.35082996745648909</v>
      </c>
    </row>
    <row r="178" spans="1:12" x14ac:dyDescent="0.3">
      <c r="A178" s="1" t="s">
        <v>196</v>
      </c>
      <c r="B178" s="1" t="s">
        <v>24</v>
      </c>
      <c r="C178" s="1" t="s">
        <v>15</v>
      </c>
      <c r="D178" s="1" t="s">
        <v>32</v>
      </c>
      <c r="E178" s="35">
        <v>44739</v>
      </c>
      <c r="F178" s="1">
        <v>24777</v>
      </c>
      <c r="G178" s="1">
        <v>733699</v>
      </c>
      <c r="H178" s="3">
        <v>530</v>
      </c>
      <c r="I178" s="1">
        <v>19</v>
      </c>
      <c r="J178" s="2">
        <v>44758</v>
      </c>
      <c r="K178" s="8">
        <f>(F178/G178)*100</f>
        <v>3.3769979242168793</v>
      </c>
      <c r="L178" s="8">
        <f>(H178/G178)*100</f>
        <v>7.22367074236165E-2</v>
      </c>
    </row>
    <row r="179" spans="1:12" x14ac:dyDescent="0.3">
      <c r="A179" s="1" t="s">
        <v>197</v>
      </c>
      <c r="B179" s="1" t="s">
        <v>10</v>
      </c>
      <c r="C179" s="1" t="s">
        <v>30</v>
      </c>
      <c r="D179" s="1" t="s">
        <v>32</v>
      </c>
      <c r="E179" s="35">
        <v>44740</v>
      </c>
      <c r="F179" s="1">
        <v>78232</v>
      </c>
      <c r="G179" s="1">
        <v>767977</v>
      </c>
      <c r="H179" s="3">
        <v>4419</v>
      </c>
      <c r="I179" s="1">
        <v>23</v>
      </c>
      <c r="J179" s="2">
        <v>44763</v>
      </c>
      <c r="K179" s="8">
        <f>(F179/G179)*100</f>
        <v>10.18676340567491</v>
      </c>
      <c r="L179" s="8">
        <f>(H179/G179)*100</f>
        <v>0.57540785726655874</v>
      </c>
    </row>
    <row r="180" spans="1:12" x14ac:dyDescent="0.3">
      <c r="A180" s="1" t="s">
        <v>198</v>
      </c>
      <c r="B180" s="1" t="s">
        <v>10</v>
      </c>
      <c r="C180" s="1" t="s">
        <v>30</v>
      </c>
      <c r="D180" s="1" t="s">
        <v>12</v>
      </c>
      <c r="E180" s="35">
        <v>44741</v>
      </c>
      <c r="F180" s="1">
        <v>95296</v>
      </c>
      <c r="G180" s="1">
        <v>990787</v>
      </c>
      <c r="H180" s="3">
        <v>3853</v>
      </c>
      <c r="I180" s="1">
        <v>4</v>
      </c>
      <c r="J180" s="2">
        <v>44745</v>
      </c>
      <c r="K180" s="8">
        <f>(F180/G180)*100</f>
        <v>9.6182125926157678</v>
      </c>
      <c r="L180" s="8">
        <f>(H180/G180)*100</f>
        <v>0.38888277702472884</v>
      </c>
    </row>
    <row r="181" spans="1:12" x14ac:dyDescent="0.3">
      <c r="A181" s="1" t="s">
        <v>199</v>
      </c>
      <c r="B181" s="1" t="s">
        <v>10</v>
      </c>
      <c r="C181" s="1" t="s">
        <v>15</v>
      </c>
      <c r="D181" s="1" t="s">
        <v>16</v>
      </c>
      <c r="E181" s="35">
        <v>44742</v>
      </c>
      <c r="F181" s="1">
        <v>82532</v>
      </c>
      <c r="G181" s="1">
        <v>366404</v>
      </c>
      <c r="H181" s="3">
        <v>3760</v>
      </c>
      <c r="I181" s="1">
        <v>4</v>
      </c>
      <c r="J181" s="2">
        <v>44746</v>
      </c>
      <c r="K181" s="8">
        <f>(F181/G181)*100</f>
        <v>22.524863265684871</v>
      </c>
      <c r="L181" s="8">
        <f>(H181/G181)*100</f>
        <v>1.0261896704184452</v>
      </c>
    </row>
    <row r="182" spans="1:12" x14ac:dyDescent="0.3">
      <c r="A182" s="1" t="s">
        <v>200</v>
      </c>
      <c r="B182" s="1" t="s">
        <v>10</v>
      </c>
      <c r="C182" s="1" t="s">
        <v>18</v>
      </c>
      <c r="D182" s="1" t="s">
        <v>19</v>
      </c>
      <c r="E182" s="35">
        <v>44743</v>
      </c>
      <c r="F182" s="1">
        <v>52056</v>
      </c>
      <c r="G182" s="1">
        <v>775667</v>
      </c>
      <c r="H182" s="3">
        <v>258</v>
      </c>
      <c r="I182" s="1">
        <v>18</v>
      </c>
      <c r="J182" s="2">
        <v>44761</v>
      </c>
      <c r="K182" s="8">
        <f>(F182/G182)*100</f>
        <v>6.7111273265460571</v>
      </c>
      <c r="L182" s="8">
        <f>(H182/G182)*100</f>
        <v>3.326169606287234E-2</v>
      </c>
    </row>
    <row r="183" spans="1:12" x14ac:dyDescent="0.3">
      <c r="A183" s="1" t="s">
        <v>201</v>
      </c>
      <c r="B183" s="1" t="s">
        <v>14</v>
      </c>
      <c r="C183" s="1" t="s">
        <v>11</v>
      </c>
      <c r="D183" s="1" t="s">
        <v>19</v>
      </c>
      <c r="E183" s="35">
        <v>44744</v>
      </c>
      <c r="F183" s="1">
        <v>22279</v>
      </c>
      <c r="G183" s="1">
        <v>437966</v>
      </c>
      <c r="H183" s="3">
        <v>2212</v>
      </c>
      <c r="I183" s="1">
        <v>3</v>
      </c>
      <c r="J183" s="2">
        <v>44747</v>
      </c>
      <c r="K183" s="8">
        <f>(F183/G183)*100</f>
        <v>5.0869245557874354</v>
      </c>
      <c r="L183" s="8">
        <f>(H183/G183)*100</f>
        <v>0.50506203677911066</v>
      </c>
    </row>
    <row r="184" spans="1:12" x14ac:dyDescent="0.3">
      <c r="A184" s="1" t="s">
        <v>202</v>
      </c>
      <c r="B184" s="1" t="s">
        <v>22</v>
      </c>
      <c r="C184" s="1" t="s">
        <v>18</v>
      </c>
      <c r="D184" s="1" t="s">
        <v>16</v>
      </c>
      <c r="E184" s="35">
        <v>44745</v>
      </c>
      <c r="F184" s="1">
        <v>32086</v>
      </c>
      <c r="G184" s="1">
        <v>270006</v>
      </c>
      <c r="H184" s="3">
        <v>209</v>
      </c>
      <c r="I184" s="1">
        <v>7</v>
      </c>
      <c r="J184" s="2">
        <v>44752</v>
      </c>
      <c r="K184" s="8">
        <f>(F184/G184)*100</f>
        <v>11.883439627267542</v>
      </c>
      <c r="L184" s="8">
        <f>(H184/G184)*100</f>
        <v>7.7405687281023386E-2</v>
      </c>
    </row>
    <row r="185" spans="1:12" x14ac:dyDescent="0.3">
      <c r="A185" s="1" t="s">
        <v>203</v>
      </c>
      <c r="B185" s="1" t="s">
        <v>10</v>
      </c>
      <c r="C185" s="1" t="s">
        <v>30</v>
      </c>
      <c r="D185" s="1" t="s">
        <v>16</v>
      </c>
      <c r="E185" s="35">
        <v>44746</v>
      </c>
      <c r="F185" s="1">
        <v>75917</v>
      </c>
      <c r="G185" s="1">
        <v>230305</v>
      </c>
      <c r="H185" s="3">
        <v>764</v>
      </c>
      <c r="I185" s="1">
        <f>Table1[[#This Row],[end_date]]-Table1[[#This Row],[start_date]]</f>
        <v>12</v>
      </c>
      <c r="J185" s="2">
        <v>44758</v>
      </c>
      <c r="K185" s="8">
        <f>(F185/G185)*100</f>
        <v>32.963678600117234</v>
      </c>
      <c r="L185" s="8">
        <f>(H185/G185)*100</f>
        <v>0.33173400490653698</v>
      </c>
    </row>
    <row r="186" spans="1:12" x14ac:dyDescent="0.3">
      <c r="A186" s="1" t="s">
        <v>204</v>
      </c>
      <c r="B186" s="1" t="s">
        <v>14</v>
      </c>
      <c r="C186" s="1" t="s">
        <v>11</v>
      </c>
      <c r="D186" s="1" t="s">
        <v>19</v>
      </c>
      <c r="E186" s="35">
        <v>44747</v>
      </c>
      <c r="F186" s="1">
        <v>10250</v>
      </c>
      <c r="G186" s="1">
        <v>753987</v>
      </c>
      <c r="H186" s="3">
        <v>1999</v>
      </c>
      <c r="I186" s="1">
        <v>15</v>
      </c>
      <c r="J186" s="2">
        <v>44762</v>
      </c>
      <c r="K186" s="8">
        <f>(F186/G186)*100</f>
        <v>1.3594398842420359</v>
      </c>
      <c r="L186" s="8">
        <f>(H186/G186)*100</f>
        <v>0.26512393449754434</v>
      </c>
    </row>
    <row r="187" spans="1:12" x14ac:dyDescent="0.3">
      <c r="A187" s="1" t="s">
        <v>205</v>
      </c>
      <c r="B187" s="1" t="s">
        <v>22</v>
      </c>
      <c r="C187" s="1" t="s">
        <v>11</v>
      </c>
      <c r="D187" s="1" t="s">
        <v>12</v>
      </c>
      <c r="E187" s="35">
        <v>44748</v>
      </c>
      <c r="F187" s="1">
        <v>69109</v>
      </c>
      <c r="G187" s="1">
        <v>555703</v>
      </c>
      <c r="H187" s="3">
        <v>3652</v>
      </c>
      <c r="I187" s="1">
        <v>9</v>
      </c>
      <c r="J187" s="2">
        <v>44757</v>
      </c>
      <c r="K187" s="8">
        <f>(F187/G187)*100</f>
        <v>12.436319400831019</v>
      </c>
      <c r="L187" s="8">
        <f>(H187/G187)*100</f>
        <v>0.65718558294628604</v>
      </c>
    </row>
    <row r="188" spans="1:12" x14ac:dyDescent="0.3">
      <c r="A188" s="1" t="s">
        <v>206</v>
      </c>
      <c r="B188" s="1" t="s">
        <v>22</v>
      </c>
      <c r="C188" s="1" t="s">
        <v>30</v>
      </c>
      <c r="D188" s="1" t="s">
        <v>12</v>
      </c>
      <c r="E188" s="35">
        <v>44749</v>
      </c>
      <c r="F188" s="1">
        <v>48510</v>
      </c>
      <c r="G188" s="1">
        <v>716487</v>
      </c>
      <c r="H188" s="3">
        <v>230</v>
      </c>
      <c r="I188" s="1">
        <v>2</v>
      </c>
      <c r="J188" s="2">
        <v>44751</v>
      </c>
      <c r="K188" s="8">
        <f>(F188/G188)*100</f>
        <v>6.7705345665727359</v>
      </c>
      <c r="L188" s="8">
        <f>(H188/G188)*100</f>
        <v>3.2101070919639853E-2</v>
      </c>
    </row>
    <row r="189" spans="1:12" x14ac:dyDescent="0.3">
      <c r="A189" s="1" t="s">
        <v>207</v>
      </c>
      <c r="B189" s="1" t="s">
        <v>10</v>
      </c>
      <c r="C189" s="1" t="s">
        <v>11</v>
      </c>
      <c r="D189" s="1" t="s">
        <v>16</v>
      </c>
      <c r="E189" s="35">
        <v>44750</v>
      </c>
      <c r="F189" s="1">
        <v>13599</v>
      </c>
      <c r="G189" s="1">
        <v>146277</v>
      </c>
      <c r="H189" s="3">
        <v>4280</v>
      </c>
      <c r="I189" s="1">
        <v>13</v>
      </c>
      <c r="J189" s="2">
        <v>44763</v>
      </c>
      <c r="K189" s="8">
        <f>(F189/G189)*100</f>
        <v>9.296745216267766</v>
      </c>
      <c r="L189" s="8">
        <f>(H189/G189)*100</f>
        <v>2.9259555500864796</v>
      </c>
    </row>
    <row r="190" spans="1:12" x14ac:dyDescent="0.3">
      <c r="A190" s="1" t="s">
        <v>208</v>
      </c>
      <c r="B190" s="1" t="s">
        <v>22</v>
      </c>
      <c r="C190" s="1" t="s">
        <v>18</v>
      </c>
      <c r="D190" s="1" t="s">
        <v>19</v>
      </c>
      <c r="E190" s="35">
        <v>44751</v>
      </c>
      <c r="F190" s="1">
        <v>62433</v>
      </c>
      <c r="G190" s="1">
        <v>622157</v>
      </c>
      <c r="H190" s="3">
        <v>4450</v>
      </c>
      <c r="I190" s="1">
        <v>12</v>
      </c>
      <c r="J190" s="2">
        <v>44763</v>
      </c>
      <c r="K190" s="8">
        <f>(F190/G190)*100</f>
        <v>10.034926875370687</v>
      </c>
      <c r="L190" s="8">
        <f>(H190/G190)*100</f>
        <v>0.71525354532698338</v>
      </c>
    </row>
    <row r="191" spans="1:12" x14ac:dyDescent="0.3">
      <c r="A191" s="1" t="s">
        <v>209</v>
      </c>
      <c r="B191" s="1" t="s">
        <v>24</v>
      </c>
      <c r="C191" s="1" t="s">
        <v>37</v>
      </c>
      <c r="D191" s="1" t="s">
        <v>32</v>
      </c>
      <c r="E191" s="35">
        <v>44752</v>
      </c>
      <c r="F191" s="1">
        <v>34275</v>
      </c>
      <c r="G191" s="1">
        <v>547688</v>
      </c>
      <c r="H191" s="3">
        <v>4438</v>
      </c>
      <c r="I191" s="1">
        <v>9</v>
      </c>
      <c r="J191" s="2">
        <v>44761</v>
      </c>
      <c r="K191" s="8">
        <f>(F191/G191)*100</f>
        <v>6.2581250639049975</v>
      </c>
      <c r="L191" s="8">
        <f>(H191/G191)*100</f>
        <v>0.81031536203093735</v>
      </c>
    </row>
    <row r="192" spans="1:12" x14ac:dyDescent="0.3">
      <c r="A192" s="1" t="s">
        <v>210</v>
      </c>
      <c r="B192" s="1" t="s">
        <v>22</v>
      </c>
      <c r="C192" s="1" t="s">
        <v>18</v>
      </c>
      <c r="D192" s="1" t="s">
        <v>12</v>
      </c>
      <c r="E192" s="35">
        <v>44753</v>
      </c>
      <c r="F192" s="1">
        <v>63346</v>
      </c>
      <c r="G192" s="1">
        <v>517968</v>
      </c>
      <c r="H192" s="3">
        <v>4928</v>
      </c>
      <c r="I192" s="1">
        <v>20</v>
      </c>
      <c r="J192" s="2">
        <v>44773</v>
      </c>
      <c r="K192" s="8">
        <f>(F192/G192)*100</f>
        <v>12.229713032465327</v>
      </c>
      <c r="L192" s="8">
        <f>(H192/G192)*100</f>
        <v>0.9514101257220523</v>
      </c>
    </row>
    <row r="193" spans="1:12" x14ac:dyDescent="0.3">
      <c r="A193" s="1" t="s">
        <v>211</v>
      </c>
      <c r="B193" s="1" t="s">
        <v>22</v>
      </c>
      <c r="C193" s="1" t="s">
        <v>25</v>
      </c>
      <c r="D193" s="1" t="s">
        <v>12</v>
      </c>
      <c r="E193" s="35">
        <v>44754</v>
      </c>
      <c r="F193" s="1">
        <v>68695</v>
      </c>
      <c r="G193" s="1">
        <v>223052</v>
      </c>
      <c r="H193" s="3">
        <v>4613</v>
      </c>
      <c r="I193" s="1">
        <f>Table1[[#This Row],[end_date]]-Table1[[#This Row],[start_date]]</f>
        <v>16</v>
      </c>
      <c r="J193" s="2">
        <v>44770</v>
      </c>
      <c r="K193" s="8">
        <f>(F193/G193)*100</f>
        <v>30.797751197030287</v>
      </c>
      <c r="L193" s="8">
        <f>(H193/G193)*100</f>
        <v>2.0681276114986642</v>
      </c>
    </row>
    <row r="194" spans="1:12" x14ac:dyDescent="0.3">
      <c r="A194" s="1" t="s">
        <v>212</v>
      </c>
      <c r="B194" s="1" t="s">
        <v>10</v>
      </c>
      <c r="C194" s="1" t="s">
        <v>25</v>
      </c>
      <c r="D194" s="1" t="s">
        <v>28</v>
      </c>
      <c r="E194" s="35">
        <v>44755</v>
      </c>
      <c r="F194" s="1">
        <v>88981</v>
      </c>
      <c r="G194" s="1">
        <v>976804</v>
      </c>
      <c r="H194" s="3">
        <v>96</v>
      </c>
      <c r="I194" s="1">
        <f>Table1[[#This Row],[end_date]]-Table1[[#This Row],[start_date]]</f>
        <v>8</v>
      </c>
      <c r="J194" s="2">
        <v>44763</v>
      </c>
      <c r="K194" s="8">
        <f>(F194/G194)*100</f>
        <v>9.1094016814017955</v>
      </c>
      <c r="L194" s="8">
        <f>(H194/G194)*100</f>
        <v>9.8279695824341415E-3</v>
      </c>
    </row>
    <row r="195" spans="1:12" x14ac:dyDescent="0.3">
      <c r="A195" s="1" t="s">
        <v>213</v>
      </c>
      <c r="B195" s="1" t="s">
        <v>22</v>
      </c>
      <c r="C195" s="1" t="s">
        <v>25</v>
      </c>
      <c r="D195" s="1" t="s">
        <v>16</v>
      </c>
      <c r="E195" s="35">
        <v>44756</v>
      </c>
      <c r="F195" s="1">
        <v>54285</v>
      </c>
      <c r="G195" s="1">
        <v>201623</v>
      </c>
      <c r="H195" s="3">
        <v>1317</v>
      </c>
      <c r="I195" s="1">
        <f>Table1[[#This Row],[end_date]]-Table1[[#This Row],[start_date]]</f>
        <v>28</v>
      </c>
      <c r="J195" s="2">
        <v>44784</v>
      </c>
      <c r="K195" s="8">
        <f>(F195/G195)*100</f>
        <v>26.924011645496794</v>
      </c>
      <c r="L195" s="8">
        <f>(H195/G195)*100</f>
        <v>0.65319928777966807</v>
      </c>
    </row>
    <row r="196" spans="1:12" x14ac:dyDescent="0.3">
      <c r="A196" s="1" t="s">
        <v>214</v>
      </c>
      <c r="B196" s="1" t="s">
        <v>22</v>
      </c>
      <c r="C196" s="1" t="s">
        <v>11</v>
      </c>
      <c r="D196" s="1" t="s">
        <v>12</v>
      </c>
      <c r="E196" s="35">
        <v>44757</v>
      </c>
      <c r="F196" s="1">
        <v>18041</v>
      </c>
      <c r="G196" s="1">
        <v>154470</v>
      </c>
      <c r="H196" s="3">
        <v>149</v>
      </c>
      <c r="I196" s="1">
        <f>Table1[[#This Row],[end_date]]-Table1[[#This Row],[start_date]]</f>
        <v>22</v>
      </c>
      <c r="J196" s="2">
        <v>44779</v>
      </c>
      <c r="K196" s="8">
        <f>(F196/G196)*100</f>
        <v>11.679290477115298</v>
      </c>
      <c r="L196" s="8">
        <f>(H196/G196)*100</f>
        <v>9.6458859325435353E-2</v>
      </c>
    </row>
    <row r="197" spans="1:12" x14ac:dyDescent="0.3">
      <c r="A197" s="1" t="s">
        <v>215</v>
      </c>
      <c r="B197" s="1" t="s">
        <v>14</v>
      </c>
      <c r="C197" s="1" t="s">
        <v>11</v>
      </c>
      <c r="D197" s="1" t="s">
        <v>28</v>
      </c>
      <c r="E197" s="35">
        <v>44758</v>
      </c>
      <c r="F197" s="1">
        <v>96145</v>
      </c>
      <c r="G197" s="1">
        <v>397284</v>
      </c>
      <c r="H197" s="3">
        <v>3036</v>
      </c>
      <c r="I197" s="1">
        <v>23</v>
      </c>
      <c r="J197" s="2">
        <v>44781</v>
      </c>
      <c r="K197" s="8">
        <f>(F197/G197)*100</f>
        <v>24.200571883086155</v>
      </c>
      <c r="L197" s="8">
        <f>(H197/G197)*100</f>
        <v>0.76418884223880146</v>
      </c>
    </row>
    <row r="198" spans="1:12" x14ac:dyDescent="0.3">
      <c r="A198" s="1" t="s">
        <v>216</v>
      </c>
      <c r="B198" s="1" t="s">
        <v>10</v>
      </c>
      <c r="C198" s="1" t="s">
        <v>18</v>
      </c>
      <c r="D198" s="1" t="s">
        <v>32</v>
      </c>
      <c r="E198" s="35">
        <v>44759</v>
      </c>
      <c r="F198" s="1">
        <v>6927</v>
      </c>
      <c r="G198" s="1">
        <v>489774</v>
      </c>
      <c r="H198" s="3">
        <v>3374</v>
      </c>
      <c r="I198" s="1">
        <v>24</v>
      </c>
      <c r="J198" s="2">
        <v>44783</v>
      </c>
      <c r="K198" s="8">
        <f>(F198/G198)*100</f>
        <v>1.4143257910791507</v>
      </c>
      <c r="L198" s="8">
        <f>(H198/G198)*100</f>
        <v>0.68888916112329357</v>
      </c>
    </row>
    <row r="199" spans="1:12" x14ac:dyDescent="0.3">
      <c r="A199" s="1" t="s">
        <v>217</v>
      </c>
      <c r="B199" s="1" t="s">
        <v>22</v>
      </c>
      <c r="C199" s="1" t="s">
        <v>30</v>
      </c>
      <c r="D199" s="1" t="s">
        <v>16</v>
      </c>
      <c r="E199" s="35">
        <v>44760</v>
      </c>
      <c r="F199" s="1">
        <v>62545</v>
      </c>
      <c r="G199" s="1">
        <v>794680</v>
      </c>
      <c r="H199" s="3">
        <v>103</v>
      </c>
      <c r="I199" s="1">
        <v>8</v>
      </c>
      <c r="J199" s="2">
        <v>44768</v>
      </c>
      <c r="K199" s="8">
        <f>(F199/G199)*100</f>
        <v>7.8704635828257912</v>
      </c>
      <c r="L199" s="8">
        <f>(H199/G199)*100</f>
        <v>1.296119192630996E-2</v>
      </c>
    </row>
    <row r="200" spans="1:12" x14ac:dyDescent="0.3">
      <c r="A200" s="1" t="s">
        <v>218</v>
      </c>
      <c r="B200" s="1" t="s">
        <v>22</v>
      </c>
      <c r="C200" s="1" t="s">
        <v>18</v>
      </c>
      <c r="D200" s="1" t="s">
        <v>12</v>
      </c>
      <c r="E200" s="35">
        <v>44761</v>
      </c>
      <c r="F200" s="1">
        <v>48106</v>
      </c>
      <c r="G200" s="1">
        <v>783710</v>
      </c>
      <c r="H200" s="3">
        <v>1981</v>
      </c>
      <c r="I200" s="1">
        <v>6</v>
      </c>
      <c r="J200" s="2">
        <v>44767</v>
      </c>
      <c r="K200" s="8">
        <f>(F200/G200)*100</f>
        <v>6.1382399101708538</v>
      </c>
      <c r="L200" s="8">
        <f>(H200/G200)*100</f>
        <v>0.25277207130188467</v>
      </c>
    </row>
    <row r="201" spans="1:12" x14ac:dyDescent="0.3">
      <c r="A201" s="1" t="s">
        <v>219</v>
      </c>
      <c r="B201" s="1" t="s">
        <v>10</v>
      </c>
      <c r="C201" s="1" t="s">
        <v>37</v>
      </c>
      <c r="D201" s="1" t="s">
        <v>12</v>
      </c>
      <c r="E201" s="35">
        <v>44762</v>
      </c>
      <c r="F201" s="1">
        <v>5992</v>
      </c>
      <c r="G201" s="1">
        <v>453153</v>
      </c>
      <c r="H201" s="3">
        <v>2475</v>
      </c>
      <c r="I201" s="1">
        <v>2</v>
      </c>
      <c r="J201" s="2">
        <v>44764</v>
      </c>
      <c r="K201" s="8">
        <f>(F201/G201)*100</f>
        <v>1.3222907053467592</v>
      </c>
      <c r="L201" s="8">
        <f>(H201/G201)*100</f>
        <v>0.54617314681796214</v>
      </c>
    </row>
    <row r="202" spans="1:12" x14ac:dyDescent="0.3">
      <c r="A202" s="1" t="s">
        <v>220</v>
      </c>
      <c r="B202" s="1" t="s">
        <v>24</v>
      </c>
      <c r="C202" s="1" t="s">
        <v>18</v>
      </c>
      <c r="D202" s="1" t="s">
        <v>28</v>
      </c>
      <c r="E202" s="35">
        <v>44763</v>
      </c>
      <c r="F202" s="1">
        <v>94388</v>
      </c>
      <c r="G202" s="1">
        <v>279693</v>
      </c>
      <c r="H202" s="3">
        <v>4094</v>
      </c>
      <c r="I202" s="1">
        <v>21</v>
      </c>
      <c r="J202" s="2">
        <v>44784</v>
      </c>
      <c r="K202" s="8">
        <f>(F202/G202)*100</f>
        <v>33.747001176289722</v>
      </c>
      <c r="L202" s="8">
        <f>(H202/G202)*100</f>
        <v>1.4637477519995137</v>
      </c>
    </row>
    <row r="203" spans="1:12" x14ac:dyDescent="0.3">
      <c r="A203" s="1" t="s">
        <v>221</v>
      </c>
      <c r="B203" s="1" t="s">
        <v>14</v>
      </c>
      <c r="C203" s="1" t="s">
        <v>15</v>
      </c>
      <c r="D203" s="1" t="s">
        <v>16</v>
      </c>
      <c r="E203" s="35">
        <v>44764</v>
      </c>
      <c r="F203" s="1">
        <v>89711</v>
      </c>
      <c r="G203" s="1">
        <v>149206</v>
      </c>
      <c r="H203" s="3">
        <v>2865</v>
      </c>
      <c r="I203" s="1">
        <v>3</v>
      </c>
      <c r="J203" s="2">
        <v>44767</v>
      </c>
      <c r="K203" s="8">
        <f>(F203/G203)*100</f>
        <v>60.125598166293578</v>
      </c>
      <c r="L203" s="8">
        <f>(H203/G203)*100</f>
        <v>1.9201640684690964</v>
      </c>
    </row>
    <row r="204" spans="1:12" x14ac:dyDescent="0.3">
      <c r="A204" s="1" t="s">
        <v>222</v>
      </c>
      <c r="B204" s="1" t="s">
        <v>22</v>
      </c>
      <c r="C204" s="1" t="s">
        <v>30</v>
      </c>
      <c r="D204" s="1" t="s">
        <v>32</v>
      </c>
      <c r="E204" s="35">
        <v>44765</v>
      </c>
      <c r="F204" s="1">
        <v>82752</v>
      </c>
      <c r="G204" s="1">
        <v>556106</v>
      </c>
      <c r="H204" s="3">
        <v>4653</v>
      </c>
      <c r="I204" s="1">
        <v>17</v>
      </c>
      <c r="J204" s="2">
        <v>44782</v>
      </c>
      <c r="K204" s="8">
        <f>(F204/G204)*100</f>
        <v>14.880616285384441</v>
      </c>
      <c r="L204" s="8">
        <f>(H204/G204)*100</f>
        <v>0.83671098675432376</v>
      </c>
    </row>
    <row r="205" spans="1:12" x14ac:dyDescent="0.3">
      <c r="A205" s="1" t="s">
        <v>223</v>
      </c>
      <c r="B205" s="1" t="s">
        <v>22</v>
      </c>
      <c r="C205" s="1" t="s">
        <v>15</v>
      </c>
      <c r="D205" s="1" t="s">
        <v>16</v>
      </c>
      <c r="E205" s="35">
        <v>44766</v>
      </c>
      <c r="F205" s="1">
        <v>62376</v>
      </c>
      <c r="G205" s="1">
        <v>933053</v>
      </c>
      <c r="H205" s="3">
        <v>1495</v>
      </c>
      <c r="I205" s="1">
        <v>7</v>
      </c>
      <c r="J205" s="2">
        <v>44773</v>
      </c>
      <c r="K205" s="8">
        <f>(F205/G205)*100</f>
        <v>6.6851507899336902</v>
      </c>
      <c r="L205" s="8">
        <f>(H205/G205)*100</f>
        <v>0.16022669666139008</v>
      </c>
    </row>
    <row r="206" spans="1:12" x14ac:dyDescent="0.3">
      <c r="A206" s="1" t="s">
        <v>224</v>
      </c>
      <c r="B206" s="1" t="s">
        <v>22</v>
      </c>
      <c r="C206" s="1" t="s">
        <v>25</v>
      </c>
      <c r="D206" s="1" t="s">
        <v>32</v>
      </c>
      <c r="E206" s="35">
        <v>44767</v>
      </c>
      <c r="F206" s="1">
        <v>38880</v>
      </c>
      <c r="G206" s="1">
        <v>209435</v>
      </c>
      <c r="H206" s="3">
        <v>1344</v>
      </c>
      <c r="I206" s="1">
        <v>12</v>
      </c>
      <c r="J206" s="2">
        <v>44779</v>
      </c>
      <c r="K206" s="8">
        <f>(F206/G206)*100</f>
        <v>18.564232339389307</v>
      </c>
      <c r="L206" s="8">
        <f>(H206/G206)*100</f>
        <v>0.64172655000358103</v>
      </c>
    </row>
    <row r="207" spans="1:12" x14ac:dyDescent="0.3">
      <c r="A207" s="1" t="s">
        <v>225</v>
      </c>
      <c r="B207" s="1" t="s">
        <v>22</v>
      </c>
      <c r="C207" s="1" t="s">
        <v>30</v>
      </c>
      <c r="D207" s="1" t="s">
        <v>16</v>
      </c>
      <c r="E207" s="35">
        <v>44768</v>
      </c>
      <c r="F207" s="1">
        <v>41618</v>
      </c>
      <c r="G207" s="1">
        <v>543745</v>
      </c>
      <c r="H207" s="3">
        <v>1439</v>
      </c>
      <c r="I207" s="1">
        <v>20</v>
      </c>
      <c r="J207" s="2">
        <v>44788</v>
      </c>
      <c r="K207" s="8">
        <f>(F207/G207)*100</f>
        <v>7.6539554386707014</v>
      </c>
      <c r="L207" s="8">
        <f>(H207/G207)*100</f>
        <v>0.26464611168838337</v>
      </c>
    </row>
    <row r="208" spans="1:12" x14ac:dyDescent="0.3">
      <c r="A208" s="1" t="s">
        <v>226</v>
      </c>
      <c r="B208" s="1" t="s">
        <v>14</v>
      </c>
      <c r="C208" s="1" t="s">
        <v>15</v>
      </c>
      <c r="D208" s="1" t="s">
        <v>12</v>
      </c>
      <c r="E208" s="35">
        <v>44769</v>
      </c>
      <c r="F208" s="1">
        <v>89985</v>
      </c>
      <c r="G208" s="1">
        <v>396847</v>
      </c>
      <c r="H208" s="3">
        <v>2696</v>
      </c>
      <c r="I208" s="1">
        <v>28</v>
      </c>
      <c r="J208" s="2">
        <v>44797</v>
      </c>
      <c r="K208" s="8">
        <f>(F208/G208)*100</f>
        <v>22.674985573785364</v>
      </c>
      <c r="L208" s="8">
        <f>(H208/G208)*100</f>
        <v>0.67935501591293368</v>
      </c>
    </row>
    <row r="209" spans="1:12" x14ac:dyDescent="0.3">
      <c r="A209" s="1" t="s">
        <v>227</v>
      </c>
      <c r="B209" s="1" t="s">
        <v>22</v>
      </c>
      <c r="C209" s="1" t="s">
        <v>11</v>
      </c>
      <c r="D209" s="1" t="s">
        <v>12</v>
      </c>
      <c r="E209" s="35">
        <v>44770</v>
      </c>
      <c r="F209" s="1">
        <v>67202</v>
      </c>
      <c r="G209" s="1">
        <v>922211</v>
      </c>
      <c r="H209" s="3">
        <v>394</v>
      </c>
      <c r="I209" s="1">
        <v>3</v>
      </c>
      <c r="J209" s="2">
        <v>44773</v>
      </c>
      <c r="K209" s="8">
        <f>(F209/G209)*100</f>
        <v>7.2870525291934278</v>
      </c>
      <c r="L209" s="8">
        <f>(H209/G209)*100</f>
        <v>4.272341145356106E-2</v>
      </c>
    </row>
    <row r="210" spans="1:12" x14ac:dyDescent="0.3">
      <c r="A210" s="1" t="s">
        <v>228</v>
      </c>
      <c r="B210" s="1" t="s">
        <v>14</v>
      </c>
      <c r="C210" s="1" t="s">
        <v>25</v>
      </c>
      <c r="D210" s="1" t="s">
        <v>28</v>
      </c>
      <c r="E210" s="35">
        <v>44771</v>
      </c>
      <c r="F210" s="1">
        <v>18932</v>
      </c>
      <c r="G210" s="1">
        <v>419983</v>
      </c>
      <c r="H210" s="3">
        <v>920</v>
      </c>
      <c r="I210" s="1">
        <v>10</v>
      </c>
      <c r="J210" s="2">
        <v>44781</v>
      </c>
      <c r="K210" s="8">
        <f>(F210/G210)*100</f>
        <v>4.507801506251444</v>
      </c>
      <c r="L210" s="8">
        <f>(H210/G210)*100</f>
        <v>0.21905648561965602</v>
      </c>
    </row>
    <row r="211" spans="1:12" x14ac:dyDescent="0.3">
      <c r="A211" s="1" t="s">
        <v>229</v>
      </c>
      <c r="B211" s="1" t="s">
        <v>14</v>
      </c>
      <c r="C211" s="1" t="s">
        <v>37</v>
      </c>
      <c r="D211" s="1" t="s">
        <v>28</v>
      </c>
      <c r="E211" s="35">
        <v>44772</v>
      </c>
      <c r="F211" s="1">
        <v>59155</v>
      </c>
      <c r="G211" s="1">
        <v>218379</v>
      </c>
      <c r="H211" s="3">
        <v>4827</v>
      </c>
      <c r="I211" s="1">
        <v>18</v>
      </c>
      <c r="J211" s="2">
        <v>44790</v>
      </c>
      <c r="K211" s="8">
        <f>(F211/G211)*100</f>
        <v>27.088227347867701</v>
      </c>
      <c r="L211" s="8">
        <f>(H211/G211)*100</f>
        <v>2.2103773714505515</v>
      </c>
    </row>
    <row r="212" spans="1:12" x14ac:dyDescent="0.3">
      <c r="A212" s="1" t="s">
        <v>230</v>
      </c>
      <c r="B212" s="1" t="s">
        <v>14</v>
      </c>
      <c r="C212" s="1" t="s">
        <v>11</v>
      </c>
      <c r="D212" s="1" t="s">
        <v>16</v>
      </c>
      <c r="E212" s="35">
        <v>44773</v>
      </c>
      <c r="F212" s="1">
        <v>1302</v>
      </c>
      <c r="G212" s="1">
        <v>852761</v>
      </c>
      <c r="H212" s="3">
        <v>4261</v>
      </c>
      <c r="I212" s="1">
        <v>22</v>
      </c>
      <c r="J212" s="2">
        <v>44795</v>
      </c>
      <c r="K212" s="8">
        <f>(F212/G212)*100</f>
        <v>0.15268052830746248</v>
      </c>
      <c r="L212" s="8">
        <f>(H212/G212)*100</f>
        <v>0.49967106844707959</v>
      </c>
    </row>
    <row r="213" spans="1:12" x14ac:dyDescent="0.3">
      <c r="A213" s="1" t="s">
        <v>231</v>
      </c>
      <c r="B213" s="1" t="s">
        <v>22</v>
      </c>
      <c r="C213" s="1" t="s">
        <v>27</v>
      </c>
      <c r="D213" s="1" t="s">
        <v>12</v>
      </c>
      <c r="E213" s="35">
        <v>44774</v>
      </c>
      <c r="F213" s="1">
        <v>36567</v>
      </c>
      <c r="G213" s="1">
        <v>579301</v>
      </c>
      <c r="H213" s="3">
        <v>4015</v>
      </c>
      <c r="I213" s="1">
        <v>26</v>
      </c>
      <c r="J213" s="2">
        <v>44800</v>
      </c>
      <c r="K213" s="8">
        <f>(F213/G213)*100</f>
        <v>6.3122625370921153</v>
      </c>
      <c r="L213" s="8">
        <f>(H213/G213)*100</f>
        <v>0.69307665617701331</v>
      </c>
    </row>
    <row r="214" spans="1:12" x14ac:dyDescent="0.3">
      <c r="A214" s="1" t="s">
        <v>232</v>
      </c>
      <c r="B214" s="1" t="s">
        <v>10</v>
      </c>
      <c r="C214" s="1" t="s">
        <v>25</v>
      </c>
      <c r="D214" s="1" t="s">
        <v>28</v>
      </c>
      <c r="E214" s="35">
        <v>44775</v>
      </c>
      <c r="F214" s="1">
        <v>57100</v>
      </c>
      <c r="G214" s="1">
        <v>897543</v>
      </c>
      <c r="H214" s="3">
        <v>3647</v>
      </c>
      <c r="I214" s="1">
        <v>3</v>
      </c>
      <c r="J214" s="2">
        <v>44778</v>
      </c>
      <c r="K214" s="8">
        <f>(F214/G214)*100</f>
        <v>6.3618121917278616</v>
      </c>
      <c r="L214" s="8">
        <f>(H214/G214)*100</f>
        <v>0.40633150723697919</v>
      </c>
    </row>
    <row r="215" spans="1:12" x14ac:dyDescent="0.3">
      <c r="A215" s="1" t="s">
        <v>233</v>
      </c>
      <c r="B215" s="1" t="s">
        <v>10</v>
      </c>
      <c r="C215" s="1" t="s">
        <v>25</v>
      </c>
      <c r="D215" s="1" t="s">
        <v>32</v>
      </c>
      <c r="E215" s="35">
        <v>44776</v>
      </c>
      <c r="F215" s="1">
        <v>7343</v>
      </c>
      <c r="G215" s="1">
        <v>4028</v>
      </c>
      <c r="H215" s="3">
        <v>3548</v>
      </c>
      <c r="I215" s="1">
        <v>16</v>
      </c>
      <c r="J215" s="2">
        <v>44792</v>
      </c>
      <c r="K215" s="8">
        <f>(F215/G215)*100</f>
        <v>182.29890764647467</v>
      </c>
      <c r="L215" s="8">
        <f>(H215/G215)*100</f>
        <v>88.083416087388272</v>
      </c>
    </row>
    <row r="216" spans="1:12" x14ac:dyDescent="0.3">
      <c r="A216" s="1" t="s">
        <v>1354</v>
      </c>
      <c r="B216" s="1" t="s">
        <v>10</v>
      </c>
      <c r="C216" s="1" t="s">
        <v>30</v>
      </c>
      <c r="D216" s="1" t="s">
        <v>28</v>
      </c>
      <c r="E216" s="35">
        <v>44777</v>
      </c>
      <c r="F216" s="1">
        <v>82229</v>
      </c>
      <c r="G216" s="1">
        <v>214396</v>
      </c>
      <c r="H216" s="3">
        <v>2886</v>
      </c>
      <c r="I216" s="1">
        <v>25</v>
      </c>
      <c r="J216" s="2">
        <v>44802</v>
      </c>
      <c r="K216" s="8">
        <f>(F216/G216)*100</f>
        <v>38.353793914065562</v>
      </c>
      <c r="L216" s="8">
        <f>(H216/G216)*100</f>
        <v>1.3461072034926025</v>
      </c>
    </row>
    <row r="217" spans="1:12" x14ac:dyDescent="0.3">
      <c r="A217" s="1" t="s">
        <v>234</v>
      </c>
      <c r="B217" s="1" t="s">
        <v>22</v>
      </c>
      <c r="C217" s="1" t="s">
        <v>27</v>
      </c>
      <c r="D217" s="1" t="s">
        <v>28</v>
      </c>
      <c r="E217" s="35">
        <v>44778</v>
      </c>
      <c r="F217" s="1">
        <v>26920</v>
      </c>
      <c r="G217" s="1">
        <v>659085</v>
      </c>
      <c r="H217" s="3">
        <v>4329</v>
      </c>
      <c r="I217" s="1">
        <v>6</v>
      </c>
      <c r="J217" s="2">
        <v>44784</v>
      </c>
      <c r="K217" s="8">
        <f>(F217/G217)*100</f>
        <v>4.084450412314041</v>
      </c>
      <c r="L217" s="8">
        <f>(H217/G217)*100</f>
        <v>0.6568196818316302</v>
      </c>
    </row>
    <row r="218" spans="1:12" x14ac:dyDescent="0.3">
      <c r="A218" s="1" t="s">
        <v>235</v>
      </c>
      <c r="B218" s="1" t="s">
        <v>22</v>
      </c>
      <c r="C218" s="1" t="s">
        <v>11</v>
      </c>
      <c r="D218" s="1" t="s">
        <v>12</v>
      </c>
      <c r="E218" s="35">
        <v>44779</v>
      </c>
      <c r="F218" s="1">
        <v>95189</v>
      </c>
      <c r="G218" s="1">
        <v>11130</v>
      </c>
      <c r="H218" s="3">
        <v>2781</v>
      </c>
      <c r="I218" s="1">
        <v>23</v>
      </c>
      <c r="J218" s="2">
        <v>44802</v>
      </c>
      <c r="K218" s="8">
        <f>(F218/G218)*100</f>
        <v>855.24707996406107</v>
      </c>
      <c r="L218" s="8">
        <f>(H218/G218)*100</f>
        <v>24.98652291105121</v>
      </c>
    </row>
    <row r="219" spans="1:12" x14ac:dyDescent="0.3">
      <c r="A219" s="1" t="s">
        <v>236</v>
      </c>
      <c r="B219" s="1" t="s">
        <v>24</v>
      </c>
      <c r="C219" s="1" t="s">
        <v>11</v>
      </c>
      <c r="D219" s="1" t="s">
        <v>19</v>
      </c>
      <c r="E219" s="35">
        <v>44780</v>
      </c>
      <c r="F219" s="1">
        <v>28343</v>
      </c>
      <c r="G219" s="1">
        <v>949727</v>
      </c>
      <c r="H219" s="3">
        <v>3902</v>
      </c>
      <c r="I219" s="1">
        <v>6</v>
      </c>
      <c r="J219" s="2">
        <v>44786</v>
      </c>
      <c r="K219" s="8">
        <f>(F219/G219)*100</f>
        <v>2.9843312867803062</v>
      </c>
      <c r="L219" s="8">
        <f>(H219/G219)*100</f>
        <v>0.41085490883169584</v>
      </c>
    </row>
    <row r="220" spans="1:12" x14ac:dyDescent="0.3">
      <c r="A220" s="1" t="s">
        <v>237</v>
      </c>
      <c r="B220" s="1" t="s">
        <v>22</v>
      </c>
      <c r="C220" s="1" t="s">
        <v>37</v>
      </c>
      <c r="D220" s="1" t="s">
        <v>28</v>
      </c>
      <c r="E220" s="35">
        <v>44781</v>
      </c>
      <c r="F220" s="1">
        <v>34437</v>
      </c>
      <c r="G220" s="1">
        <v>174209</v>
      </c>
      <c r="H220" s="3">
        <v>55</v>
      </c>
      <c r="I220" s="1">
        <v>25</v>
      </c>
      <c r="J220" s="2">
        <v>44806</v>
      </c>
      <c r="K220" s="8">
        <f>(F220/G220)*100</f>
        <v>19.767635426413101</v>
      </c>
      <c r="L220" s="8">
        <f>(H220/G220)*100</f>
        <v>3.1571273585176425E-2</v>
      </c>
    </row>
    <row r="221" spans="1:12" x14ac:dyDescent="0.3">
      <c r="A221" s="1" t="s">
        <v>238</v>
      </c>
      <c r="B221" s="1" t="s">
        <v>22</v>
      </c>
      <c r="C221" s="1" t="s">
        <v>25</v>
      </c>
      <c r="D221" s="1" t="s">
        <v>12</v>
      </c>
      <c r="E221" s="35">
        <v>44782</v>
      </c>
      <c r="F221" s="1">
        <v>32496</v>
      </c>
      <c r="G221" s="1">
        <v>638695</v>
      </c>
      <c r="H221" s="3">
        <v>2391</v>
      </c>
      <c r="I221" s="1">
        <v>24</v>
      </c>
      <c r="J221" s="2">
        <v>44806</v>
      </c>
      <c r="K221" s="8">
        <f>(F221/G221)*100</f>
        <v>5.0878744940855967</v>
      </c>
      <c r="L221" s="8">
        <f>(H221/G221)*100</f>
        <v>0.37435708749872787</v>
      </c>
    </row>
    <row r="222" spans="1:12" x14ac:dyDescent="0.3">
      <c r="A222" s="1" t="s">
        <v>239</v>
      </c>
      <c r="B222" s="1" t="s">
        <v>14</v>
      </c>
      <c r="C222" s="1" t="s">
        <v>15</v>
      </c>
      <c r="D222" s="1" t="s">
        <v>28</v>
      </c>
      <c r="E222" s="35">
        <v>44783</v>
      </c>
      <c r="F222" s="1">
        <v>48668</v>
      </c>
      <c r="G222" s="1">
        <v>426043</v>
      </c>
      <c r="H222" s="3">
        <v>4476</v>
      </c>
      <c r="I222" s="1">
        <v>4</v>
      </c>
      <c r="J222" s="2">
        <v>44787</v>
      </c>
      <c r="K222" s="8">
        <f>(F222/G222)*100</f>
        <v>11.423260093464744</v>
      </c>
      <c r="L222" s="8">
        <f>(H222/G222)*100</f>
        <v>1.0505981790570436</v>
      </c>
    </row>
    <row r="223" spans="1:12" x14ac:dyDescent="0.3">
      <c r="A223" s="1" t="s">
        <v>240</v>
      </c>
      <c r="B223" s="1" t="s">
        <v>14</v>
      </c>
      <c r="C223" s="1" t="s">
        <v>25</v>
      </c>
      <c r="D223" s="1" t="s">
        <v>12</v>
      </c>
      <c r="E223" s="35">
        <v>44784</v>
      </c>
      <c r="F223" s="1">
        <v>75068</v>
      </c>
      <c r="G223" s="1">
        <v>830663</v>
      </c>
      <c r="H223" s="3">
        <v>4820</v>
      </c>
      <c r="I223" s="1">
        <v>17</v>
      </c>
      <c r="J223" s="2">
        <v>44801</v>
      </c>
      <c r="K223" s="8">
        <f>(F223/G223)*100</f>
        <v>9.0371185426580922</v>
      </c>
      <c r="L223" s="8">
        <f>(H223/G223)*100</f>
        <v>0.58025938316742165</v>
      </c>
    </row>
    <row r="224" spans="1:12" x14ac:dyDescent="0.3">
      <c r="A224" s="1" t="s">
        <v>241</v>
      </c>
      <c r="B224" s="1" t="s">
        <v>24</v>
      </c>
      <c r="C224" s="1" t="s">
        <v>25</v>
      </c>
      <c r="D224" s="1" t="s">
        <v>12</v>
      </c>
      <c r="E224" s="35">
        <v>44785</v>
      </c>
      <c r="F224" s="1">
        <v>15947</v>
      </c>
      <c r="G224" s="1">
        <v>732898</v>
      </c>
      <c r="H224" s="3">
        <v>961</v>
      </c>
      <c r="I224" s="1">
        <v>16</v>
      </c>
      <c r="J224" s="2">
        <v>44801</v>
      </c>
      <c r="K224" s="8">
        <f>(F224/G224)*100</f>
        <v>2.1758825921205949</v>
      </c>
      <c r="L224" s="8">
        <f>(H224/G224)*100</f>
        <v>0.13112329410095266</v>
      </c>
    </row>
    <row r="225" spans="1:12" x14ac:dyDescent="0.3">
      <c r="A225" s="1" t="s">
        <v>242</v>
      </c>
      <c r="B225" s="1" t="s">
        <v>22</v>
      </c>
      <c r="C225" s="1" t="s">
        <v>18</v>
      </c>
      <c r="D225" s="1" t="s">
        <v>12</v>
      </c>
      <c r="E225" s="35">
        <v>44786</v>
      </c>
      <c r="F225" s="1">
        <v>78701</v>
      </c>
      <c r="G225" s="1">
        <v>221189</v>
      </c>
      <c r="H225" s="3">
        <v>2648</v>
      </c>
      <c r="I225" s="1">
        <v>18</v>
      </c>
      <c r="J225" s="2">
        <v>44804</v>
      </c>
      <c r="K225" s="8">
        <f>(F225/G225)*100</f>
        <v>35.580883316982309</v>
      </c>
      <c r="L225" s="8">
        <f>(H225/G225)*100</f>
        <v>1.1971662243601626</v>
      </c>
    </row>
    <row r="226" spans="1:12" x14ac:dyDescent="0.3">
      <c r="A226" s="1" t="s">
        <v>243</v>
      </c>
      <c r="B226" s="1" t="s">
        <v>24</v>
      </c>
      <c r="C226" s="1" t="s">
        <v>37</v>
      </c>
      <c r="D226" s="1" t="s">
        <v>16</v>
      </c>
      <c r="E226" s="35">
        <v>44787</v>
      </c>
      <c r="F226" s="1">
        <v>6980</v>
      </c>
      <c r="G226" s="1">
        <v>836224</v>
      </c>
      <c r="H226" s="3">
        <v>1965</v>
      </c>
      <c r="I226" s="1">
        <v>24</v>
      </c>
      <c r="J226" s="2">
        <v>44811</v>
      </c>
      <c r="K226" s="8">
        <f>(F226/G226)*100</f>
        <v>0.83470457676412069</v>
      </c>
      <c r="L226" s="8">
        <f>(H226/G226)*100</f>
        <v>0.23498488443287921</v>
      </c>
    </row>
    <row r="227" spans="1:12" x14ac:dyDescent="0.3">
      <c r="A227" s="1" t="s">
        <v>244</v>
      </c>
      <c r="B227" s="1" t="s">
        <v>22</v>
      </c>
      <c r="C227" s="1" t="s">
        <v>25</v>
      </c>
      <c r="D227" s="1" t="s">
        <v>16</v>
      </c>
      <c r="E227" s="35">
        <v>44788</v>
      </c>
      <c r="F227" s="1">
        <v>4518</v>
      </c>
      <c r="G227" s="1">
        <v>881345</v>
      </c>
      <c r="H227" s="3">
        <v>2310</v>
      </c>
      <c r="I227" s="1">
        <v>7</v>
      </c>
      <c r="J227" s="2">
        <v>44795</v>
      </c>
      <c r="K227" s="8">
        <f>(F227/G227)*100</f>
        <v>0.51262558929817503</v>
      </c>
      <c r="L227" s="8">
        <f>(H227/G227)*100</f>
        <v>0.26209940488684907</v>
      </c>
    </row>
    <row r="228" spans="1:12" x14ac:dyDescent="0.3">
      <c r="A228" s="1" t="s">
        <v>1363</v>
      </c>
      <c r="B228" s="1" t="s">
        <v>14</v>
      </c>
      <c r="C228" s="1" t="s">
        <v>25</v>
      </c>
      <c r="D228" s="1" t="s">
        <v>32</v>
      </c>
      <c r="E228" s="35">
        <v>44789</v>
      </c>
      <c r="F228" s="1">
        <v>19161</v>
      </c>
      <c r="G228" s="1">
        <v>196950</v>
      </c>
      <c r="H228" s="3">
        <v>942</v>
      </c>
      <c r="I228" s="1">
        <v>6</v>
      </c>
      <c r="J228" s="2">
        <v>44795</v>
      </c>
      <c r="K228" s="8">
        <f>(F228/G228)*100</f>
        <v>9.7288651942117284</v>
      </c>
      <c r="L228" s="8">
        <f>(H228/G228)*100</f>
        <v>0.4782939832444783</v>
      </c>
    </row>
    <row r="229" spans="1:12" x14ac:dyDescent="0.3">
      <c r="A229" s="1" t="s">
        <v>245</v>
      </c>
      <c r="B229" s="1" t="s">
        <v>14</v>
      </c>
      <c r="C229" s="1" t="s">
        <v>18</v>
      </c>
      <c r="D229" s="1" t="s">
        <v>19</v>
      </c>
      <c r="E229" s="35">
        <v>44790</v>
      </c>
      <c r="F229" s="1">
        <v>61563</v>
      </c>
      <c r="G229" s="1">
        <v>702309</v>
      </c>
      <c r="H229" s="3">
        <v>109</v>
      </c>
      <c r="I229" s="1">
        <v>26</v>
      </c>
      <c r="J229" s="2">
        <v>44816</v>
      </c>
      <c r="K229" s="8">
        <f>(F229/G229)*100</f>
        <v>8.7657996693763014</v>
      </c>
      <c r="L229" s="8">
        <f>(H229/G229)*100</f>
        <v>1.5520233971086801E-2</v>
      </c>
    </row>
    <row r="230" spans="1:12" x14ac:dyDescent="0.3">
      <c r="A230" s="1" t="s">
        <v>246</v>
      </c>
      <c r="B230" s="1" t="s">
        <v>22</v>
      </c>
      <c r="C230" s="1" t="s">
        <v>11</v>
      </c>
      <c r="D230" s="1" t="s">
        <v>19</v>
      </c>
      <c r="E230" s="35">
        <v>44791</v>
      </c>
      <c r="F230" s="1">
        <v>96938</v>
      </c>
      <c r="G230" s="1">
        <v>792099</v>
      </c>
      <c r="H230" s="3">
        <v>3003</v>
      </c>
      <c r="I230" s="1">
        <v>21</v>
      </c>
      <c r="J230" s="2">
        <v>44812</v>
      </c>
      <c r="K230" s="8">
        <f>(F230/G230)*100</f>
        <v>12.238116700058956</v>
      </c>
      <c r="L230" s="8">
        <f>(H230/G230)*100</f>
        <v>0.37911927675707202</v>
      </c>
    </row>
    <row r="231" spans="1:12" x14ac:dyDescent="0.3">
      <c r="A231" s="1" t="s">
        <v>247</v>
      </c>
      <c r="B231" s="1" t="s">
        <v>22</v>
      </c>
      <c r="C231" s="1" t="s">
        <v>27</v>
      </c>
      <c r="D231" s="1" t="s">
        <v>19</v>
      </c>
      <c r="E231" s="35">
        <v>44792</v>
      </c>
      <c r="F231" s="1">
        <v>9543</v>
      </c>
      <c r="G231" s="1">
        <v>907757</v>
      </c>
      <c r="H231" s="3">
        <v>2349</v>
      </c>
      <c r="I231" s="1">
        <v>17</v>
      </c>
      <c r="J231" s="2">
        <v>44809</v>
      </c>
      <c r="K231" s="8">
        <f>(F231/G231)*100</f>
        <v>1.0512725321864771</v>
      </c>
      <c r="L231" s="8">
        <f>(H231/G231)*100</f>
        <v>0.25876969277020173</v>
      </c>
    </row>
    <row r="232" spans="1:12" x14ac:dyDescent="0.3">
      <c r="A232" s="1" t="s">
        <v>248</v>
      </c>
      <c r="B232" s="1" t="s">
        <v>14</v>
      </c>
      <c r="C232" s="1" t="s">
        <v>25</v>
      </c>
      <c r="D232" s="1" t="s">
        <v>32</v>
      </c>
      <c r="E232" s="35">
        <v>44793</v>
      </c>
      <c r="F232" s="1">
        <v>4240</v>
      </c>
      <c r="G232" s="1">
        <v>471330</v>
      </c>
      <c r="H232" s="3">
        <v>839</v>
      </c>
      <c r="I232" s="1">
        <v>1</v>
      </c>
      <c r="J232" s="2">
        <v>44794</v>
      </c>
      <c r="K232" s="8">
        <f>(F232/G232)*100</f>
        <v>0.89958203381919255</v>
      </c>
      <c r="L232" s="8">
        <f>(H232/G232)*100</f>
        <v>0.17800691659771287</v>
      </c>
    </row>
    <row r="233" spans="1:12" x14ac:dyDescent="0.3">
      <c r="A233" s="1" t="s">
        <v>249</v>
      </c>
      <c r="B233" s="1" t="s">
        <v>24</v>
      </c>
      <c r="C233" s="1" t="s">
        <v>15</v>
      </c>
      <c r="D233" s="1" t="s">
        <v>19</v>
      </c>
      <c r="E233" s="35">
        <v>44794</v>
      </c>
      <c r="F233" s="1">
        <v>24557</v>
      </c>
      <c r="G233" s="1">
        <v>121433</v>
      </c>
      <c r="H233" s="3">
        <v>2265</v>
      </c>
      <c r="I233" s="1">
        <v>7</v>
      </c>
      <c r="J233" s="2">
        <v>44801</v>
      </c>
      <c r="K233" s="8">
        <f>(F233/G233)*100</f>
        <v>20.222674231880955</v>
      </c>
      <c r="L233" s="8">
        <f>(H233/G233)*100</f>
        <v>1.8652260917543007</v>
      </c>
    </row>
    <row r="234" spans="1:12" x14ac:dyDescent="0.3">
      <c r="A234" s="1" t="s">
        <v>250</v>
      </c>
      <c r="B234" s="1" t="s">
        <v>14</v>
      </c>
      <c r="C234" s="1" t="s">
        <v>25</v>
      </c>
      <c r="D234" s="1" t="s">
        <v>16</v>
      </c>
      <c r="E234" s="35">
        <v>44795</v>
      </c>
      <c r="F234" s="1">
        <v>33413</v>
      </c>
      <c r="G234" s="1">
        <v>79106</v>
      </c>
      <c r="H234" s="3">
        <v>3217</v>
      </c>
      <c r="I234" s="1">
        <v>26</v>
      </c>
      <c r="J234" s="2">
        <v>44821</v>
      </c>
      <c r="K234" s="8">
        <f>(F234/G234)*100</f>
        <v>42.23826258438045</v>
      </c>
      <c r="L234" s="8">
        <f>(H234/G234)*100</f>
        <v>4.0666953202032712</v>
      </c>
    </row>
    <row r="235" spans="1:12" x14ac:dyDescent="0.3">
      <c r="A235" s="1" t="s">
        <v>251</v>
      </c>
      <c r="B235" s="1" t="s">
        <v>24</v>
      </c>
      <c r="C235" s="1" t="s">
        <v>11</v>
      </c>
      <c r="D235" s="1" t="s">
        <v>28</v>
      </c>
      <c r="E235" s="35">
        <v>44796</v>
      </c>
      <c r="F235" s="1">
        <v>95021</v>
      </c>
      <c r="G235" s="1">
        <v>679646</v>
      </c>
      <c r="H235" s="3">
        <v>433</v>
      </c>
      <c r="I235" s="1">
        <v>6</v>
      </c>
      <c r="J235" s="2">
        <v>44802</v>
      </c>
      <c r="K235" s="8">
        <f>(F235/G235)*100</f>
        <v>13.980954791170696</v>
      </c>
      <c r="L235" s="8">
        <f>(H235/G235)*100</f>
        <v>6.3709637075771805E-2</v>
      </c>
    </row>
    <row r="236" spans="1:12" x14ac:dyDescent="0.3">
      <c r="A236" s="1" t="s">
        <v>252</v>
      </c>
      <c r="B236" s="1" t="s">
        <v>10</v>
      </c>
      <c r="C236" s="1" t="s">
        <v>18</v>
      </c>
      <c r="D236" s="1" t="s">
        <v>12</v>
      </c>
      <c r="E236" s="35">
        <v>44797</v>
      </c>
      <c r="F236" s="1">
        <v>45545</v>
      </c>
      <c r="G236" s="1">
        <v>613987</v>
      </c>
      <c r="H236" s="3">
        <v>2410</v>
      </c>
      <c r="I236" s="1">
        <v>27</v>
      </c>
      <c r="J236" s="2">
        <v>44824</v>
      </c>
      <c r="K236" s="8">
        <f>(F236/G236)*100</f>
        <v>7.4179094997125343</v>
      </c>
      <c r="L236" s="8">
        <f>(H236/G236)*100</f>
        <v>0.39251645393143503</v>
      </c>
    </row>
    <row r="237" spans="1:12" x14ac:dyDescent="0.3">
      <c r="A237" s="1" t="s">
        <v>253</v>
      </c>
      <c r="B237" s="1" t="s">
        <v>14</v>
      </c>
      <c r="C237" s="1" t="s">
        <v>30</v>
      </c>
      <c r="D237" s="1" t="s">
        <v>32</v>
      </c>
      <c r="E237" s="35">
        <v>44798</v>
      </c>
      <c r="F237" s="1">
        <v>38530</v>
      </c>
      <c r="G237" s="1">
        <v>113172</v>
      </c>
      <c r="H237" s="3">
        <v>2946</v>
      </c>
      <c r="I237" s="1">
        <f>Table1[[#This Row],[end_date]]-Table1[[#This Row],[start_date]]</f>
        <v>10</v>
      </c>
      <c r="J237" s="2">
        <v>44808</v>
      </c>
      <c r="K237" s="8">
        <f>(F237/G237)*100</f>
        <v>34.045523627752452</v>
      </c>
      <c r="L237" s="8">
        <f>(H237/G237)*100</f>
        <v>2.603117378856961</v>
      </c>
    </row>
    <row r="238" spans="1:12" x14ac:dyDescent="0.3">
      <c r="A238" s="1" t="s">
        <v>254</v>
      </c>
      <c r="B238" s="1" t="s">
        <v>10</v>
      </c>
      <c r="C238" s="1" t="s">
        <v>11</v>
      </c>
      <c r="D238" s="1" t="s">
        <v>19</v>
      </c>
      <c r="E238" s="35">
        <v>44799</v>
      </c>
      <c r="F238" s="1">
        <v>18582</v>
      </c>
      <c r="G238" s="1">
        <v>154314</v>
      </c>
      <c r="H238" s="3">
        <v>697</v>
      </c>
      <c r="I238" s="1">
        <v>12</v>
      </c>
      <c r="J238" s="2">
        <v>44811</v>
      </c>
      <c r="K238" s="8">
        <f>(F238/G238)*100</f>
        <v>12.041681247326878</v>
      </c>
      <c r="L238" s="8">
        <f>(H238/G238)*100</f>
        <v>0.45167645190974254</v>
      </c>
    </row>
    <row r="239" spans="1:12" x14ac:dyDescent="0.3">
      <c r="A239" s="1" t="s">
        <v>255</v>
      </c>
      <c r="B239" s="1" t="s">
        <v>22</v>
      </c>
      <c r="C239" s="1" t="s">
        <v>27</v>
      </c>
      <c r="D239" s="1" t="s">
        <v>19</v>
      </c>
      <c r="E239" s="35">
        <v>44800</v>
      </c>
      <c r="F239" s="1">
        <v>92770</v>
      </c>
      <c r="G239" s="1">
        <v>113163</v>
      </c>
      <c r="H239" s="3">
        <v>67</v>
      </c>
      <c r="I239" s="1">
        <v>13</v>
      </c>
      <c r="J239" s="2">
        <v>44813</v>
      </c>
      <c r="K239" s="8">
        <f>(F239/G239)*100</f>
        <v>81.979092106077076</v>
      </c>
      <c r="L239" s="8">
        <f>(H239/G239)*100</f>
        <v>5.9206631142687975E-2</v>
      </c>
    </row>
    <row r="240" spans="1:12" x14ac:dyDescent="0.3">
      <c r="A240" s="1" t="s">
        <v>256</v>
      </c>
      <c r="B240" s="1" t="s">
        <v>22</v>
      </c>
      <c r="C240" s="1" t="s">
        <v>37</v>
      </c>
      <c r="D240" s="1" t="s">
        <v>19</v>
      </c>
      <c r="E240" s="35">
        <v>44801</v>
      </c>
      <c r="F240" s="1">
        <v>93064</v>
      </c>
      <c r="G240" s="1">
        <v>862422</v>
      </c>
      <c r="H240" s="3">
        <v>3473</v>
      </c>
      <c r="I240" s="1">
        <v>21</v>
      </c>
      <c r="J240" s="2">
        <v>44822</v>
      </c>
      <c r="K240" s="8">
        <f>(F240/G240)*100</f>
        <v>10.791004867686585</v>
      </c>
      <c r="L240" s="8">
        <f>(H240/G240)*100</f>
        <v>0.40270308503261742</v>
      </c>
    </row>
    <row r="241" spans="1:12" x14ac:dyDescent="0.3">
      <c r="A241" s="1" t="s">
        <v>257</v>
      </c>
      <c r="B241" s="1" t="s">
        <v>10</v>
      </c>
      <c r="C241" s="1" t="s">
        <v>15</v>
      </c>
      <c r="D241" s="1" t="s">
        <v>32</v>
      </c>
      <c r="E241" s="35">
        <v>44802</v>
      </c>
      <c r="F241" s="1">
        <v>78867</v>
      </c>
      <c r="G241" s="1">
        <v>186665</v>
      </c>
      <c r="H241" s="3">
        <v>4745</v>
      </c>
      <c r="I241" s="1">
        <v>1</v>
      </c>
      <c r="J241" s="2">
        <v>44803</v>
      </c>
      <c r="K241" s="8">
        <f>(F241/G241)*100</f>
        <v>42.25055580853401</v>
      </c>
      <c r="L241" s="8">
        <f>(H241/G241)*100</f>
        <v>2.541986982026625</v>
      </c>
    </row>
    <row r="242" spans="1:12" x14ac:dyDescent="0.3">
      <c r="A242" s="1" t="s">
        <v>258</v>
      </c>
      <c r="B242" s="1" t="s">
        <v>10</v>
      </c>
      <c r="C242" s="1" t="s">
        <v>30</v>
      </c>
      <c r="D242" s="1" t="s">
        <v>16</v>
      </c>
      <c r="E242" s="35">
        <v>44803</v>
      </c>
      <c r="F242" s="1">
        <v>76464</v>
      </c>
      <c r="G242" s="1">
        <v>314841</v>
      </c>
      <c r="H242" s="3">
        <v>3831</v>
      </c>
      <c r="I242" s="1">
        <v>20</v>
      </c>
      <c r="J242" s="2">
        <v>44823</v>
      </c>
      <c r="K242" s="8">
        <f>(F242/G242)*100</f>
        <v>24.286544636816679</v>
      </c>
      <c r="L242" s="8">
        <f>(H242/G242)*100</f>
        <v>1.2168046728348596</v>
      </c>
    </row>
    <row r="243" spans="1:12" x14ac:dyDescent="0.3">
      <c r="A243" s="1" t="s">
        <v>259</v>
      </c>
      <c r="B243" s="1" t="s">
        <v>22</v>
      </c>
      <c r="C243" s="1" t="s">
        <v>37</v>
      </c>
      <c r="D243" s="1" t="s">
        <v>16</v>
      </c>
      <c r="E243" s="35">
        <v>44804</v>
      </c>
      <c r="F243" s="1">
        <v>85886</v>
      </c>
      <c r="G243" s="1">
        <v>917036</v>
      </c>
      <c r="H243" s="3">
        <v>2883</v>
      </c>
      <c r="I243" s="1">
        <v>20</v>
      </c>
      <c r="J243" s="2">
        <v>44824</v>
      </c>
      <c r="K243" s="8">
        <f>(F243/G243)*100</f>
        <v>9.365608329443992</v>
      </c>
      <c r="L243" s="8">
        <f>(H243/G243)*100</f>
        <v>0.31438242337269201</v>
      </c>
    </row>
    <row r="244" spans="1:12" x14ac:dyDescent="0.3">
      <c r="A244" s="1" t="s">
        <v>260</v>
      </c>
      <c r="B244" s="1" t="s">
        <v>14</v>
      </c>
      <c r="C244" s="1" t="s">
        <v>11</v>
      </c>
      <c r="D244" s="1" t="s">
        <v>32</v>
      </c>
      <c r="E244" s="35">
        <v>44805</v>
      </c>
      <c r="F244" s="1">
        <v>46330</v>
      </c>
      <c r="G244" s="1">
        <v>467935</v>
      </c>
      <c r="H244" s="3">
        <v>1213</v>
      </c>
      <c r="I244" s="1">
        <v>13</v>
      </c>
      <c r="J244" s="2">
        <v>44818</v>
      </c>
      <c r="K244" s="8">
        <f>(F244/G244)*100</f>
        <v>9.900947781208929</v>
      </c>
      <c r="L244" s="8">
        <f>(H244/G244)*100</f>
        <v>0.25922403752657952</v>
      </c>
    </row>
    <row r="245" spans="1:12" x14ac:dyDescent="0.3">
      <c r="A245" s="1" t="s">
        <v>261</v>
      </c>
      <c r="B245" s="1" t="s">
        <v>14</v>
      </c>
      <c r="C245" s="1" t="s">
        <v>27</v>
      </c>
      <c r="D245" s="1" t="s">
        <v>28</v>
      </c>
      <c r="E245" s="35">
        <v>44806</v>
      </c>
      <c r="F245" s="1">
        <v>40502</v>
      </c>
      <c r="G245" s="1">
        <v>884245</v>
      </c>
      <c r="H245" s="3">
        <v>2356</v>
      </c>
      <c r="I245" s="1">
        <v>24</v>
      </c>
      <c r="J245" s="2">
        <v>44830</v>
      </c>
      <c r="K245" s="8">
        <f>(F245/G245)*100</f>
        <v>4.5804047520766309</v>
      </c>
      <c r="L245" s="8">
        <f>(H245/G245)*100</f>
        <v>0.26644199288658688</v>
      </c>
    </row>
    <row r="246" spans="1:12" x14ac:dyDescent="0.3">
      <c r="A246" s="1" t="s">
        <v>262</v>
      </c>
      <c r="B246" s="1" t="s">
        <v>10</v>
      </c>
      <c r="C246" s="1" t="s">
        <v>15</v>
      </c>
      <c r="D246" s="1" t="s">
        <v>19</v>
      </c>
      <c r="E246" s="35">
        <v>44807</v>
      </c>
      <c r="F246" s="1">
        <v>191</v>
      </c>
      <c r="G246" s="1">
        <v>197238</v>
      </c>
      <c r="H246" s="3">
        <v>629</v>
      </c>
      <c r="I246" s="1">
        <v>5</v>
      </c>
      <c r="J246" s="2">
        <v>44812</v>
      </c>
      <c r="K246" s="8">
        <f>(F246/G246)*100</f>
        <v>9.683732343666028E-2</v>
      </c>
      <c r="L246" s="8">
        <f>(H246/G246)*100</f>
        <v>0.31890406513957759</v>
      </c>
    </row>
    <row r="247" spans="1:12" x14ac:dyDescent="0.3">
      <c r="A247" s="1" t="s">
        <v>263</v>
      </c>
      <c r="B247" s="1" t="s">
        <v>14</v>
      </c>
      <c r="C247" s="1" t="s">
        <v>18</v>
      </c>
      <c r="D247" s="1" t="s">
        <v>19</v>
      </c>
      <c r="E247" s="35">
        <v>44808</v>
      </c>
      <c r="F247" s="1">
        <v>94677</v>
      </c>
      <c r="G247" s="1">
        <v>758960</v>
      </c>
      <c r="H247" s="3">
        <v>1472</v>
      </c>
      <c r="I247" s="1">
        <v>19</v>
      </c>
      <c r="J247" s="2">
        <v>44827</v>
      </c>
      <c r="K247" s="8">
        <f>(F247/G247)*100</f>
        <v>12.474570464846632</v>
      </c>
      <c r="L247" s="8">
        <f>(H247/G247)*100</f>
        <v>0.19394961526299145</v>
      </c>
    </row>
    <row r="248" spans="1:12" x14ac:dyDescent="0.3">
      <c r="A248" s="1" t="s">
        <v>264</v>
      </c>
      <c r="B248" s="1" t="s">
        <v>14</v>
      </c>
      <c r="C248" s="1" t="s">
        <v>15</v>
      </c>
      <c r="D248" s="1" t="s">
        <v>16</v>
      </c>
      <c r="E248" s="35">
        <v>44809</v>
      </c>
      <c r="F248" s="1">
        <v>68777</v>
      </c>
      <c r="G248" s="1">
        <v>247452</v>
      </c>
      <c r="H248" s="3">
        <v>2629</v>
      </c>
      <c r="I248" s="1">
        <v>7</v>
      </c>
      <c r="J248" s="2">
        <v>44816</v>
      </c>
      <c r="K248" s="8">
        <f>(F248/G248)*100</f>
        <v>27.794077235180964</v>
      </c>
      <c r="L248" s="8">
        <f>(H248/G248)*100</f>
        <v>1.0624282689168001</v>
      </c>
    </row>
    <row r="249" spans="1:12" x14ac:dyDescent="0.3">
      <c r="A249" s="1" t="s">
        <v>265</v>
      </c>
      <c r="B249" s="1" t="s">
        <v>22</v>
      </c>
      <c r="C249" s="1" t="s">
        <v>27</v>
      </c>
      <c r="D249" s="1" t="s">
        <v>28</v>
      </c>
      <c r="E249" s="35">
        <v>44810</v>
      </c>
      <c r="F249" s="1">
        <v>13547</v>
      </c>
      <c r="G249" s="1">
        <v>622216</v>
      </c>
      <c r="H249" s="3">
        <v>4450</v>
      </c>
      <c r="I249" s="1">
        <v>1</v>
      </c>
      <c r="J249" s="2">
        <v>44811</v>
      </c>
      <c r="K249" s="8">
        <f>(F249/G249)*100</f>
        <v>2.177218200753436</v>
      </c>
      <c r="L249" s="8">
        <f>(H249/G249)*100</f>
        <v>0.71518572328580432</v>
      </c>
    </row>
    <row r="250" spans="1:12" x14ac:dyDescent="0.3">
      <c r="A250" s="1" t="s">
        <v>266</v>
      </c>
      <c r="B250" s="1" t="s">
        <v>14</v>
      </c>
      <c r="C250" s="1" t="s">
        <v>25</v>
      </c>
      <c r="D250" s="1" t="s">
        <v>19</v>
      </c>
      <c r="E250" s="35">
        <v>44811</v>
      </c>
      <c r="F250" s="1">
        <v>5466</v>
      </c>
      <c r="G250" s="1">
        <v>203718</v>
      </c>
      <c r="H250" s="3">
        <v>1140</v>
      </c>
      <c r="I250" s="1">
        <v>10</v>
      </c>
      <c r="J250" s="2">
        <v>44821</v>
      </c>
      <c r="K250" s="8">
        <f>(F250/G250)*100</f>
        <v>2.6831207846140255</v>
      </c>
      <c r="L250" s="8">
        <f>(H250/G250)*100</f>
        <v>0.55959709009513148</v>
      </c>
    </row>
    <row r="251" spans="1:12" x14ac:dyDescent="0.3">
      <c r="A251" s="1" t="s">
        <v>267</v>
      </c>
      <c r="B251" s="1" t="s">
        <v>14</v>
      </c>
      <c r="C251" s="1" t="s">
        <v>18</v>
      </c>
      <c r="D251" s="1" t="s">
        <v>19</v>
      </c>
      <c r="E251" s="35">
        <v>44812</v>
      </c>
      <c r="F251" s="1">
        <v>49946</v>
      </c>
      <c r="G251" s="1">
        <v>721736</v>
      </c>
      <c r="H251" s="3">
        <v>3766</v>
      </c>
      <c r="I251" s="1">
        <v>22</v>
      </c>
      <c r="J251" s="2">
        <v>44834</v>
      </c>
      <c r="K251" s="8">
        <f>(F251/G251)*100</f>
        <v>6.9202589312435574</v>
      </c>
      <c r="L251" s="8">
        <f>(H251/G251)*100</f>
        <v>0.5217974439407207</v>
      </c>
    </row>
    <row r="252" spans="1:12" x14ac:dyDescent="0.3">
      <c r="A252" s="1" t="s">
        <v>268</v>
      </c>
      <c r="B252" s="1" t="s">
        <v>10</v>
      </c>
      <c r="C252" s="1" t="s">
        <v>15</v>
      </c>
      <c r="D252" s="1" t="s">
        <v>19</v>
      </c>
      <c r="E252" s="35">
        <v>44813</v>
      </c>
      <c r="F252" s="1">
        <v>35919</v>
      </c>
      <c r="G252" s="1">
        <v>483840</v>
      </c>
      <c r="H252" s="3">
        <v>92</v>
      </c>
      <c r="I252" s="1">
        <v>7</v>
      </c>
      <c r="J252" s="2">
        <v>44820</v>
      </c>
      <c r="K252" s="8">
        <f>(F252/G252)*100</f>
        <v>7.4237351190476195</v>
      </c>
      <c r="L252" s="8">
        <f>(H252/G252)*100</f>
        <v>1.9014550264550265E-2</v>
      </c>
    </row>
    <row r="253" spans="1:12" x14ac:dyDescent="0.3">
      <c r="A253" s="1" t="s">
        <v>269</v>
      </c>
      <c r="B253" s="1" t="s">
        <v>14</v>
      </c>
      <c r="C253" s="1" t="s">
        <v>25</v>
      </c>
      <c r="D253" s="1" t="s">
        <v>16</v>
      </c>
      <c r="E253" s="35">
        <v>44814</v>
      </c>
      <c r="F253" s="1">
        <v>61711</v>
      </c>
      <c r="G253" s="1">
        <v>878166</v>
      </c>
      <c r="H253" s="3">
        <v>4716</v>
      </c>
      <c r="I253" s="1">
        <v>6</v>
      </c>
      <c r="J253" s="2">
        <v>44820</v>
      </c>
      <c r="K253" s="8">
        <f>(F253/G253)*100</f>
        <v>7.0272590831346236</v>
      </c>
      <c r="L253" s="8">
        <f>(H253/G253)*100</f>
        <v>0.53702830672105273</v>
      </c>
    </row>
    <row r="254" spans="1:12" x14ac:dyDescent="0.3">
      <c r="A254" s="1" t="s">
        <v>270</v>
      </c>
      <c r="B254" s="1" t="s">
        <v>22</v>
      </c>
      <c r="C254" s="1" t="s">
        <v>18</v>
      </c>
      <c r="D254" s="1" t="s">
        <v>28</v>
      </c>
      <c r="E254" s="35">
        <v>44815</v>
      </c>
      <c r="F254" s="1">
        <v>35034</v>
      </c>
      <c r="G254" s="1">
        <v>772087</v>
      </c>
      <c r="H254" s="3">
        <v>3334</v>
      </c>
      <c r="I254" s="1">
        <v>2</v>
      </c>
      <c r="J254" s="2">
        <v>44817</v>
      </c>
      <c r="K254" s="8">
        <f>(F254/G254)*100</f>
        <v>4.5375715431033035</v>
      </c>
      <c r="L254" s="8">
        <f>(H254/G254)*100</f>
        <v>0.43181662170195845</v>
      </c>
    </row>
    <row r="255" spans="1:12" x14ac:dyDescent="0.3">
      <c r="A255" s="1" t="s">
        <v>271</v>
      </c>
      <c r="B255" s="1" t="s">
        <v>22</v>
      </c>
      <c r="C255" s="1" t="s">
        <v>37</v>
      </c>
      <c r="D255" s="1" t="s">
        <v>19</v>
      </c>
      <c r="E255" s="35">
        <v>44816</v>
      </c>
      <c r="F255" s="1">
        <v>41915</v>
      </c>
      <c r="G255" s="1">
        <v>539331</v>
      </c>
      <c r="H255" s="3">
        <v>1928</v>
      </c>
      <c r="I255" s="1">
        <v>15</v>
      </c>
      <c r="J255" s="2">
        <v>44831</v>
      </c>
      <c r="K255" s="8">
        <f>(F255/G255)*100</f>
        <v>7.7716652667842192</v>
      </c>
      <c r="L255" s="8">
        <f>(H255/G255)*100</f>
        <v>0.35747991493164682</v>
      </c>
    </row>
    <row r="256" spans="1:12" x14ac:dyDescent="0.3">
      <c r="A256" s="1" t="s">
        <v>272</v>
      </c>
      <c r="B256" s="1" t="s">
        <v>10</v>
      </c>
      <c r="C256" s="1" t="s">
        <v>18</v>
      </c>
      <c r="D256" s="1" t="s">
        <v>19</v>
      </c>
      <c r="E256" s="35">
        <v>44817</v>
      </c>
      <c r="F256" s="1">
        <v>72041</v>
      </c>
      <c r="G256" s="1">
        <v>446014</v>
      </c>
      <c r="H256" s="3">
        <v>4934</v>
      </c>
      <c r="I256" s="1">
        <v>17</v>
      </c>
      <c r="J256" s="2">
        <v>44834</v>
      </c>
      <c r="K256" s="8">
        <f>(F256/G256)*100</f>
        <v>16.152183563744636</v>
      </c>
      <c r="L256" s="8">
        <f>(H256/G256)*100</f>
        <v>1.1062433017797646</v>
      </c>
    </row>
    <row r="257" spans="1:12" x14ac:dyDescent="0.3">
      <c r="A257" s="1" t="s">
        <v>273</v>
      </c>
      <c r="B257" s="1" t="s">
        <v>10</v>
      </c>
      <c r="C257" s="1" t="s">
        <v>18</v>
      </c>
      <c r="D257" s="1" t="s">
        <v>28</v>
      </c>
      <c r="E257" s="35">
        <v>44818</v>
      </c>
      <c r="F257" s="1">
        <v>57747</v>
      </c>
      <c r="G257" s="1">
        <v>517697</v>
      </c>
      <c r="H257" s="3">
        <v>3517</v>
      </c>
      <c r="I257" s="1">
        <v>29</v>
      </c>
      <c r="J257" s="2">
        <v>44847</v>
      </c>
      <c r="K257" s="8">
        <f>(F257/G257)*100</f>
        <v>11.154594289710005</v>
      </c>
      <c r="L257" s="8">
        <f>(H257/G257)*100</f>
        <v>0.67935491223630806</v>
      </c>
    </row>
    <row r="258" spans="1:12" x14ac:dyDescent="0.3">
      <c r="A258" s="1" t="s">
        <v>274</v>
      </c>
      <c r="B258" s="1" t="s">
        <v>22</v>
      </c>
      <c r="C258" s="1" t="s">
        <v>30</v>
      </c>
      <c r="D258" s="1" t="s">
        <v>32</v>
      </c>
      <c r="E258" s="35">
        <v>44819</v>
      </c>
      <c r="F258" s="1">
        <v>13732</v>
      </c>
      <c r="G258" s="1">
        <v>95555</v>
      </c>
      <c r="H258" s="3">
        <v>4106</v>
      </c>
      <c r="I258" s="1">
        <v>12</v>
      </c>
      <c r="J258" s="2">
        <v>44831</v>
      </c>
      <c r="K258" s="8">
        <f>(F258/G258)*100</f>
        <v>14.370781225472239</v>
      </c>
      <c r="L258" s="8">
        <f>(H258/G258)*100</f>
        <v>4.2970017267542255</v>
      </c>
    </row>
    <row r="259" spans="1:12" x14ac:dyDescent="0.3">
      <c r="A259" s="1" t="s">
        <v>275</v>
      </c>
      <c r="B259" s="1" t="s">
        <v>22</v>
      </c>
      <c r="C259" s="1" t="s">
        <v>18</v>
      </c>
      <c r="D259" s="1" t="s">
        <v>28</v>
      </c>
      <c r="E259" s="35">
        <v>44820</v>
      </c>
      <c r="F259" s="1">
        <v>40531</v>
      </c>
      <c r="G259" s="1">
        <v>939775</v>
      </c>
      <c r="H259" s="3">
        <v>408</v>
      </c>
      <c r="I259" s="1">
        <v>27</v>
      </c>
      <c r="J259" s="2">
        <v>44847</v>
      </c>
      <c r="K259" s="8">
        <f>(F259/G259)*100</f>
        <v>4.3128408395626616</v>
      </c>
      <c r="L259" s="8">
        <f>(H259/G259)*100</f>
        <v>4.3414647122981563E-2</v>
      </c>
    </row>
    <row r="260" spans="1:12" x14ac:dyDescent="0.3">
      <c r="A260" s="1" t="s">
        <v>276</v>
      </c>
      <c r="B260" s="1" t="s">
        <v>14</v>
      </c>
      <c r="C260" s="1" t="s">
        <v>18</v>
      </c>
      <c r="D260" s="1" t="s">
        <v>16</v>
      </c>
      <c r="E260" s="35">
        <v>44821</v>
      </c>
      <c r="F260" s="1">
        <v>90828</v>
      </c>
      <c r="G260" s="1">
        <v>381955</v>
      </c>
      <c r="H260" s="3">
        <v>1474</v>
      </c>
      <c r="I260" s="1">
        <v>6</v>
      </c>
      <c r="J260" s="2">
        <v>44827</v>
      </c>
      <c r="K260" s="8">
        <f>(F260/G260)*100</f>
        <v>23.779764631959264</v>
      </c>
      <c r="L260" s="8">
        <f>(H260/G260)*100</f>
        <v>0.38590933486929091</v>
      </c>
    </row>
    <row r="261" spans="1:12" x14ac:dyDescent="0.3">
      <c r="A261" s="1" t="s">
        <v>277</v>
      </c>
      <c r="B261" s="1" t="s">
        <v>22</v>
      </c>
      <c r="C261" s="1" t="s">
        <v>30</v>
      </c>
      <c r="D261" s="1" t="s">
        <v>32</v>
      </c>
      <c r="E261" s="35">
        <v>44822</v>
      </c>
      <c r="F261" s="1">
        <v>23335</v>
      </c>
      <c r="G261" s="1">
        <v>116757</v>
      </c>
      <c r="H261" s="3">
        <v>2532</v>
      </c>
      <c r="I261" s="1">
        <v>10</v>
      </c>
      <c r="J261" s="2">
        <v>44832</v>
      </c>
      <c r="K261" s="8">
        <f>(F261/G261)*100</f>
        <v>19.98595373296676</v>
      </c>
      <c r="L261" s="8">
        <f>(H261/G261)*100</f>
        <v>2.1686065931807086</v>
      </c>
    </row>
    <row r="262" spans="1:12" x14ac:dyDescent="0.3">
      <c r="A262" s="1" t="s">
        <v>278</v>
      </c>
      <c r="B262" s="1" t="s">
        <v>10</v>
      </c>
      <c r="C262" s="1" t="s">
        <v>27</v>
      </c>
      <c r="D262" s="1" t="s">
        <v>19</v>
      </c>
      <c r="E262" s="35">
        <v>44823</v>
      </c>
      <c r="F262" s="1">
        <v>47791</v>
      </c>
      <c r="G262" s="1">
        <v>215462</v>
      </c>
      <c r="H262" s="3">
        <v>3474</v>
      </c>
      <c r="I262" s="1">
        <f>Table1[[#This Row],[end_date]]-Table1[[#This Row],[start_date]]</f>
        <v>3</v>
      </c>
      <c r="J262" s="2">
        <v>44826</v>
      </c>
      <c r="K262" s="8">
        <f>(F262/G262)*100</f>
        <v>22.180709359423005</v>
      </c>
      <c r="L262" s="8">
        <f>(H262/G262)*100</f>
        <v>1.6123492773667747</v>
      </c>
    </row>
    <row r="263" spans="1:12" x14ac:dyDescent="0.3">
      <c r="A263" s="1" t="s">
        <v>279</v>
      </c>
      <c r="B263" s="1" t="s">
        <v>22</v>
      </c>
      <c r="C263" s="1" t="s">
        <v>11</v>
      </c>
      <c r="D263" s="1" t="s">
        <v>28</v>
      </c>
      <c r="E263" s="35">
        <v>44824</v>
      </c>
      <c r="F263" s="1">
        <v>6054</v>
      </c>
      <c r="G263" s="1">
        <v>974255</v>
      </c>
      <c r="H263" s="3">
        <v>2372</v>
      </c>
      <c r="I263" s="1">
        <f>Table1[[#This Row],[end_date]]-Table1[[#This Row],[start_date]]</f>
        <v>17</v>
      </c>
      <c r="J263" s="2">
        <v>44841</v>
      </c>
      <c r="K263" s="8">
        <f>(F263/G263)*100</f>
        <v>0.62139788864311707</v>
      </c>
      <c r="L263" s="8">
        <f>(H263/G263)*100</f>
        <v>0.24346808587074226</v>
      </c>
    </row>
    <row r="264" spans="1:12" x14ac:dyDescent="0.3">
      <c r="A264" s="1" t="s">
        <v>280</v>
      </c>
      <c r="B264" s="1" t="s">
        <v>22</v>
      </c>
      <c r="C264" s="1" t="s">
        <v>27</v>
      </c>
      <c r="D264" s="1" t="s">
        <v>19</v>
      </c>
      <c r="E264" s="35">
        <v>44825</v>
      </c>
      <c r="F264" s="1">
        <v>39928</v>
      </c>
      <c r="G264" s="1">
        <v>200883</v>
      </c>
      <c r="H264" s="3">
        <v>1485</v>
      </c>
      <c r="I264" s="1">
        <f>Table1[[#This Row],[end_date]]-Table1[[#This Row],[start_date]]</f>
        <v>17</v>
      </c>
      <c r="J264" s="2">
        <v>44842</v>
      </c>
      <c r="K264" s="8">
        <f>(F264/G264)*100</f>
        <v>19.876246372266444</v>
      </c>
      <c r="L264" s="8">
        <f>(H264/G264)*100</f>
        <v>0.73923627185973928</v>
      </c>
    </row>
    <row r="265" spans="1:12" x14ac:dyDescent="0.3">
      <c r="A265" s="1" t="s">
        <v>281</v>
      </c>
      <c r="B265" s="1" t="s">
        <v>24</v>
      </c>
      <c r="C265" s="1" t="s">
        <v>11</v>
      </c>
      <c r="D265" s="1" t="s">
        <v>16</v>
      </c>
      <c r="E265" s="35">
        <v>44826</v>
      </c>
      <c r="F265" s="1">
        <v>6605</v>
      </c>
      <c r="G265" s="1">
        <v>116332</v>
      </c>
      <c r="H265" s="3">
        <v>4646</v>
      </c>
      <c r="I265" s="1">
        <f>Table1[[#This Row],[end_date]]-Table1[[#This Row],[start_date]]</f>
        <v>2</v>
      </c>
      <c r="J265" s="2">
        <v>44828</v>
      </c>
      <c r="K265" s="8">
        <f>(F265/G265)*100</f>
        <v>5.6777155039026237</v>
      </c>
      <c r="L265" s="8">
        <f>(H265/G265)*100</f>
        <v>3.9937420486194681</v>
      </c>
    </row>
    <row r="266" spans="1:12" x14ac:dyDescent="0.3">
      <c r="A266" s="1" t="s">
        <v>282</v>
      </c>
      <c r="B266" s="1" t="s">
        <v>22</v>
      </c>
      <c r="C266" s="1" t="s">
        <v>27</v>
      </c>
      <c r="D266" s="1" t="s">
        <v>16</v>
      </c>
      <c r="E266" s="35">
        <v>44827</v>
      </c>
      <c r="F266" s="1">
        <v>12032</v>
      </c>
      <c r="G266" s="1">
        <v>9581</v>
      </c>
      <c r="H266" s="3">
        <v>427</v>
      </c>
      <c r="I266" s="1">
        <f>Table1[[#This Row],[end_date]]-Table1[[#This Row],[start_date]]</f>
        <v>20</v>
      </c>
      <c r="J266" s="2">
        <v>44847</v>
      </c>
      <c r="K266" s="8">
        <f>(F266/G266)*100</f>
        <v>125.5818808057614</v>
      </c>
      <c r="L266" s="8">
        <f>(H266/G266)*100</f>
        <v>4.4567372925581878</v>
      </c>
    </row>
    <row r="267" spans="1:12" x14ac:dyDescent="0.3">
      <c r="A267" s="1" t="s">
        <v>283</v>
      </c>
      <c r="B267" s="1" t="s">
        <v>22</v>
      </c>
      <c r="C267" s="1" t="s">
        <v>25</v>
      </c>
      <c r="D267" s="1" t="s">
        <v>16</v>
      </c>
      <c r="E267" s="35">
        <v>44828</v>
      </c>
      <c r="F267" s="1">
        <v>18373</v>
      </c>
      <c r="G267" s="1">
        <v>239106</v>
      </c>
      <c r="H267" s="3">
        <v>2873</v>
      </c>
      <c r="I267" s="1">
        <f>Table1[[#This Row],[end_date]]-Table1[[#This Row],[start_date]]</f>
        <v>18</v>
      </c>
      <c r="J267" s="2">
        <v>44846</v>
      </c>
      <c r="K267" s="8">
        <f>(F267/G267)*100</f>
        <v>7.6840397146035651</v>
      </c>
      <c r="L267" s="8">
        <f>(H267/G267)*100</f>
        <v>1.2015591411340576</v>
      </c>
    </row>
    <row r="268" spans="1:12" x14ac:dyDescent="0.3">
      <c r="A268" s="1" t="s">
        <v>284</v>
      </c>
      <c r="B268" s="1" t="s">
        <v>22</v>
      </c>
      <c r="C268" s="1" t="s">
        <v>30</v>
      </c>
      <c r="D268" s="1" t="s">
        <v>19</v>
      </c>
      <c r="E268" s="35">
        <v>44829</v>
      </c>
      <c r="F268" s="1">
        <v>84425</v>
      </c>
      <c r="G268" s="1">
        <v>986392</v>
      </c>
      <c r="H268" s="3">
        <v>4107</v>
      </c>
      <c r="I268" s="1">
        <f>Table1[[#This Row],[end_date]]-Table1[[#This Row],[start_date]]</f>
        <v>17</v>
      </c>
      <c r="J268" s="2">
        <v>44846</v>
      </c>
      <c r="K268" s="8">
        <f>(F268/G268)*100</f>
        <v>8.5589704701579095</v>
      </c>
      <c r="L268" s="8">
        <f>(H268/G268)*100</f>
        <v>0.41636590726607681</v>
      </c>
    </row>
    <row r="269" spans="1:12" x14ac:dyDescent="0.3">
      <c r="A269" s="1" t="s">
        <v>285</v>
      </c>
      <c r="B269" s="1" t="s">
        <v>22</v>
      </c>
      <c r="C269" s="1" t="s">
        <v>25</v>
      </c>
      <c r="D269" s="1" t="s">
        <v>32</v>
      </c>
      <c r="E269" s="35">
        <v>44830</v>
      </c>
      <c r="F269" s="1">
        <v>86451</v>
      </c>
      <c r="G269" s="1">
        <v>701091</v>
      </c>
      <c r="H269" s="3">
        <v>1310</v>
      </c>
      <c r="I269" s="1">
        <f>Table1[[#This Row],[end_date]]-Table1[[#This Row],[start_date]]</f>
        <v>28</v>
      </c>
      <c r="J269" s="2">
        <v>44858</v>
      </c>
      <c r="K269" s="8">
        <f>(F269/G269)*100</f>
        <v>12.330924230948622</v>
      </c>
      <c r="L269" s="8">
        <f>(H269/G269)*100</f>
        <v>0.18685163552235015</v>
      </c>
    </row>
    <row r="270" spans="1:12" x14ac:dyDescent="0.3">
      <c r="A270" s="1" t="s">
        <v>286</v>
      </c>
      <c r="B270" s="1" t="s">
        <v>22</v>
      </c>
      <c r="C270" s="1" t="s">
        <v>15</v>
      </c>
      <c r="D270" s="1" t="s">
        <v>16</v>
      </c>
      <c r="E270" s="35">
        <v>44831</v>
      </c>
      <c r="F270" s="1">
        <v>50461</v>
      </c>
      <c r="G270" s="1">
        <v>471815</v>
      </c>
      <c r="H270" s="3">
        <v>650</v>
      </c>
      <c r="I270" s="1">
        <f>Table1[[#This Row],[end_date]]-Table1[[#This Row],[start_date]]</f>
        <v>20</v>
      </c>
      <c r="J270" s="2">
        <v>44851</v>
      </c>
      <c r="K270" s="8">
        <f>(F270/G270)*100</f>
        <v>10.695081758740184</v>
      </c>
      <c r="L270" s="8">
        <f>(H270/G270)*100</f>
        <v>0.1377658616194907</v>
      </c>
    </row>
    <row r="271" spans="1:12" x14ac:dyDescent="0.3">
      <c r="A271" s="1" t="s">
        <v>287</v>
      </c>
      <c r="B271" s="1" t="s">
        <v>22</v>
      </c>
      <c r="C271" s="1" t="s">
        <v>18</v>
      </c>
      <c r="D271" s="1" t="s">
        <v>32</v>
      </c>
      <c r="E271" s="35">
        <v>44832</v>
      </c>
      <c r="F271" s="1">
        <v>20275</v>
      </c>
      <c r="G271" s="1">
        <v>422813</v>
      </c>
      <c r="H271" s="3">
        <v>4622</v>
      </c>
      <c r="I271" s="1">
        <f>Table1[[#This Row],[end_date]]-Table1[[#This Row],[start_date]]</f>
        <v>19</v>
      </c>
      <c r="J271" s="2">
        <v>44851</v>
      </c>
      <c r="K271" s="8">
        <f>(F271/G271)*100</f>
        <v>4.7952641002050553</v>
      </c>
      <c r="L271" s="8">
        <f>(H271/G271)*100</f>
        <v>1.0931546570233177</v>
      </c>
    </row>
    <row r="272" spans="1:12" x14ac:dyDescent="0.3">
      <c r="A272" s="1" t="s">
        <v>288</v>
      </c>
      <c r="B272" s="1" t="s">
        <v>22</v>
      </c>
      <c r="C272" s="1" t="s">
        <v>18</v>
      </c>
      <c r="D272" s="1" t="s">
        <v>16</v>
      </c>
      <c r="E272" s="35">
        <v>44833</v>
      </c>
      <c r="F272" s="1">
        <v>43738</v>
      </c>
      <c r="G272" s="1">
        <v>806430</v>
      </c>
      <c r="H272" s="3">
        <v>4982</v>
      </c>
      <c r="I272" s="1">
        <f>Table1[[#This Row],[end_date]]-Table1[[#This Row],[start_date]]</f>
        <v>29</v>
      </c>
      <c r="J272" s="2">
        <v>44862</v>
      </c>
      <c r="K272" s="8">
        <f>(F272/G272)*100</f>
        <v>5.423657354017088</v>
      </c>
      <c r="L272" s="8">
        <f>(H272/G272)*100</f>
        <v>0.61778455662611753</v>
      </c>
    </row>
    <row r="273" spans="1:12" x14ac:dyDescent="0.3">
      <c r="A273" s="1" t="s">
        <v>289</v>
      </c>
      <c r="B273" s="1" t="s">
        <v>22</v>
      </c>
      <c r="C273" s="1" t="s">
        <v>18</v>
      </c>
      <c r="D273" s="1" t="s">
        <v>32</v>
      </c>
      <c r="E273" s="35">
        <v>44834</v>
      </c>
      <c r="F273" s="1">
        <v>27206</v>
      </c>
      <c r="G273" s="1">
        <v>426648</v>
      </c>
      <c r="H273" s="3">
        <v>2540</v>
      </c>
      <c r="I273" s="1">
        <v>28</v>
      </c>
      <c r="J273" s="2">
        <v>44862</v>
      </c>
      <c r="K273" s="8">
        <f>(F273/G273)*100</f>
        <v>6.3766852299788113</v>
      </c>
      <c r="L273" s="8">
        <f>(H273/G273)*100</f>
        <v>0.59533854606139014</v>
      </c>
    </row>
    <row r="274" spans="1:12" x14ac:dyDescent="0.3">
      <c r="A274" s="1" t="s">
        <v>290</v>
      </c>
      <c r="B274" s="1" t="s">
        <v>14</v>
      </c>
      <c r="C274" s="1" t="s">
        <v>30</v>
      </c>
      <c r="D274" s="1" t="s">
        <v>16</v>
      </c>
      <c r="E274" s="35">
        <v>44835</v>
      </c>
      <c r="F274" s="1">
        <v>19146</v>
      </c>
      <c r="G274" s="1">
        <v>799449</v>
      </c>
      <c r="H274" s="3">
        <v>1138</v>
      </c>
      <c r="I274" s="1">
        <v>23</v>
      </c>
      <c r="J274" s="2">
        <v>44858</v>
      </c>
      <c r="K274" s="8">
        <f>(F274/G274)*100</f>
        <v>2.3948994870216862</v>
      </c>
      <c r="L274" s="8">
        <f>(H274/G274)*100</f>
        <v>0.14234804221407493</v>
      </c>
    </row>
    <row r="275" spans="1:12" x14ac:dyDescent="0.3">
      <c r="A275" s="1" t="s">
        <v>291</v>
      </c>
      <c r="B275" s="1" t="s">
        <v>14</v>
      </c>
      <c r="C275" s="1" t="s">
        <v>11</v>
      </c>
      <c r="D275" s="1" t="s">
        <v>16</v>
      </c>
      <c r="E275" s="35">
        <v>44836</v>
      </c>
      <c r="F275" s="1">
        <v>87235</v>
      </c>
      <c r="G275" s="1">
        <v>901370</v>
      </c>
      <c r="H275" s="3">
        <v>2181</v>
      </c>
      <c r="I275" s="1">
        <v>28</v>
      </c>
      <c r="J275" s="2">
        <v>44864</v>
      </c>
      <c r="K275" s="8">
        <f>(F275/G275)*100</f>
        <v>9.6780456416344016</v>
      </c>
      <c r="L275" s="8">
        <f>(H275/G275)*100</f>
        <v>0.24196500881990746</v>
      </c>
    </row>
    <row r="276" spans="1:12" x14ac:dyDescent="0.3">
      <c r="A276" s="1" t="s">
        <v>292</v>
      </c>
      <c r="B276" s="1" t="s">
        <v>22</v>
      </c>
      <c r="C276" s="1" t="s">
        <v>37</v>
      </c>
      <c r="D276" s="1" t="s">
        <v>12</v>
      </c>
      <c r="E276" s="35">
        <v>44837</v>
      </c>
      <c r="F276" s="1">
        <v>61675</v>
      </c>
      <c r="G276" s="1">
        <v>598723</v>
      </c>
      <c r="H276" s="3">
        <v>1405</v>
      </c>
      <c r="I276" s="1">
        <v>17</v>
      </c>
      <c r="J276" s="2">
        <v>44854</v>
      </c>
      <c r="K276" s="8">
        <f>(F276/G276)*100</f>
        <v>10.301090821632041</v>
      </c>
      <c r="L276" s="8">
        <f>(H276/G276)*100</f>
        <v>0.23466611438010565</v>
      </c>
    </row>
    <row r="277" spans="1:12" x14ac:dyDescent="0.3">
      <c r="A277" s="1" t="s">
        <v>293</v>
      </c>
      <c r="B277" s="1" t="s">
        <v>22</v>
      </c>
      <c r="C277" s="1" t="s">
        <v>37</v>
      </c>
      <c r="D277" s="1" t="s">
        <v>16</v>
      </c>
      <c r="E277" s="35">
        <v>44838</v>
      </c>
      <c r="F277" s="1">
        <v>36425</v>
      </c>
      <c r="G277" s="1">
        <v>695150</v>
      </c>
      <c r="H277" s="3">
        <v>454</v>
      </c>
      <c r="I277" s="1">
        <v>28</v>
      </c>
      <c r="J277" s="2">
        <v>44866</v>
      </c>
      <c r="K277" s="8">
        <f>(F277/G277)*100</f>
        <v>5.2398762856937351</v>
      </c>
      <c r="L277" s="8">
        <f>(H277/G277)*100</f>
        <v>6.5309645400273328E-2</v>
      </c>
    </row>
    <row r="278" spans="1:12" x14ac:dyDescent="0.3">
      <c r="A278" s="1" t="s">
        <v>294</v>
      </c>
      <c r="B278" s="1" t="s">
        <v>14</v>
      </c>
      <c r="C278" s="1" t="s">
        <v>15</v>
      </c>
      <c r="D278" s="1" t="s">
        <v>16</v>
      </c>
      <c r="E278" s="35">
        <v>44839</v>
      </c>
      <c r="F278" s="1">
        <v>54787</v>
      </c>
      <c r="G278" s="1">
        <v>595581</v>
      </c>
      <c r="H278" s="3">
        <v>3687</v>
      </c>
      <c r="I278" s="1">
        <v>25</v>
      </c>
      <c r="J278" s="2">
        <v>44864</v>
      </c>
      <c r="K278" s="8">
        <f>(F278/G278)*100</f>
        <v>9.198916688074334</v>
      </c>
      <c r="L278" s="8">
        <f>(H278/G278)*100</f>
        <v>0.61905937227681873</v>
      </c>
    </row>
    <row r="279" spans="1:12" x14ac:dyDescent="0.3">
      <c r="A279" s="1" t="s">
        <v>295</v>
      </c>
      <c r="B279" s="1" t="s">
        <v>10</v>
      </c>
      <c r="C279" s="1" t="s">
        <v>25</v>
      </c>
      <c r="D279" s="1" t="s">
        <v>16</v>
      </c>
      <c r="E279" s="35">
        <v>44840</v>
      </c>
      <c r="F279" s="1">
        <v>98733</v>
      </c>
      <c r="G279" s="1">
        <v>732621</v>
      </c>
      <c r="H279" s="3">
        <v>3242</v>
      </c>
      <c r="I279" s="1">
        <v>18</v>
      </c>
      <c r="J279" s="2">
        <v>44858</v>
      </c>
      <c r="K279" s="8">
        <f>(F279/G279)*100</f>
        <v>13.476681667601667</v>
      </c>
      <c r="L279" s="8">
        <f>(H279/G279)*100</f>
        <v>0.44252075766323923</v>
      </c>
    </row>
    <row r="280" spans="1:12" x14ac:dyDescent="0.3">
      <c r="A280" s="1" t="s">
        <v>296</v>
      </c>
      <c r="B280" s="1" t="s">
        <v>10</v>
      </c>
      <c r="C280" s="1" t="s">
        <v>27</v>
      </c>
      <c r="D280" s="1" t="s">
        <v>12</v>
      </c>
      <c r="E280" s="35">
        <v>44841</v>
      </c>
      <c r="F280" s="1">
        <v>81201</v>
      </c>
      <c r="G280" s="1">
        <v>603306</v>
      </c>
      <c r="H280" s="3">
        <v>3876</v>
      </c>
      <c r="I280" s="1">
        <v>19</v>
      </c>
      <c r="J280" s="2">
        <v>44860</v>
      </c>
      <c r="K280" s="8">
        <f>(F280/G280)*100</f>
        <v>13.459339041879245</v>
      </c>
      <c r="L280" s="8">
        <f>(H280/G280)*100</f>
        <v>0.6424600451512168</v>
      </c>
    </row>
    <row r="281" spans="1:12" x14ac:dyDescent="0.3">
      <c r="A281" s="1" t="s">
        <v>297</v>
      </c>
      <c r="B281" s="1" t="s">
        <v>22</v>
      </c>
      <c r="C281" s="1" t="s">
        <v>11</v>
      </c>
      <c r="D281" s="1" t="s">
        <v>28</v>
      </c>
      <c r="E281" s="35">
        <v>44842</v>
      </c>
      <c r="F281" s="1">
        <v>71176</v>
      </c>
      <c r="G281" s="1">
        <v>423793</v>
      </c>
      <c r="H281" s="3">
        <v>3049</v>
      </c>
      <c r="I281" s="1">
        <v>16</v>
      </c>
      <c r="J281" s="2">
        <v>44858</v>
      </c>
      <c r="K281" s="8">
        <f>(F281/G281)*100</f>
        <v>16.794991894627799</v>
      </c>
      <c r="L281" s="8">
        <f>(H281/G281)*100</f>
        <v>0.7194550169540318</v>
      </c>
    </row>
    <row r="282" spans="1:12" x14ac:dyDescent="0.3">
      <c r="A282" s="1" t="s">
        <v>298</v>
      </c>
      <c r="B282" s="1" t="s">
        <v>22</v>
      </c>
      <c r="C282" s="1" t="s">
        <v>30</v>
      </c>
      <c r="D282" s="1" t="s">
        <v>32</v>
      </c>
      <c r="E282" s="35">
        <v>44843</v>
      </c>
      <c r="F282" s="1">
        <v>66479</v>
      </c>
      <c r="G282" s="1">
        <v>614320</v>
      </c>
      <c r="H282" s="3">
        <v>2899</v>
      </c>
      <c r="I282" s="1">
        <v>21</v>
      </c>
      <c r="J282" s="2">
        <v>44864</v>
      </c>
      <c r="K282" s="8">
        <f>(F282/G282)*100</f>
        <v>10.821558796718323</v>
      </c>
      <c r="L282" s="8">
        <f>(H282/G282)*100</f>
        <v>0.47190389373616354</v>
      </c>
    </row>
    <row r="283" spans="1:12" x14ac:dyDescent="0.3">
      <c r="A283" s="1" t="s">
        <v>299</v>
      </c>
      <c r="B283" s="1" t="s">
        <v>22</v>
      </c>
      <c r="C283" s="1" t="s">
        <v>30</v>
      </c>
      <c r="D283" s="1" t="s">
        <v>32</v>
      </c>
      <c r="E283" s="35">
        <v>44844</v>
      </c>
      <c r="F283" s="1">
        <v>27668</v>
      </c>
      <c r="G283" s="1">
        <v>835501</v>
      </c>
      <c r="H283" s="3">
        <v>3288</v>
      </c>
      <c r="I283" s="1">
        <v>10</v>
      </c>
      <c r="J283" s="2">
        <v>44854</v>
      </c>
      <c r="K283" s="8">
        <f>(F283/G283)*100</f>
        <v>3.3115460065278199</v>
      </c>
      <c r="L283" s="8">
        <f>(H283/G283)*100</f>
        <v>0.3935363332898465</v>
      </c>
    </row>
    <row r="284" spans="1:12" x14ac:dyDescent="0.3">
      <c r="A284" s="1" t="s">
        <v>300</v>
      </c>
      <c r="B284" s="1" t="s">
        <v>22</v>
      </c>
      <c r="C284" s="1" t="s">
        <v>18</v>
      </c>
      <c r="D284" s="1" t="s">
        <v>16</v>
      </c>
      <c r="E284" s="35">
        <v>44845</v>
      </c>
      <c r="F284" s="1">
        <v>91272</v>
      </c>
      <c r="G284" s="1">
        <v>904797</v>
      </c>
      <c r="H284" s="3">
        <v>2830</v>
      </c>
      <c r="I284" s="1">
        <v>2</v>
      </c>
      <c r="J284" s="2">
        <v>44847</v>
      </c>
      <c r="K284" s="8">
        <f>(F284/G284)*100</f>
        <v>10.087566603337544</v>
      </c>
      <c r="L284" s="8">
        <f>(H284/G284)*100</f>
        <v>0.31277734121576445</v>
      </c>
    </row>
    <row r="285" spans="1:12" x14ac:dyDescent="0.3">
      <c r="A285" s="1" t="s">
        <v>301</v>
      </c>
      <c r="B285" s="1" t="s">
        <v>14</v>
      </c>
      <c r="C285" s="1" t="s">
        <v>37</v>
      </c>
      <c r="D285" s="1" t="s">
        <v>32</v>
      </c>
      <c r="E285" s="35">
        <v>44846</v>
      </c>
      <c r="F285" s="1">
        <v>69439</v>
      </c>
      <c r="G285" s="1">
        <v>394871</v>
      </c>
      <c r="H285" s="3">
        <v>3928</v>
      </c>
      <c r="I285" s="1">
        <v>20</v>
      </c>
      <c r="J285" s="2">
        <v>44866</v>
      </c>
      <c r="K285" s="8">
        <f>(F285/G285)*100</f>
        <v>17.585236697554389</v>
      </c>
      <c r="L285" s="8">
        <f>(H285/G285)*100</f>
        <v>0.99475524918264446</v>
      </c>
    </row>
    <row r="286" spans="1:12" x14ac:dyDescent="0.3">
      <c r="A286" s="1" t="s">
        <v>302</v>
      </c>
      <c r="B286" s="1" t="s">
        <v>14</v>
      </c>
      <c r="C286" s="1" t="s">
        <v>30</v>
      </c>
      <c r="D286" s="1" t="s">
        <v>12</v>
      </c>
      <c r="E286" s="35">
        <v>44847</v>
      </c>
      <c r="F286" s="1">
        <v>32505</v>
      </c>
      <c r="G286" s="1">
        <v>46549</v>
      </c>
      <c r="H286" s="3">
        <v>2697</v>
      </c>
      <c r="I286" s="1">
        <v>10</v>
      </c>
      <c r="J286" s="2">
        <v>44857</v>
      </c>
      <c r="K286" s="8">
        <f>(F286/G286)*100</f>
        <v>69.829641882747211</v>
      </c>
      <c r="L286" s="8">
        <f>(H286/G286)*100</f>
        <v>5.7938946056843328</v>
      </c>
    </row>
    <row r="287" spans="1:12" x14ac:dyDescent="0.3">
      <c r="A287" s="1" t="s">
        <v>303</v>
      </c>
      <c r="B287" s="1" t="s">
        <v>22</v>
      </c>
      <c r="C287" s="1" t="s">
        <v>18</v>
      </c>
      <c r="D287" s="1" t="s">
        <v>12</v>
      </c>
      <c r="E287" s="35">
        <v>44848</v>
      </c>
      <c r="F287" s="1">
        <v>59552</v>
      </c>
      <c r="G287" s="1">
        <v>171915</v>
      </c>
      <c r="H287" s="3">
        <v>2503</v>
      </c>
      <c r="I287" s="1">
        <f>Table1[[#This Row],[end_date]]-Table1[[#This Row],[start_date]]</f>
        <v>19</v>
      </c>
      <c r="J287" s="2">
        <v>44867</v>
      </c>
      <c r="K287" s="8">
        <f>(F287/G287)*100</f>
        <v>34.640374603728588</v>
      </c>
      <c r="L287" s="8">
        <f>(H287/G287)*100</f>
        <v>1.4559520693365908</v>
      </c>
    </row>
    <row r="288" spans="1:12" x14ac:dyDescent="0.3">
      <c r="A288" s="1" t="s">
        <v>304</v>
      </c>
      <c r="B288" s="1" t="s">
        <v>22</v>
      </c>
      <c r="C288" s="1" t="s">
        <v>25</v>
      </c>
      <c r="D288" s="1" t="s">
        <v>28</v>
      </c>
      <c r="E288" s="35">
        <v>44849</v>
      </c>
      <c r="F288" s="1">
        <v>5049</v>
      </c>
      <c r="G288" s="1">
        <v>261895</v>
      </c>
      <c r="H288" s="3">
        <v>1645</v>
      </c>
      <c r="I288" s="1">
        <f>Table1[[#This Row],[end_date]]-Table1[[#This Row],[start_date]]</f>
        <v>12</v>
      </c>
      <c r="J288" s="2">
        <v>44861</v>
      </c>
      <c r="K288" s="8">
        <f>(F288/G288)*100</f>
        <v>1.9278718570419444</v>
      </c>
      <c r="L288" s="8">
        <f>(H288/G288)*100</f>
        <v>0.62811432062467787</v>
      </c>
    </row>
    <row r="289" spans="1:12" x14ac:dyDescent="0.3">
      <c r="A289" s="1" t="s">
        <v>305</v>
      </c>
      <c r="B289" s="1" t="s">
        <v>14</v>
      </c>
      <c r="C289" s="1" t="s">
        <v>25</v>
      </c>
      <c r="D289" s="1" t="s">
        <v>19</v>
      </c>
      <c r="E289" s="35">
        <v>44850</v>
      </c>
      <c r="F289" s="1">
        <v>15643</v>
      </c>
      <c r="G289" s="1">
        <v>473703</v>
      </c>
      <c r="H289" s="3">
        <v>2497</v>
      </c>
      <c r="I289" s="1">
        <f>Table1[[#This Row],[end_date]]-Table1[[#This Row],[start_date]]</f>
        <v>14</v>
      </c>
      <c r="J289" s="2">
        <v>44864</v>
      </c>
      <c r="K289" s="8">
        <f>(F289/G289)*100</f>
        <v>3.3022801206663246</v>
      </c>
      <c r="L289" s="8">
        <f>(H289/G289)*100</f>
        <v>0.52712353521088107</v>
      </c>
    </row>
    <row r="290" spans="1:12" x14ac:dyDescent="0.3">
      <c r="A290" s="1" t="s">
        <v>306</v>
      </c>
      <c r="B290" s="1" t="s">
        <v>22</v>
      </c>
      <c r="C290" s="1" t="s">
        <v>11</v>
      </c>
      <c r="D290" s="1" t="s">
        <v>16</v>
      </c>
      <c r="E290" s="35">
        <v>44851</v>
      </c>
      <c r="F290" s="1">
        <v>9506</v>
      </c>
      <c r="G290" s="1">
        <v>627382</v>
      </c>
      <c r="H290" s="3">
        <v>3930</v>
      </c>
      <c r="I290" s="1">
        <f>Table1[[#This Row],[end_date]]-Table1[[#This Row],[start_date]]</f>
        <v>3</v>
      </c>
      <c r="J290" s="2">
        <v>44854</v>
      </c>
      <c r="K290" s="8">
        <f>(F290/G290)*100</f>
        <v>1.5151853256867427</v>
      </c>
      <c r="L290" s="8">
        <f>(H290/G290)*100</f>
        <v>0.62641261623699751</v>
      </c>
    </row>
    <row r="291" spans="1:12" x14ac:dyDescent="0.3">
      <c r="A291" s="1" t="s">
        <v>307</v>
      </c>
      <c r="B291" s="1" t="s">
        <v>10</v>
      </c>
      <c r="C291" s="1" t="s">
        <v>27</v>
      </c>
      <c r="D291" s="1" t="s">
        <v>19</v>
      </c>
      <c r="E291" s="35">
        <v>44852</v>
      </c>
      <c r="F291" s="1">
        <v>1343</v>
      </c>
      <c r="G291" s="1">
        <v>802367</v>
      </c>
      <c r="H291" s="3">
        <v>3285</v>
      </c>
      <c r="I291" s="1">
        <f>Table1[[#This Row],[end_date]]-Table1[[#This Row],[start_date]]</f>
        <v>13</v>
      </c>
      <c r="J291" s="2">
        <v>44865</v>
      </c>
      <c r="K291" s="8">
        <f>(F291/G291)*100</f>
        <v>0.16737976511995134</v>
      </c>
      <c r="L291" s="8">
        <f>(H291/G291)*100</f>
        <v>0.40941364737084152</v>
      </c>
    </row>
    <row r="292" spans="1:12" x14ac:dyDescent="0.3">
      <c r="A292" s="1" t="s">
        <v>308</v>
      </c>
      <c r="B292" s="1" t="s">
        <v>22</v>
      </c>
      <c r="C292" s="1" t="s">
        <v>37</v>
      </c>
      <c r="D292" s="1" t="s">
        <v>19</v>
      </c>
      <c r="E292" s="35">
        <v>44853</v>
      </c>
      <c r="F292" s="1">
        <v>79486</v>
      </c>
      <c r="G292" s="1">
        <v>361704</v>
      </c>
      <c r="H292" s="3">
        <v>2359</v>
      </c>
      <c r="I292" s="1">
        <f>Table1[[#This Row],[end_date]]-Table1[[#This Row],[start_date]]</f>
        <v>24</v>
      </c>
      <c r="J292" s="2">
        <v>44877</v>
      </c>
      <c r="K292" s="8">
        <f>(F292/G292)*100</f>
        <v>21.97542742131688</v>
      </c>
      <c r="L292" s="8">
        <f>(H292/G292)*100</f>
        <v>0.65219074160086699</v>
      </c>
    </row>
    <row r="293" spans="1:12" x14ac:dyDescent="0.3">
      <c r="A293" s="1" t="s">
        <v>309</v>
      </c>
      <c r="B293" s="1" t="s">
        <v>24</v>
      </c>
      <c r="C293" s="1" t="s">
        <v>30</v>
      </c>
      <c r="D293" s="1" t="s">
        <v>32</v>
      </c>
      <c r="E293" s="35">
        <v>44854</v>
      </c>
      <c r="F293" s="1">
        <v>92306</v>
      </c>
      <c r="G293" s="1">
        <v>332075</v>
      </c>
      <c r="H293" s="3">
        <v>2499</v>
      </c>
      <c r="I293" s="1">
        <f>Table1[[#This Row],[end_date]]-Table1[[#This Row],[start_date]]</f>
        <v>24</v>
      </c>
      <c r="J293" s="2">
        <v>44878</v>
      </c>
      <c r="K293" s="8">
        <f>(F293/G293)*100</f>
        <v>27.796732665813444</v>
      </c>
      <c r="L293" s="8">
        <f>(H293/G293)*100</f>
        <v>0.75254084167733193</v>
      </c>
    </row>
    <row r="294" spans="1:12" x14ac:dyDescent="0.3">
      <c r="A294" s="1" t="s">
        <v>310</v>
      </c>
      <c r="B294" s="1" t="s">
        <v>22</v>
      </c>
      <c r="C294" s="1" t="s">
        <v>15</v>
      </c>
      <c r="D294" s="1" t="s">
        <v>16</v>
      </c>
      <c r="E294" s="35">
        <v>44855</v>
      </c>
      <c r="F294" s="1">
        <v>16549</v>
      </c>
      <c r="G294" s="1">
        <v>339629</v>
      </c>
      <c r="H294" s="3">
        <v>2989</v>
      </c>
      <c r="I294" s="1">
        <f>Table1[[#This Row],[end_date]]-Table1[[#This Row],[start_date]]</f>
        <v>26</v>
      </c>
      <c r="J294" s="2">
        <v>44881</v>
      </c>
      <c r="K294" s="8">
        <f>(F294/G294)*100</f>
        <v>4.8726698839027289</v>
      </c>
      <c r="L294" s="8">
        <f>(H294/G294)*100</f>
        <v>0.88007796742916533</v>
      </c>
    </row>
    <row r="295" spans="1:12" x14ac:dyDescent="0.3">
      <c r="A295" s="1" t="s">
        <v>311</v>
      </c>
      <c r="B295" s="1" t="s">
        <v>10</v>
      </c>
      <c r="C295" s="1" t="s">
        <v>18</v>
      </c>
      <c r="D295" s="1" t="s">
        <v>32</v>
      </c>
      <c r="E295" s="35">
        <v>44856</v>
      </c>
      <c r="F295" s="1">
        <v>24361</v>
      </c>
      <c r="G295" s="1">
        <v>56446</v>
      </c>
      <c r="H295" s="3">
        <v>2738</v>
      </c>
      <c r="I295" s="1">
        <f>Table1[[#This Row],[end_date]]-Table1[[#This Row],[start_date]]</f>
        <v>4</v>
      </c>
      <c r="J295" s="2">
        <v>44860</v>
      </c>
      <c r="K295" s="8">
        <f>(F295/G295)*100</f>
        <v>43.158062573078695</v>
      </c>
      <c r="L295" s="8">
        <f>(H295/G295)*100</f>
        <v>4.8506537221415158</v>
      </c>
    </row>
    <row r="296" spans="1:12" x14ac:dyDescent="0.3">
      <c r="A296" s="1" t="s">
        <v>312</v>
      </c>
      <c r="B296" s="1" t="s">
        <v>24</v>
      </c>
      <c r="C296" s="1" t="s">
        <v>37</v>
      </c>
      <c r="D296" s="1" t="s">
        <v>28</v>
      </c>
      <c r="E296" s="35">
        <v>44857</v>
      </c>
      <c r="F296" s="1">
        <v>46415</v>
      </c>
      <c r="G296" s="1">
        <v>94481</v>
      </c>
      <c r="H296" s="3">
        <v>2322</v>
      </c>
      <c r="I296" s="1">
        <f>Table1[[#This Row],[end_date]]-Table1[[#This Row],[start_date]]</f>
        <v>5</v>
      </c>
      <c r="J296" s="2">
        <v>44862</v>
      </c>
      <c r="K296" s="8">
        <f>(F296/G296)*100</f>
        <v>49.12627935775447</v>
      </c>
      <c r="L296" s="8">
        <f>(H296/G296)*100</f>
        <v>2.4576369852139583</v>
      </c>
    </row>
    <row r="297" spans="1:12" x14ac:dyDescent="0.3">
      <c r="A297" s="1" t="s">
        <v>313</v>
      </c>
      <c r="B297" s="1" t="s">
        <v>24</v>
      </c>
      <c r="C297" s="1" t="s">
        <v>15</v>
      </c>
      <c r="D297" s="1" t="s">
        <v>16</v>
      </c>
      <c r="E297" s="35">
        <v>44858</v>
      </c>
      <c r="F297" s="1">
        <v>48460</v>
      </c>
      <c r="G297" s="1">
        <v>151110</v>
      </c>
      <c r="H297" s="3">
        <v>3821</v>
      </c>
      <c r="I297" s="1">
        <f>Table1[[#This Row],[end_date]]-Table1[[#This Row],[start_date]]</f>
        <v>2</v>
      </c>
      <c r="J297" s="2">
        <v>44860</v>
      </c>
      <c r="K297" s="8">
        <f>(F297/G297)*100</f>
        <v>32.069353451128322</v>
      </c>
      <c r="L297" s="8">
        <f>(H297/G297)*100</f>
        <v>2.5286215339818674</v>
      </c>
    </row>
    <row r="298" spans="1:12" x14ac:dyDescent="0.3">
      <c r="A298" s="1" t="s">
        <v>314</v>
      </c>
      <c r="B298" s="1" t="s">
        <v>10</v>
      </c>
      <c r="C298" s="1" t="s">
        <v>18</v>
      </c>
      <c r="D298" s="1" t="s">
        <v>16</v>
      </c>
      <c r="E298" s="35">
        <v>44859</v>
      </c>
      <c r="F298" s="1">
        <v>88524</v>
      </c>
      <c r="G298" s="1">
        <v>179676</v>
      </c>
      <c r="H298" s="3">
        <v>2608</v>
      </c>
      <c r="I298" s="1">
        <f>Table1[[#This Row],[end_date]]-Table1[[#This Row],[start_date]]</f>
        <v>16</v>
      </c>
      <c r="J298" s="2">
        <v>44875</v>
      </c>
      <c r="K298" s="8">
        <f>(F298/G298)*100</f>
        <v>49.268683630534966</v>
      </c>
      <c r="L298" s="8">
        <f>(H298/G298)*100</f>
        <v>1.4515015917540461</v>
      </c>
    </row>
    <row r="299" spans="1:12" x14ac:dyDescent="0.3">
      <c r="A299" s="1" t="s">
        <v>315</v>
      </c>
      <c r="B299" s="1" t="s">
        <v>10</v>
      </c>
      <c r="C299" s="1" t="s">
        <v>18</v>
      </c>
      <c r="D299" s="1" t="s">
        <v>32</v>
      </c>
      <c r="E299" s="35">
        <v>44860</v>
      </c>
      <c r="F299" s="1">
        <v>38409</v>
      </c>
      <c r="G299" s="1">
        <v>795450</v>
      </c>
      <c r="H299" s="3">
        <v>879</v>
      </c>
      <c r="I299" s="1">
        <f>Table1[[#This Row],[end_date]]-Table1[[#This Row],[start_date]]</f>
        <v>11</v>
      </c>
      <c r="J299" s="2">
        <v>44871</v>
      </c>
      <c r="K299" s="8">
        <f>(F299/G299)*100</f>
        <v>4.8285875919290966</v>
      </c>
      <c r="L299" s="8">
        <f>(H299/G299)*100</f>
        <v>0.11050348859136339</v>
      </c>
    </row>
    <row r="300" spans="1:12" x14ac:dyDescent="0.3">
      <c r="A300" s="1" t="s">
        <v>316</v>
      </c>
      <c r="B300" s="1" t="s">
        <v>14</v>
      </c>
      <c r="C300" s="1" t="s">
        <v>25</v>
      </c>
      <c r="D300" s="1" t="s">
        <v>28</v>
      </c>
      <c r="E300" s="35">
        <v>44861</v>
      </c>
      <c r="F300" s="1">
        <v>83705</v>
      </c>
      <c r="G300" s="1">
        <v>176491</v>
      </c>
      <c r="H300" s="3">
        <v>3356</v>
      </c>
      <c r="I300" s="1">
        <f>Table1[[#This Row],[end_date]]-Table1[[#This Row],[start_date]]</f>
        <v>4</v>
      </c>
      <c r="J300" s="2">
        <v>44865</v>
      </c>
      <c r="K300" s="8">
        <f>(F300/G300)*100</f>
        <v>47.427347570131055</v>
      </c>
      <c r="L300" s="8">
        <f>(H300/G300)*100</f>
        <v>1.9015133916177029</v>
      </c>
    </row>
    <row r="301" spans="1:12" x14ac:dyDescent="0.3">
      <c r="A301" s="1" t="s">
        <v>317</v>
      </c>
      <c r="B301" s="1" t="s">
        <v>10</v>
      </c>
      <c r="C301" s="1" t="s">
        <v>37</v>
      </c>
      <c r="D301" s="1" t="s">
        <v>19</v>
      </c>
      <c r="E301" s="35">
        <v>44862</v>
      </c>
      <c r="F301" s="1">
        <v>50730</v>
      </c>
      <c r="G301" s="1">
        <v>967433</v>
      </c>
      <c r="H301" s="3">
        <v>595</v>
      </c>
      <c r="I301" s="1">
        <v>9</v>
      </c>
      <c r="J301" s="2">
        <v>44871</v>
      </c>
      <c r="K301" s="8">
        <f>(F301/G301)*100</f>
        <v>5.2437739874492602</v>
      </c>
      <c r="L301" s="8">
        <f>(H301/G301)*100</f>
        <v>6.1502967130540306E-2</v>
      </c>
    </row>
    <row r="302" spans="1:12" x14ac:dyDescent="0.3">
      <c r="A302" s="1" t="s">
        <v>318</v>
      </c>
      <c r="B302" s="1" t="s">
        <v>22</v>
      </c>
      <c r="C302" s="1" t="s">
        <v>37</v>
      </c>
      <c r="D302" s="1" t="s">
        <v>19</v>
      </c>
      <c r="E302" s="35">
        <v>44863</v>
      </c>
      <c r="F302" s="1">
        <v>85762</v>
      </c>
      <c r="G302" s="1">
        <v>520538</v>
      </c>
      <c r="H302" s="3">
        <v>1089</v>
      </c>
      <c r="I302" s="1">
        <v>24</v>
      </c>
      <c r="J302" s="2">
        <v>44887</v>
      </c>
      <c r="K302" s="8">
        <f>(F302/G302)*100</f>
        <v>16.475646350506594</v>
      </c>
      <c r="L302" s="8">
        <f>(H302/G302)*100</f>
        <v>0.20920662852663974</v>
      </c>
    </row>
    <row r="303" spans="1:12" x14ac:dyDescent="0.3">
      <c r="A303" s="1" t="s">
        <v>319</v>
      </c>
      <c r="B303" s="1" t="s">
        <v>14</v>
      </c>
      <c r="C303" s="1" t="s">
        <v>27</v>
      </c>
      <c r="D303" s="1" t="s">
        <v>32</v>
      </c>
      <c r="E303" s="35">
        <v>44864</v>
      </c>
      <c r="F303" s="1">
        <v>81930</v>
      </c>
      <c r="G303" s="1">
        <v>429459</v>
      </c>
      <c r="H303" s="3">
        <v>3373</v>
      </c>
      <c r="I303" s="1">
        <v>17</v>
      </c>
      <c r="J303" s="2">
        <v>44881</v>
      </c>
      <c r="K303" s="8">
        <f>(F303/G303)*100</f>
        <v>19.077490517139005</v>
      </c>
      <c r="L303" s="8">
        <f>(H303/G303)*100</f>
        <v>0.78540675594177789</v>
      </c>
    </row>
    <row r="304" spans="1:12" x14ac:dyDescent="0.3">
      <c r="A304" s="1" t="s">
        <v>320</v>
      </c>
      <c r="B304" s="1" t="s">
        <v>14</v>
      </c>
      <c r="C304" s="1" t="s">
        <v>25</v>
      </c>
      <c r="D304" s="1" t="s">
        <v>28</v>
      </c>
      <c r="E304" s="35">
        <v>44865</v>
      </c>
      <c r="F304" s="1">
        <v>41825</v>
      </c>
      <c r="G304" s="1">
        <v>938483</v>
      </c>
      <c r="H304" s="3">
        <v>2722</v>
      </c>
      <c r="I304" s="1">
        <v>27</v>
      </c>
      <c r="J304" s="2">
        <v>44892</v>
      </c>
      <c r="K304" s="8">
        <f>(F304/G304)*100</f>
        <v>4.4566603763733603</v>
      </c>
      <c r="L304" s="8">
        <f>(H304/G304)*100</f>
        <v>0.29004254738764579</v>
      </c>
    </row>
    <row r="305" spans="1:12" x14ac:dyDescent="0.3">
      <c r="A305" s="1" t="s">
        <v>1355</v>
      </c>
      <c r="B305" s="1" t="s">
        <v>10</v>
      </c>
      <c r="C305" s="1" t="s">
        <v>15</v>
      </c>
      <c r="D305" s="1" t="s">
        <v>16</v>
      </c>
      <c r="E305" s="35">
        <v>44866</v>
      </c>
      <c r="F305" s="1">
        <v>27913</v>
      </c>
      <c r="G305" s="1">
        <v>243484</v>
      </c>
      <c r="H305" s="3">
        <v>797</v>
      </c>
      <c r="I305" s="1">
        <v>4</v>
      </c>
      <c r="J305" s="2">
        <v>44870</v>
      </c>
      <c r="K305" s="8">
        <f>(F305/G305)*100</f>
        <v>11.463997634341476</v>
      </c>
      <c r="L305" s="8">
        <f>(H305/G305)*100</f>
        <v>0.32733157004156332</v>
      </c>
    </row>
    <row r="306" spans="1:12" x14ac:dyDescent="0.3">
      <c r="A306" s="1" t="s">
        <v>321</v>
      </c>
      <c r="B306" s="1" t="s">
        <v>14</v>
      </c>
      <c r="C306" s="1" t="s">
        <v>11</v>
      </c>
      <c r="D306" s="1" t="s">
        <v>16</v>
      </c>
      <c r="E306" s="35">
        <v>44867</v>
      </c>
      <c r="F306" s="1">
        <v>48574</v>
      </c>
      <c r="G306" s="1">
        <v>161921</v>
      </c>
      <c r="H306" s="3">
        <v>4938</v>
      </c>
      <c r="I306" s="1">
        <v>28</v>
      </c>
      <c r="J306" s="2">
        <v>44895</v>
      </c>
      <c r="K306" s="8">
        <f>(F306/G306)*100</f>
        <v>29.99857955422706</v>
      </c>
      <c r="L306" s="8">
        <f>(H306/G306)*100</f>
        <v>3.0496353159874259</v>
      </c>
    </row>
    <row r="307" spans="1:12" x14ac:dyDescent="0.3">
      <c r="A307" s="1" t="s">
        <v>322</v>
      </c>
      <c r="B307" s="1" t="s">
        <v>22</v>
      </c>
      <c r="C307" s="1" t="s">
        <v>37</v>
      </c>
      <c r="D307" s="1" t="s">
        <v>28</v>
      </c>
      <c r="E307" s="35">
        <v>44868</v>
      </c>
      <c r="F307" s="1">
        <v>69166</v>
      </c>
      <c r="G307" s="1">
        <v>267934</v>
      </c>
      <c r="H307" s="3">
        <v>521</v>
      </c>
      <c r="I307" s="1">
        <v>26</v>
      </c>
      <c r="J307" s="2">
        <v>44894</v>
      </c>
      <c r="K307" s="8">
        <f>(F307/G307)*100</f>
        <v>25.814566273783839</v>
      </c>
      <c r="L307" s="8">
        <f>(H307/G307)*100</f>
        <v>0.19445087222972823</v>
      </c>
    </row>
    <row r="308" spans="1:12" x14ac:dyDescent="0.3">
      <c r="A308" s="1" t="s">
        <v>323</v>
      </c>
      <c r="B308" s="1" t="s">
        <v>14</v>
      </c>
      <c r="C308" s="1" t="s">
        <v>25</v>
      </c>
      <c r="D308" s="1" t="s">
        <v>19</v>
      </c>
      <c r="E308" s="35">
        <v>44869</v>
      </c>
      <c r="F308" s="1">
        <v>89893</v>
      </c>
      <c r="G308" s="1">
        <v>318499</v>
      </c>
      <c r="H308" s="3">
        <v>3513</v>
      </c>
      <c r="I308" s="1">
        <v>5</v>
      </c>
      <c r="J308" s="2">
        <v>44874</v>
      </c>
      <c r="K308" s="8">
        <f>(F308/G308)*100</f>
        <v>28.22395046766238</v>
      </c>
      <c r="L308" s="8">
        <f>(H308/G308)*100</f>
        <v>1.1029861946191355</v>
      </c>
    </row>
    <row r="309" spans="1:12" x14ac:dyDescent="0.3">
      <c r="A309" s="1" t="s">
        <v>324</v>
      </c>
      <c r="B309" s="1" t="s">
        <v>22</v>
      </c>
      <c r="C309" s="1" t="s">
        <v>11</v>
      </c>
      <c r="D309" s="1" t="s">
        <v>16</v>
      </c>
      <c r="E309" s="35">
        <v>44870</v>
      </c>
      <c r="F309" s="1">
        <v>30164</v>
      </c>
      <c r="G309" s="1">
        <v>866948</v>
      </c>
      <c r="H309" s="3">
        <v>3859</v>
      </c>
      <c r="I309" s="1">
        <v>28</v>
      </c>
      <c r="J309" s="2">
        <v>44898</v>
      </c>
      <c r="K309" s="8">
        <f>(F309/G309)*100</f>
        <v>3.4793320937357257</v>
      </c>
      <c r="L309" s="8">
        <f>(H309/G309)*100</f>
        <v>0.44512473643171219</v>
      </c>
    </row>
    <row r="310" spans="1:12" x14ac:dyDescent="0.3">
      <c r="A310" s="1" t="s">
        <v>325</v>
      </c>
      <c r="B310" s="1" t="s">
        <v>22</v>
      </c>
      <c r="C310" s="1" t="s">
        <v>37</v>
      </c>
      <c r="D310" s="1" t="s">
        <v>12</v>
      </c>
      <c r="E310" s="35">
        <v>44871</v>
      </c>
      <c r="F310" s="1">
        <v>60380</v>
      </c>
      <c r="G310" s="1">
        <v>266968</v>
      </c>
      <c r="H310" s="3">
        <v>2234</v>
      </c>
      <c r="I310" s="1">
        <v>27</v>
      </c>
      <c r="J310" s="2">
        <v>44898</v>
      </c>
      <c r="K310" s="8">
        <f>(F310/G310)*100</f>
        <v>22.616942854574333</v>
      </c>
      <c r="L310" s="8">
        <f>(H310/G310)*100</f>
        <v>0.83680441101555236</v>
      </c>
    </row>
    <row r="311" spans="1:12" x14ac:dyDescent="0.3">
      <c r="A311" s="1" t="s">
        <v>1356</v>
      </c>
      <c r="B311" s="1" t="s">
        <v>14</v>
      </c>
      <c r="C311" s="1" t="s">
        <v>25</v>
      </c>
      <c r="D311" s="1" t="s">
        <v>19</v>
      </c>
      <c r="E311" s="35">
        <v>44872</v>
      </c>
      <c r="F311" s="1">
        <v>71528</v>
      </c>
      <c r="G311" s="1">
        <v>874120</v>
      </c>
      <c r="H311" s="3">
        <v>3251</v>
      </c>
      <c r="I311" s="1">
        <v>4</v>
      </c>
      <c r="J311" s="2">
        <v>44876</v>
      </c>
      <c r="K311" s="8">
        <f>(F311/G311)*100</f>
        <v>8.1828581888070282</v>
      </c>
      <c r="L311" s="8">
        <f>(H311/G311)*100</f>
        <v>0.37191689928156318</v>
      </c>
    </row>
    <row r="312" spans="1:12" x14ac:dyDescent="0.3">
      <c r="A312" s="1" t="s">
        <v>1357</v>
      </c>
      <c r="B312" s="1" t="s">
        <v>14</v>
      </c>
      <c r="C312" s="1" t="s">
        <v>30</v>
      </c>
      <c r="D312" s="1" t="s">
        <v>32</v>
      </c>
      <c r="E312" s="35">
        <v>44873</v>
      </c>
      <c r="F312" s="1">
        <v>23932</v>
      </c>
      <c r="G312" s="1">
        <v>350367</v>
      </c>
      <c r="H312" s="3">
        <v>2875</v>
      </c>
      <c r="I312" s="1">
        <v>19</v>
      </c>
      <c r="J312" s="2">
        <v>44892</v>
      </c>
      <c r="K312" s="8">
        <f>(F312/G312)*100</f>
        <v>6.8305519640833756</v>
      </c>
      <c r="L312" s="8">
        <f>(H312/G312)*100</f>
        <v>0.82056814711431147</v>
      </c>
    </row>
    <row r="313" spans="1:12" x14ac:dyDescent="0.3">
      <c r="A313" s="1" t="s">
        <v>326</v>
      </c>
      <c r="B313" s="1" t="s">
        <v>22</v>
      </c>
      <c r="C313" s="1" t="s">
        <v>37</v>
      </c>
      <c r="D313" s="1" t="s">
        <v>32</v>
      </c>
      <c r="E313" s="35">
        <v>44874</v>
      </c>
      <c r="F313" s="1">
        <v>37633</v>
      </c>
      <c r="G313" s="1">
        <v>216833</v>
      </c>
      <c r="H313" s="3">
        <v>3090</v>
      </c>
      <c r="I313" s="1">
        <v>14</v>
      </c>
      <c r="J313" s="2">
        <v>44888</v>
      </c>
      <c r="K313" s="8">
        <f>(F313/G313)*100</f>
        <v>17.355753044970093</v>
      </c>
      <c r="L313" s="8">
        <f>(H313/G313)*100</f>
        <v>1.425059838677692</v>
      </c>
    </row>
    <row r="314" spans="1:12" x14ac:dyDescent="0.3">
      <c r="A314" s="1" t="s">
        <v>327</v>
      </c>
      <c r="B314" s="1" t="s">
        <v>22</v>
      </c>
      <c r="C314" s="1" t="s">
        <v>25</v>
      </c>
      <c r="D314" s="1" t="s">
        <v>12</v>
      </c>
      <c r="E314" s="35">
        <v>44875</v>
      </c>
      <c r="F314" s="1">
        <v>82130</v>
      </c>
      <c r="G314" s="1">
        <v>455614</v>
      </c>
      <c r="H314" s="3">
        <v>2689</v>
      </c>
      <c r="I314" s="1">
        <v>20</v>
      </c>
      <c r="J314" s="2">
        <v>44895</v>
      </c>
      <c r="K314" s="8">
        <f>(F314/G314)*100</f>
        <v>18.026223952731918</v>
      </c>
      <c r="L314" s="8">
        <f>(H314/G314)*100</f>
        <v>0.59019257529399882</v>
      </c>
    </row>
    <row r="315" spans="1:12" x14ac:dyDescent="0.3">
      <c r="A315" s="1" t="s">
        <v>328</v>
      </c>
      <c r="B315" s="1" t="s">
        <v>22</v>
      </c>
      <c r="C315" s="1" t="s">
        <v>25</v>
      </c>
      <c r="D315" s="1" t="s">
        <v>28</v>
      </c>
      <c r="E315" s="35">
        <v>44876</v>
      </c>
      <c r="F315" s="1">
        <v>51555</v>
      </c>
      <c r="G315" s="1">
        <v>285844</v>
      </c>
      <c r="H315" s="3">
        <v>4983</v>
      </c>
      <c r="I315" s="1">
        <v>21</v>
      </c>
      <c r="J315" s="2">
        <v>44897</v>
      </c>
      <c r="K315" s="8">
        <f>(F315/G315)*100</f>
        <v>18.036061628020878</v>
      </c>
      <c r="L315" s="8">
        <f>(H315/G315)*100</f>
        <v>1.7432585606134816</v>
      </c>
    </row>
    <row r="316" spans="1:12" x14ac:dyDescent="0.3">
      <c r="A316" s="1" t="s">
        <v>329</v>
      </c>
      <c r="B316" s="1" t="s">
        <v>22</v>
      </c>
      <c r="C316" s="1" t="s">
        <v>30</v>
      </c>
      <c r="D316" s="1" t="s">
        <v>12</v>
      </c>
      <c r="E316" s="35">
        <v>44877</v>
      </c>
      <c r="F316" s="1">
        <v>9788</v>
      </c>
      <c r="G316" s="1">
        <v>46599</v>
      </c>
      <c r="H316" s="3">
        <v>4576</v>
      </c>
      <c r="I316" s="1">
        <v>23</v>
      </c>
      <c r="J316" s="2">
        <v>44900</v>
      </c>
      <c r="K316" s="8">
        <f>(F316/G316)*100</f>
        <v>21.004742591042728</v>
      </c>
      <c r="L316" s="8">
        <f>(H316/G316)*100</f>
        <v>9.8199532178802116</v>
      </c>
    </row>
    <row r="317" spans="1:12" x14ac:dyDescent="0.3">
      <c r="A317" s="1" t="s">
        <v>330</v>
      </c>
      <c r="B317" s="1" t="s">
        <v>22</v>
      </c>
      <c r="C317" s="1" t="s">
        <v>25</v>
      </c>
      <c r="D317" s="1" t="s">
        <v>16</v>
      </c>
      <c r="E317" s="35">
        <v>44878</v>
      </c>
      <c r="F317" s="1">
        <v>66098</v>
      </c>
      <c r="G317" s="1">
        <v>19101</v>
      </c>
      <c r="H317" s="3">
        <v>623</v>
      </c>
      <c r="I317" s="1">
        <v>20</v>
      </c>
      <c r="J317" s="2">
        <v>44898</v>
      </c>
      <c r="K317" s="8">
        <f>(F317/G317)*100</f>
        <v>346.0447097010628</v>
      </c>
      <c r="L317" s="8">
        <f>(H317/G317)*100</f>
        <v>3.2616093398251405</v>
      </c>
    </row>
    <row r="318" spans="1:12" x14ac:dyDescent="0.3">
      <c r="A318" s="1" t="s">
        <v>331</v>
      </c>
      <c r="B318" s="1" t="s">
        <v>14</v>
      </c>
      <c r="C318" s="1" t="s">
        <v>37</v>
      </c>
      <c r="D318" s="1" t="s">
        <v>12</v>
      </c>
      <c r="E318" s="35">
        <v>44879</v>
      </c>
      <c r="F318" s="1">
        <v>51281</v>
      </c>
      <c r="G318" s="1">
        <v>66059</v>
      </c>
      <c r="H318" s="3">
        <v>4224</v>
      </c>
      <c r="I318" s="1">
        <v>9</v>
      </c>
      <c r="J318" s="2">
        <v>44888</v>
      </c>
      <c r="K318" s="8">
        <f>(F318/G318)*100</f>
        <v>77.629089147580189</v>
      </c>
      <c r="L318" s="8">
        <f>(H318/G318)*100</f>
        <v>6.3942838977277887</v>
      </c>
    </row>
    <row r="319" spans="1:12" x14ac:dyDescent="0.3">
      <c r="A319" s="1" t="s">
        <v>332</v>
      </c>
      <c r="B319" s="1" t="s">
        <v>22</v>
      </c>
      <c r="C319" s="1" t="s">
        <v>11</v>
      </c>
      <c r="D319" s="1" t="s">
        <v>28</v>
      </c>
      <c r="E319" s="35">
        <v>44880</v>
      </c>
      <c r="F319" s="1">
        <v>57290</v>
      </c>
      <c r="G319" s="1">
        <v>138149</v>
      </c>
      <c r="H319" s="3">
        <v>1826</v>
      </c>
      <c r="I319" s="1">
        <v>28</v>
      </c>
      <c r="J319" s="2">
        <v>44908</v>
      </c>
      <c r="K319" s="8">
        <f>(F319/G319)*100</f>
        <v>41.469717478953882</v>
      </c>
      <c r="L319" s="8">
        <f>(H319/G319)*100</f>
        <v>1.3217612867266502</v>
      </c>
    </row>
    <row r="320" spans="1:12" x14ac:dyDescent="0.3">
      <c r="A320" s="1" t="s">
        <v>333</v>
      </c>
      <c r="B320" s="1" t="s">
        <v>24</v>
      </c>
      <c r="C320" s="1" t="s">
        <v>18</v>
      </c>
      <c r="D320" s="1" t="s">
        <v>19</v>
      </c>
      <c r="E320" s="35">
        <v>44881</v>
      </c>
      <c r="F320" s="1">
        <v>14204</v>
      </c>
      <c r="G320" s="1">
        <v>722272</v>
      </c>
      <c r="H320" s="3">
        <v>3197</v>
      </c>
      <c r="I320" s="1">
        <v>23</v>
      </c>
      <c r="J320" s="2">
        <v>44904</v>
      </c>
      <c r="K320" s="8">
        <f>(F320/G320)*100</f>
        <v>1.966572150104116</v>
      </c>
      <c r="L320" s="8">
        <f>(H320/G320)*100</f>
        <v>0.44263103096894246</v>
      </c>
    </row>
    <row r="321" spans="1:12" x14ac:dyDescent="0.3">
      <c r="A321" s="1" t="s">
        <v>334</v>
      </c>
      <c r="B321" s="1" t="s">
        <v>24</v>
      </c>
      <c r="C321" s="1" t="s">
        <v>18</v>
      </c>
      <c r="D321" s="1" t="s">
        <v>19</v>
      </c>
      <c r="E321" s="35">
        <v>44882</v>
      </c>
      <c r="F321" s="1">
        <v>37594</v>
      </c>
      <c r="G321" s="1">
        <v>72072</v>
      </c>
      <c r="H321" s="3">
        <v>554</v>
      </c>
      <c r="I321" s="1">
        <v>16</v>
      </c>
      <c r="J321" s="2">
        <v>44898</v>
      </c>
      <c r="K321" s="8">
        <f>(F321/G321)*100</f>
        <v>52.161727161727164</v>
      </c>
      <c r="L321" s="8">
        <f>(H321/G321)*100</f>
        <v>0.7686757686757687</v>
      </c>
    </row>
    <row r="322" spans="1:12" x14ac:dyDescent="0.3">
      <c r="A322" s="1" t="s">
        <v>335</v>
      </c>
      <c r="B322" s="1" t="s">
        <v>14</v>
      </c>
      <c r="C322" s="1" t="s">
        <v>11</v>
      </c>
      <c r="D322" s="1" t="s">
        <v>32</v>
      </c>
      <c r="E322" s="35">
        <v>44883</v>
      </c>
      <c r="F322" s="1">
        <v>4815</v>
      </c>
      <c r="G322" s="1">
        <v>868845</v>
      </c>
      <c r="H322" s="3">
        <v>866</v>
      </c>
      <c r="I322" s="1">
        <v>26</v>
      </c>
      <c r="J322" s="2">
        <v>44909</v>
      </c>
      <c r="K322" s="8">
        <f>(F322/G322)*100</f>
        <v>0.55418400290040226</v>
      </c>
      <c r="L322" s="8">
        <f>(H322/G322)*100</f>
        <v>9.9672553792678795E-2</v>
      </c>
    </row>
    <row r="323" spans="1:12" x14ac:dyDescent="0.3">
      <c r="A323" s="1" t="s">
        <v>336</v>
      </c>
      <c r="B323" s="1" t="s">
        <v>22</v>
      </c>
      <c r="C323" s="1" t="s">
        <v>30</v>
      </c>
      <c r="D323" s="1" t="s">
        <v>12</v>
      </c>
      <c r="E323" s="35">
        <v>44884</v>
      </c>
      <c r="F323" s="1">
        <v>63911</v>
      </c>
      <c r="G323" s="1">
        <v>686419</v>
      </c>
      <c r="H323" s="3">
        <v>4423</v>
      </c>
      <c r="I323" s="1">
        <v>17</v>
      </c>
      <c r="J323" s="2">
        <v>44901</v>
      </c>
      <c r="K323" s="8">
        <f>(F323/G323)*100</f>
        <v>9.3107853949264232</v>
      </c>
      <c r="L323" s="8">
        <f>(H323/G323)*100</f>
        <v>0.64435862060927807</v>
      </c>
    </row>
    <row r="324" spans="1:12" x14ac:dyDescent="0.3">
      <c r="A324" s="1" t="s">
        <v>337</v>
      </c>
      <c r="B324" s="1" t="s">
        <v>14</v>
      </c>
      <c r="C324" s="1" t="s">
        <v>30</v>
      </c>
      <c r="D324" s="1" t="s">
        <v>16</v>
      </c>
      <c r="E324" s="35">
        <v>44885</v>
      </c>
      <c r="F324" s="1">
        <v>38228</v>
      </c>
      <c r="G324" s="1">
        <v>102486</v>
      </c>
      <c r="H324" s="3">
        <v>1277</v>
      </c>
      <c r="I324" s="1">
        <v>10</v>
      </c>
      <c r="J324" s="2">
        <v>44895</v>
      </c>
      <c r="K324" s="8">
        <f>(F324/G324)*100</f>
        <v>37.300704486466444</v>
      </c>
      <c r="L324" s="8">
        <f>(H324/G324)*100</f>
        <v>1.2460238471596119</v>
      </c>
    </row>
    <row r="325" spans="1:12" x14ac:dyDescent="0.3">
      <c r="A325" s="1" t="s">
        <v>338</v>
      </c>
      <c r="B325" s="1" t="s">
        <v>10</v>
      </c>
      <c r="C325" s="1" t="s">
        <v>30</v>
      </c>
      <c r="D325" s="1" t="s">
        <v>19</v>
      </c>
      <c r="E325" s="35">
        <v>44886</v>
      </c>
      <c r="F325" s="1">
        <v>49736</v>
      </c>
      <c r="G325" s="1">
        <v>756292</v>
      </c>
      <c r="H325" s="3">
        <v>4189</v>
      </c>
      <c r="I325" s="1">
        <v>6</v>
      </c>
      <c r="J325" s="2">
        <v>44892</v>
      </c>
      <c r="K325" s="8">
        <f>(F325/G325)*100</f>
        <v>6.5762959280277995</v>
      </c>
      <c r="L325" s="8">
        <f>(H325/G325)*100</f>
        <v>0.55388659406684193</v>
      </c>
    </row>
    <row r="326" spans="1:12" x14ac:dyDescent="0.3">
      <c r="A326" s="1" t="s">
        <v>339</v>
      </c>
      <c r="B326" s="1" t="s">
        <v>14</v>
      </c>
      <c r="C326" s="1" t="s">
        <v>37</v>
      </c>
      <c r="D326" s="1" t="s">
        <v>19</v>
      </c>
      <c r="E326" s="35">
        <v>44887</v>
      </c>
      <c r="F326" s="1">
        <v>59834</v>
      </c>
      <c r="G326" s="1">
        <v>715195</v>
      </c>
      <c r="H326" s="3">
        <v>821</v>
      </c>
      <c r="I326" s="1">
        <v>14</v>
      </c>
      <c r="J326" s="2">
        <v>44901</v>
      </c>
      <c r="K326" s="8">
        <f>(F326/G326)*100</f>
        <v>8.3661099420437779</v>
      </c>
      <c r="L326" s="8">
        <f>(H326/G326)*100</f>
        <v>0.11479386740679115</v>
      </c>
    </row>
    <row r="327" spans="1:12" x14ac:dyDescent="0.3">
      <c r="A327" s="1" t="s">
        <v>340</v>
      </c>
      <c r="B327" s="1" t="s">
        <v>10</v>
      </c>
      <c r="C327" s="1" t="s">
        <v>11</v>
      </c>
      <c r="D327" s="1" t="s">
        <v>19</v>
      </c>
      <c r="E327" s="35">
        <v>44888</v>
      </c>
      <c r="F327" s="1">
        <v>13154</v>
      </c>
      <c r="G327" s="1">
        <v>829853</v>
      </c>
      <c r="H327" s="3">
        <v>297</v>
      </c>
      <c r="I327" s="1">
        <v>6</v>
      </c>
      <c r="J327" s="2">
        <v>44894</v>
      </c>
      <c r="K327" s="8">
        <f>(F327/G327)*100</f>
        <v>1.5851000116888174</v>
      </c>
      <c r="L327" s="8">
        <f>(H327/G327)*100</f>
        <v>3.5789471147299586E-2</v>
      </c>
    </row>
    <row r="328" spans="1:12" x14ac:dyDescent="0.3">
      <c r="A328" s="1" t="s">
        <v>341</v>
      </c>
      <c r="B328" s="1" t="s">
        <v>14</v>
      </c>
      <c r="C328" s="1" t="s">
        <v>25</v>
      </c>
      <c r="D328" s="1" t="s">
        <v>19</v>
      </c>
      <c r="E328" s="35">
        <v>44889</v>
      </c>
      <c r="F328" s="1">
        <v>25485</v>
      </c>
      <c r="G328" s="1">
        <v>92292</v>
      </c>
      <c r="H328" s="3">
        <v>4274</v>
      </c>
      <c r="I328" s="1">
        <v>29</v>
      </c>
      <c r="J328" s="2">
        <v>44918</v>
      </c>
      <c r="K328" s="8">
        <f>(F328/G328)*100</f>
        <v>27.613444285528537</v>
      </c>
      <c r="L328" s="8">
        <f>(H328/G328)*100</f>
        <v>4.6309539288345682</v>
      </c>
    </row>
    <row r="329" spans="1:12" x14ac:dyDescent="0.3">
      <c r="A329" s="1" t="s">
        <v>342</v>
      </c>
      <c r="B329" s="1" t="s">
        <v>14</v>
      </c>
      <c r="C329" s="1" t="s">
        <v>11</v>
      </c>
      <c r="D329" s="1" t="s">
        <v>16</v>
      </c>
      <c r="E329" s="35">
        <v>44890</v>
      </c>
      <c r="F329" s="1">
        <v>50090</v>
      </c>
      <c r="G329" s="1">
        <v>857413</v>
      </c>
      <c r="H329" s="3">
        <v>1236</v>
      </c>
      <c r="I329" s="1">
        <v>28</v>
      </c>
      <c r="J329" s="2">
        <v>44918</v>
      </c>
      <c r="K329" s="8">
        <f>(F329/G329)*100</f>
        <v>5.8419921321463519</v>
      </c>
      <c r="L329" s="8">
        <f>(H329/G329)*100</f>
        <v>0.14415456728554385</v>
      </c>
    </row>
    <row r="330" spans="1:12" x14ac:dyDescent="0.3">
      <c r="A330" s="1" t="s">
        <v>343</v>
      </c>
      <c r="B330" s="1" t="s">
        <v>22</v>
      </c>
      <c r="C330" s="1" t="s">
        <v>37</v>
      </c>
      <c r="D330" s="1" t="s">
        <v>28</v>
      </c>
      <c r="E330" s="35">
        <v>44891</v>
      </c>
      <c r="F330" s="1">
        <v>3867</v>
      </c>
      <c r="G330" s="1">
        <v>295191</v>
      </c>
      <c r="H330" s="3">
        <v>2637</v>
      </c>
      <c r="I330" s="1">
        <v>13</v>
      </c>
      <c r="J330" s="2">
        <v>44904</v>
      </c>
      <c r="K330" s="8">
        <f>(F330/G330)*100</f>
        <v>1.3099992885961971</v>
      </c>
      <c r="L330" s="8">
        <f>(H330/G330)*100</f>
        <v>0.89331991829019164</v>
      </c>
    </row>
    <row r="331" spans="1:12" x14ac:dyDescent="0.3">
      <c r="A331" s="1" t="s">
        <v>344</v>
      </c>
      <c r="B331" s="1" t="s">
        <v>10</v>
      </c>
      <c r="C331" s="1" t="s">
        <v>25</v>
      </c>
      <c r="D331" s="1" t="s">
        <v>12</v>
      </c>
      <c r="E331" s="35">
        <v>44892</v>
      </c>
      <c r="F331" s="1">
        <v>49972</v>
      </c>
      <c r="G331" s="1">
        <v>796168</v>
      </c>
      <c r="H331" s="3">
        <v>3997</v>
      </c>
      <c r="I331" s="1">
        <v>27</v>
      </c>
      <c r="J331" s="2">
        <v>44919</v>
      </c>
      <c r="K331" s="8">
        <f>(F331/G331)*100</f>
        <v>6.2765647451291695</v>
      </c>
      <c r="L331" s="8">
        <f>(H331/G331)*100</f>
        <v>0.50202972237015309</v>
      </c>
    </row>
    <row r="332" spans="1:12" x14ac:dyDescent="0.3">
      <c r="A332" s="1" t="s">
        <v>345</v>
      </c>
      <c r="B332" s="1" t="s">
        <v>22</v>
      </c>
      <c r="C332" s="1" t="s">
        <v>25</v>
      </c>
      <c r="D332" s="1" t="s">
        <v>16</v>
      </c>
      <c r="E332" s="35">
        <v>44893</v>
      </c>
      <c r="F332" s="1">
        <v>65277</v>
      </c>
      <c r="G332" s="1">
        <v>761325</v>
      </c>
      <c r="H332" s="3">
        <v>2579</v>
      </c>
      <c r="I332" s="1">
        <v>4</v>
      </c>
      <c r="J332" s="2">
        <v>44897</v>
      </c>
      <c r="K332" s="8">
        <f>(F332/G332)*100</f>
        <v>8.5741306275243812</v>
      </c>
      <c r="L332" s="8">
        <f>(H332/G332)*100</f>
        <v>0.33875151873378651</v>
      </c>
    </row>
    <row r="333" spans="1:12" x14ac:dyDescent="0.3">
      <c r="A333" s="1" t="s">
        <v>346</v>
      </c>
      <c r="B333" s="1" t="s">
        <v>14</v>
      </c>
      <c r="C333" s="1" t="s">
        <v>25</v>
      </c>
      <c r="D333" s="1" t="s">
        <v>28</v>
      </c>
      <c r="E333" s="35">
        <v>44894</v>
      </c>
      <c r="F333" s="1">
        <v>97607</v>
      </c>
      <c r="G333" s="1">
        <v>213546</v>
      </c>
      <c r="H333" s="3">
        <v>958</v>
      </c>
      <c r="I333" s="1">
        <v>7</v>
      </c>
      <c r="J333" s="2">
        <v>44901</v>
      </c>
      <c r="K333" s="8">
        <f>(F333/G333)*100</f>
        <v>45.707716370243411</v>
      </c>
      <c r="L333" s="8">
        <f>(H333/G333)*100</f>
        <v>0.44861528663613459</v>
      </c>
    </row>
    <row r="334" spans="1:12" x14ac:dyDescent="0.3">
      <c r="A334" s="1" t="s">
        <v>347</v>
      </c>
      <c r="B334" s="1" t="s">
        <v>10</v>
      </c>
      <c r="C334" s="1" t="s">
        <v>30</v>
      </c>
      <c r="D334" s="1" t="s">
        <v>28</v>
      </c>
      <c r="E334" s="35">
        <v>44895</v>
      </c>
      <c r="F334" s="1">
        <v>65701</v>
      </c>
      <c r="G334" s="1">
        <v>352557</v>
      </c>
      <c r="H334" s="3">
        <v>1164</v>
      </c>
      <c r="I334" s="1">
        <f>Table1[[#This Row],[end_date]]-Table1[[#This Row],[start_date]]</f>
        <v>10</v>
      </c>
      <c r="J334" s="2">
        <v>44905</v>
      </c>
      <c r="K334" s="8">
        <f>(F334/G334)*100</f>
        <v>18.635568149263808</v>
      </c>
      <c r="L334" s="8">
        <f>(H334/G334)*100</f>
        <v>0.33015937848347932</v>
      </c>
    </row>
    <row r="335" spans="1:12" x14ac:dyDescent="0.3">
      <c r="A335" s="1" t="s">
        <v>348</v>
      </c>
      <c r="B335" s="1" t="s">
        <v>22</v>
      </c>
      <c r="C335" s="1" t="s">
        <v>18</v>
      </c>
      <c r="D335" s="1" t="s">
        <v>19</v>
      </c>
      <c r="E335" s="35">
        <v>44896</v>
      </c>
      <c r="F335" s="1">
        <v>65302</v>
      </c>
      <c r="G335" s="1">
        <v>654935</v>
      </c>
      <c r="H335" s="3">
        <v>4853</v>
      </c>
      <c r="I335" s="1">
        <f>Table1[[#This Row],[end_date]]-Table1[[#This Row],[start_date]]</f>
        <v>9</v>
      </c>
      <c r="J335" s="2">
        <v>44905</v>
      </c>
      <c r="K335" s="8">
        <f>(F335/G335)*100</f>
        <v>9.9707604571446016</v>
      </c>
      <c r="L335" s="8">
        <f>(H335/G335)*100</f>
        <v>0.74098956384984771</v>
      </c>
    </row>
    <row r="336" spans="1:12" x14ac:dyDescent="0.3">
      <c r="A336" s="1" t="s">
        <v>349</v>
      </c>
      <c r="B336" s="1" t="s">
        <v>14</v>
      </c>
      <c r="C336" s="1" t="s">
        <v>18</v>
      </c>
      <c r="D336" s="1" t="s">
        <v>12</v>
      </c>
      <c r="E336" s="35">
        <v>44897</v>
      </c>
      <c r="F336" s="1">
        <v>65010</v>
      </c>
      <c r="G336" s="1">
        <v>106673</v>
      </c>
      <c r="H336" s="3">
        <v>1791</v>
      </c>
      <c r="I336" s="1">
        <f>Table1[[#This Row],[end_date]]-Table1[[#This Row],[start_date]]</f>
        <v>7</v>
      </c>
      <c r="J336" s="2">
        <v>44904</v>
      </c>
      <c r="K336" s="8">
        <f>(F336/G336)*100</f>
        <v>60.943256494145658</v>
      </c>
      <c r="L336" s="8">
        <f>(H336/G336)*100</f>
        <v>1.6789628115830624</v>
      </c>
    </row>
    <row r="337" spans="1:12" x14ac:dyDescent="0.3">
      <c r="A337" s="1" t="s">
        <v>350</v>
      </c>
      <c r="B337" s="1" t="s">
        <v>22</v>
      </c>
      <c r="C337" s="1" t="s">
        <v>18</v>
      </c>
      <c r="D337" s="1" t="s">
        <v>16</v>
      </c>
      <c r="E337" s="35">
        <v>44898</v>
      </c>
      <c r="F337" s="1">
        <v>92986</v>
      </c>
      <c r="G337" s="1">
        <v>798798</v>
      </c>
      <c r="H337" s="3">
        <v>1044</v>
      </c>
      <c r="I337" s="1">
        <f>Table1[[#This Row],[end_date]]-Table1[[#This Row],[start_date]]</f>
        <v>15</v>
      </c>
      <c r="J337" s="2">
        <v>44913</v>
      </c>
      <c r="K337" s="8">
        <f>(F337/G337)*100</f>
        <v>11.640740212168783</v>
      </c>
      <c r="L337" s="8">
        <f>(H337/G337)*100</f>
        <v>0.13069637129787506</v>
      </c>
    </row>
    <row r="338" spans="1:12" x14ac:dyDescent="0.3">
      <c r="A338" s="1" t="s">
        <v>351</v>
      </c>
      <c r="B338" s="1" t="s">
        <v>10</v>
      </c>
      <c r="C338" s="1" t="s">
        <v>30</v>
      </c>
      <c r="D338" s="1" t="s">
        <v>19</v>
      </c>
      <c r="E338" s="35">
        <v>44899</v>
      </c>
      <c r="F338" s="1">
        <v>39700</v>
      </c>
      <c r="G338" s="1">
        <v>628474</v>
      </c>
      <c r="H338" s="3">
        <v>3156</v>
      </c>
      <c r="I338" s="1">
        <f>Table1[[#This Row],[end_date]]-Table1[[#This Row],[start_date]]</f>
        <v>29</v>
      </c>
      <c r="J338" s="2">
        <v>44928</v>
      </c>
      <c r="K338" s="8">
        <f>(F338/G338)*100</f>
        <v>6.3168882085814211</v>
      </c>
      <c r="L338" s="8">
        <f>(H338/G338)*100</f>
        <v>0.5021687452464223</v>
      </c>
    </row>
    <row r="339" spans="1:12" x14ac:dyDescent="0.3">
      <c r="A339" s="1" t="s">
        <v>352</v>
      </c>
      <c r="B339" s="1" t="s">
        <v>22</v>
      </c>
      <c r="C339" s="1" t="s">
        <v>37</v>
      </c>
      <c r="D339" s="1" t="s">
        <v>12</v>
      </c>
      <c r="E339" s="35">
        <v>44900</v>
      </c>
      <c r="F339" s="1">
        <v>84258</v>
      </c>
      <c r="G339" s="1">
        <v>291493</v>
      </c>
      <c r="H339" s="3">
        <v>4738</v>
      </c>
      <c r="I339" s="1">
        <f>Table1[[#This Row],[end_date]]-Table1[[#This Row],[start_date]]</f>
        <v>22</v>
      </c>
      <c r="J339" s="2">
        <v>44922</v>
      </c>
      <c r="K339" s="8">
        <f>(F339/G339)*100</f>
        <v>28.905668403700947</v>
      </c>
      <c r="L339" s="8">
        <f>(H339/G339)*100</f>
        <v>1.6254249673234005</v>
      </c>
    </row>
    <row r="340" spans="1:12" x14ac:dyDescent="0.3">
      <c r="A340" s="1" t="s">
        <v>353</v>
      </c>
      <c r="B340" s="1" t="s">
        <v>24</v>
      </c>
      <c r="C340" s="1" t="s">
        <v>11</v>
      </c>
      <c r="D340" s="1" t="s">
        <v>28</v>
      </c>
      <c r="E340" s="35">
        <v>44901</v>
      </c>
      <c r="F340" s="1">
        <v>15859</v>
      </c>
      <c r="G340" s="1">
        <v>176775</v>
      </c>
      <c r="H340" s="3">
        <v>1722</v>
      </c>
      <c r="I340" s="1">
        <f>Table1[[#This Row],[end_date]]-Table1[[#This Row],[start_date]]</f>
        <v>3</v>
      </c>
      <c r="J340" s="2">
        <v>44904</v>
      </c>
      <c r="K340" s="8">
        <f>(F340/G340)*100</f>
        <v>8.9712911893650116</v>
      </c>
      <c r="L340" s="8">
        <f>(H340/G340)*100</f>
        <v>0.97411964361476444</v>
      </c>
    </row>
    <row r="341" spans="1:12" x14ac:dyDescent="0.3">
      <c r="A341" s="1" t="s">
        <v>354</v>
      </c>
      <c r="B341" s="1" t="s">
        <v>22</v>
      </c>
      <c r="C341" s="1" t="s">
        <v>30</v>
      </c>
      <c r="D341" s="1" t="s">
        <v>19</v>
      </c>
      <c r="E341" s="35">
        <v>44902</v>
      </c>
      <c r="F341" s="1">
        <v>82193</v>
      </c>
      <c r="G341" s="1">
        <v>381042</v>
      </c>
      <c r="H341" s="3">
        <v>1978</v>
      </c>
      <c r="I341" s="1">
        <f>Table1[[#This Row],[end_date]]-Table1[[#This Row],[start_date]]</f>
        <v>28</v>
      </c>
      <c r="J341" s="2">
        <v>44930</v>
      </c>
      <c r="K341" s="8">
        <f>(F341/G341)*100</f>
        <v>21.57058801916849</v>
      </c>
      <c r="L341" s="8">
        <f>(H341/G341)*100</f>
        <v>0.51910288104723368</v>
      </c>
    </row>
    <row r="342" spans="1:12" x14ac:dyDescent="0.3">
      <c r="A342" s="1" t="s">
        <v>355</v>
      </c>
      <c r="B342" s="1" t="s">
        <v>24</v>
      </c>
      <c r="C342" s="1" t="s">
        <v>15</v>
      </c>
      <c r="D342" s="1" t="s">
        <v>19</v>
      </c>
      <c r="E342" s="35">
        <v>44903</v>
      </c>
      <c r="F342" s="1">
        <v>144</v>
      </c>
      <c r="G342" s="1">
        <v>800823</v>
      </c>
      <c r="H342" s="3">
        <v>2865</v>
      </c>
      <c r="I342" s="1">
        <f>Table1[[#This Row],[end_date]]-Table1[[#This Row],[start_date]]</f>
        <v>2</v>
      </c>
      <c r="J342" s="2">
        <v>44905</v>
      </c>
      <c r="K342" s="8">
        <f>(F342/G342)*100</f>
        <v>1.7981501530300703E-2</v>
      </c>
      <c r="L342" s="8">
        <f>(H342/G342)*100</f>
        <v>0.35775695752994108</v>
      </c>
    </row>
    <row r="343" spans="1:12" x14ac:dyDescent="0.3">
      <c r="A343" s="1" t="s">
        <v>356</v>
      </c>
      <c r="B343" s="1" t="s">
        <v>10</v>
      </c>
      <c r="C343" s="1" t="s">
        <v>27</v>
      </c>
      <c r="D343" s="1" t="s">
        <v>28</v>
      </c>
      <c r="E343" s="35">
        <v>44904</v>
      </c>
      <c r="F343" s="1">
        <v>68255</v>
      </c>
      <c r="G343" s="1">
        <v>228589</v>
      </c>
      <c r="H343" s="3">
        <v>3351</v>
      </c>
      <c r="I343" s="1">
        <f>Table1[[#This Row],[end_date]]-Table1[[#This Row],[start_date]]</f>
        <v>28</v>
      </c>
      <c r="J343" s="2">
        <v>44932</v>
      </c>
      <c r="K343" s="8">
        <f>(F343/G343)*100</f>
        <v>29.85926706884408</v>
      </c>
      <c r="L343" s="8">
        <f>(H343/G343)*100</f>
        <v>1.4659498051087323</v>
      </c>
    </row>
    <row r="344" spans="1:12" x14ac:dyDescent="0.3">
      <c r="A344" s="1" t="s">
        <v>357</v>
      </c>
      <c r="B344" s="1" t="s">
        <v>14</v>
      </c>
      <c r="C344" s="1" t="s">
        <v>25</v>
      </c>
      <c r="D344" s="1" t="s">
        <v>28</v>
      </c>
      <c r="E344" s="35">
        <v>44905</v>
      </c>
      <c r="F344" s="1">
        <v>50686</v>
      </c>
      <c r="G344" s="1">
        <v>711521</v>
      </c>
      <c r="H344" s="3">
        <v>1978</v>
      </c>
      <c r="I344" s="1">
        <f>Table1[[#This Row],[end_date]]-Table1[[#This Row],[start_date]]</f>
        <v>19</v>
      </c>
      <c r="J344" s="2">
        <v>44924</v>
      </c>
      <c r="K344" s="8">
        <f>(F344/G344)*100</f>
        <v>7.1236126551429972</v>
      </c>
      <c r="L344" s="8">
        <f>(H344/G344)*100</f>
        <v>0.27799601136157609</v>
      </c>
    </row>
    <row r="345" spans="1:12" x14ac:dyDescent="0.3">
      <c r="A345" s="1" t="s">
        <v>358</v>
      </c>
      <c r="B345" s="1" t="s">
        <v>10</v>
      </c>
      <c r="C345" s="1" t="s">
        <v>15</v>
      </c>
      <c r="D345" s="1" t="s">
        <v>32</v>
      </c>
      <c r="E345" s="35">
        <v>44906</v>
      </c>
      <c r="F345" s="1">
        <v>19418</v>
      </c>
      <c r="G345" s="1">
        <v>249935</v>
      </c>
      <c r="H345" s="3">
        <v>1471</v>
      </c>
      <c r="I345" s="1">
        <f>Table1[[#This Row],[end_date]]-Table1[[#This Row],[start_date]]</f>
        <v>13</v>
      </c>
      <c r="J345" s="2">
        <v>44919</v>
      </c>
      <c r="K345" s="8">
        <f>(F345/G345)*100</f>
        <v>7.7692199971992713</v>
      </c>
      <c r="L345" s="8">
        <f>(H345/G345)*100</f>
        <v>0.58855302378618435</v>
      </c>
    </row>
    <row r="346" spans="1:12" x14ac:dyDescent="0.3">
      <c r="A346" s="1" t="s">
        <v>359</v>
      </c>
      <c r="B346" s="1" t="s">
        <v>10</v>
      </c>
      <c r="C346" s="1" t="s">
        <v>25</v>
      </c>
      <c r="D346" s="1" t="s">
        <v>16</v>
      </c>
      <c r="E346" s="35">
        <v>44907</v>
      </c>
      <c r="F346" s="1">
        <v>38472</v>
      </c>
      <c r="G346" s="1">
        <v>799039</v>
      </c>
      <c r="H346" s="3">
        <v>176</v>
      </c>
      <c r="I346" s="1">
        <f>Table1[[#This Row],[end_date]]-Table1[[#This Row],[start_date]]</f>
        <v>22</v>
      </c>
      <c r="J346" s="2">
        <v>44929</v>
      </c>
      <c r="K346" s="8">
        <f>(F346/G346)*100</f>
        <v>4.8147837589904876</v>
      </c>
      <c r="L346" s="8">
        <f>(H346/G346)*100</f>
        <v>2.2026459284215164E-2</v>
      </c>
    </row>
    <row r="347" spans="1:12" x14ac:dyDescent="0.3">
      <c r="A347" s="1" t="s">
        <v>360</v>
      </c>
      <c r="B347" s="1" t="s">
        <v>24</v>
      </c>
      <c r="C347" s="1" t="s">
        <v>15</v>
      </c>
      <c r="D347" s="1" t="s">
        <v>19</v>
      </c>
      <c r="E347" s="35">
        <v>44908</v>
      </c>
      <c r="F347" s="1">
        <v>92938</v>
      </c>
      <c r="G347" s="1">
        <v>804843</v>
      </c>
      <c r="H347" s="3">
        <v>2992</v>
      </c>
      <c r="I347" s="1">
        <f>Table1[[#This Row],[end_date]]-Table1[[#This Row],[start_date]]</f>
        <v>6</v>
      </c>
      <c r="J347" s="2">
        <v>44914</v>
      </c>
      <c r="K347" s="8">
        <f>(F347/G347)*100</f>
        <v>11.547345258640505</v>
      </c>
      <c r="L347" s="8">
        <f>(H347/G347)*100</f>
        <v>0.37174952133521694</v>
      </c>
    </row>
    <row r="348" spans="1:12" x14ac:dyDescent="0.3">
      <c r="A348" s="1" t="s">
        <v>361</v>
      </c>
      <c r="B348" s="1" t="s">
        <v>22</v>
      </c>
      <c r="C348" s="1" t="s">
        <v>11</v>
      </c>
      <c r="D348" s="1" t="s">
        <v>19</v>
      </c>
      <c r="E348" s="35">
        <v>44909</v>
      </c>
      <c r="F348" s="1">
        <v>65510</v>
      </c>
      <c r="G348" s="1">
        <v>809575</v>
      </c>
      <c r="H348" s="3">
        <v>3375</v>
      </c>
      <c r="I348" s="1">
        <f>Table1[[#This Row],[end_date]]-Table1[[#This Row],[start_date]]</f>
        <v>24</v>
      </c>
      <c r="J348" s="2">
        <v>44933</v>
      </c>
      <c r="K348" s="8">
        <f>(F348/G348)*100</f>
        <v>8.0919000710249218</v>
      </c>
      <c r="L348" s="8">
        <f>(H348/G348)*100</f>
        <v>0.41688540283482073</v>
      </c>
    </row>
    <row r="349" spans="1:12" x14ac:dyDescent="0.3">
      <c r="A349" s="1" t="s">
        <v>362</v>
      </c>
      <c r="B349" s="1" t="s">
        <v>14</v>
      </c>
      <c r="C349" s="1" t="s">
        <v>37</v>
      </c>
      <c r="D349" s="1" t="s">
        <v>28</v>
      </c>
      <c r="E349" s="35">
        <v>44910</v>
      </c>
      <c r="F349" s="1">
        <v>61754</v>
      </c>
      <c r="G349" s="1">
        <v>460630</v>
      </c>
      <c r="H349" s="3">
        <v>4507</v>
      </c>
      <c r="I349" s="1">
        <v>6</v>
      </c>
      <c r="J349" s="2">
        <v>44916</v>
      </c>
      <c r="K349" s="8">
        <f>(F349/G349)*100</f>
        <v>13.406421639927924</v>
      </c>
      <c r="L349" s="8">
        <f>(H349/G349)*100</f>
        <v>0.97844256778759531</v>
      </c>
    </row>
    <row r="350" spans="1:12" x14ac:dyDescent="0.3">
      <c r="A350" s="1" t="s">
        <v>363</v>
      </c>
      <c r="B350" s="1" t="s">
        <v>22</v>
      </c>
      <c r="C350" s="1" t="s">
        <v>25</v>
      </c>
      <c r="D350" s="1" t="s">
        <v>32</v>
      </c>
      <c r="E350" s="35">
        <v>44911</v>
      </c>
      <c r="F350" s="1">
        <v>31408</v>
      </c>
      <c r="G350" s="1">
        <v>816023</v>
      </c>
      <c r="H350" s="3">
        <v>3613</v>
      </c>
      <c r="I350" s="1">
        <v>24</v>
      </c>
      <c r="J350" s="2">
        <v>44935</v>
      </c>
      <c r="K350" s="8">
        <f>(F350/G350)*100</f>
        <v>3.8489111213777063</v>
      </c>
      <c r="L350" s="8">
        <f>(H350/G350)*100</f>
        <v>0.4427571281691815</v>
      </c>
    </row>
    <row r="351" spans="1:12" x14ac:dyDescent="0.3">
      <c r="A351" s="1" t="s">
        <v>364</v>
      </c>
      <c r="B351" s="1" t="s">
        <v>14</v>
      </c>
      <c r="C351" s="1" t="s">
        <v>15</v>
      </c>
      <c r="D351" s="1" t="s">
        <v>19</v>
      </c>
      <c r="E351" s="35">
        <v>44912</v>
      </c>
      <c r="F351" s="1">
        <v>65241</v>
      </c>
      <c r="G351" s="1">
        <v>258444</v>
      </c>
      <c r="H351" s="3">
        <v>1825</v>
      </c>
      <c r="I351" s="1">
        <v>28</v>
      </c>
      <c r="J351" s="2">
        <v>44940</v>
      </c>
      <c r="K351" s="8">
        <f>(F351/G351)*100</f>
        <v>25.243766541301017</v>
      </c>
      <c r="L351" s="8">
        <f>(H351/G351)*100</f>
        <v>0.70614910773707262</v>
      </c>
    </row>
    <row r="352" spans="1:12" x14ac:dyDescent="0.3">
      <c r="A352" s="1" t="s">
        <v>365</v>
      </c>
      <c r="B352" s="1" t="s">
        <v>22</v>
      </c>
      <c r="C352" s="1" t="s">
        <v>30</v>
      </c>
      <c r="D352" s="1" t="s">
        <v>32</v>
      </c>
      <c r="E352" s="35">
        <v>44913</v>
      </c>
      <c r="F352" s="1">
        <v>96225</v>
      </c>
      <c r="G352" s="1">
        <v>828277</v>
      </c>
      <c r="H352" s="3">
        <v>3447</v>
      </c>
      <c r="I352" s="1">
        <v>28</v>
      </c>
      <c r="J352" s="2">
        <v>44941</v>
      </c>
      <c r="K352" s="8">
        <f>(F352/G352)*100</f>
        <v>11.617490284047486</v>
      </c>
      <c r="L352" s="8">
        <f>(H352/G352)*100</f>
        <v>0.41616512350336904</v>
      </c>
    </row>
    <row r="353" spans="1:12" x14ac:dyDescent="0.3">
      <c r="A353" s="1" t="s">
        <v>366</v>
      </c>
      <c r="B353" s="1" t="s">
        <v>14</v>
      </c>
      <c r="C353" s="1" t="s">
        <v>15</v>
      </c>
      <c r="D353" s="1" t="s">
        <v>28</v>
      </c>
      <c r="E353" s="35">
        <v>44914</v>
      </c>
      <c r="F353" s="1">
        <v>51904</v>
      </c>
      <c r="G353" s="1">
        <v>869198</v>
      </c>
      <c r="H353" s="3">
        <v>4426</v>
      </c>
      <c r="I353" s="1">
        <v>3</v>
      </c>
      <c r="J353" s="2">
        <v>44917</v>
      </c>
      <c r="K353" s="8">
        <f>(F353/G353)*100</f>
        <v>5.9714817567458738</v>
      </c>
      <c r="L353" s="8">
        <f>(H353/G353)*100</f>
        <v>0.50920503728724642</v>
      </c>
    </row>
    <row r="354" spans="1:12" x14ac:dyDescent="0.3">
      <c r="A354" s="1" t="s">
        <v>367</v>
      </c>
      <c r="B354" s="1" t="s">
        <v>14</v>
      </c>
      <c r="C354" s="1" t="s">
        <v>11</v>
      </c>
      <c r="D354" s="1" t="s">
        <v>28</v>
      </c>
      <c r="E354" s="35">
        <v>44915</v>
      </c>
      <c r="F354" s="1">
        <v>83800</v>
      </c>
      <c r="G354" s="1">
        <v>207124</v>
      </c>
      <c r="H354" s="3">
        <v>3</v>
      </c>
      <c r="I354" s="1">
        <v>15</v>
      </c>
      <c r="J354" s="2">
        <v>44930</v>
      </c>
      <c r="K354" s="8">
        <f>(F354/G354)*100</f>
        <v>40.458855564782446</v>
      </c>
      <c r="L354" s="8">
        <f>(H354/G354)*100</f>
        <v>1.4484077171163167E-3</v>
      </c>
    </row>
    <row r="355" spans="1:12" x14ac:dyDescent="0.3">
      <c r="A355" s="1" t="s">
        <v>368</v>
      </c>
      <c r="B355" s="1" t="s">
        <v>14</v>
      </c>
      <c r="C355" s="1" t="s">
        <v>30</v>
      </c>
      <c r="D355" s="1" t="s">
        <v>12</v>
      </c>
      <c r="E355" s="35">
        <v>44916</v>
      </c>
      <c r="F355" s="1">
        <v>2907</v>
      </c>
      <c r="G355" s="1">
        <v>127428</v>
      </c>
      <c r="H355" s="3">
        <v>2906</v>
      </c>
      <c r="I355" s="1">
        <v>23</v>
      </c>
      <c r="J355" s="2">
        <v>44939</v>
      </c>
      <c r="K355" s="8">
        <f>(F355/G355)*100</f>
        <v>2.2812882568980131</v>
      </c>
      <c r="L355" s="8">
        <f>(H355/G355)*100</f>
        <v>2.280503500015695</v>
      </c>
    </row>
    <row r="356" spans="1:12" x14ac:dyDescent="0.3">
      <c r="A356" s="1" t="s">
        <v>1358</v>
      </c>
      <c r="B356" s="1" t="s">
        <v>14</v>
      </c>
      <c r="C356" s="1" t="s">
        <v>37</v>
      </c>
      <c r="D356" s="1" t="s">
        <v>12</v>
      </c>
      <c r="E356" s="35">
        <v>44917</v>
      </c>
      <c r="F356" s="1">
        <v>35730</v>
      </c>
      <c r="G356" s="1">
        <v>599529</v>
      </c>
      <c r="H356" s="3">
        <v>1210</v>
      </c>
      <c r="I356" s="1">
        <v>13</v>
      </c>
      <c r="J356" s="2">
        <v>44930</v>
      </c>
      <c r="K356" s="8">
        <f>(F356/G356)*100</f>
        <v>5.9596783475027904</v>
      </c>
      <c r="L356" s="8">
        <f>(H356/G356)*100</f>
        <v>0.20182509936967188</v>
      </c>
    </row>
    <row r="357" spans="1:12" x14ac:dyDescent="0.3">
      <c r="A357" s="1" t="s">
        <v>369</v>
      </c>
      <c r="B357" s="1" t="s">
        <v>10</v>
      </c>
      <c r="C357" s="1" t="s">
        <v>37</v>
      </c>
      <c r="D357" s="1" t="s">
        <v>28</v>
      </c>
      <c r="E357" s="35">
        <v>44918</v>
      </c>
      <c r="F357" s="1">
        <v>79234</v>
      </c>
      <c r="G357" s="1">
        <v>193759</v>
      </c>
      <c r="H357" s="3">
        <v>2459</v>
      </c>
      <c r="I357" s="1">
        <v>21</v>
      </c>
      <c r="J357" s="2">
        <v>44939</v>
      </c>
      <c r="K357" s="8">
        <f>(F357/G357)*100</f>
        <v>40.893068192961358</v>
      </c>
      <c r="L357" s="8">
        <f>(H357/G357)*100</f>
        <v>1.2691023384720195</v>
      </c>
    </row>
    <row r="358" spans="1:12" x14ac:dyDescent="0.3">
      <c r="A358" s="1" t="s">
        <v>370</v>
      </c>
      <c r="B358" s="1" t="s">
        <v>10</v>
      </c>
      <c r="C358" s="1" t="s">
        <v>18</v>
      </c>
      <c r="D358" s="1" t="s">
        <v>28</v>
      </c>
      <c r="E358" s="35">
        <v>44919</v>
      </c>
      <c r="F358" s="1">
        <v>89642</v>
      </c>
      <c r="G358" s="1">
        <v>519283</v>
      </c>
      <c r="H358" s="3">
        <v>4721</v>
      </c>
      <c r="I358" s="1">
        <v>2</v>
      </c>
      <c r="J358" s="2">
        <v>44921</v>
      </c>
      <c r="K358" s="8">
        <f>(F358/G358)*100</f>
        <v>17.262648690598382</v>
      </c>
      <c r="L358" s="8">
        <f>(H358/G358)*100</f>
        <v>0.90913817706337396</v>
      </c>
    </row>
    <row r="359" spans="1:12" x14ac:dyDescent="0.3">
      <c r="A359" s="1" t="s">
        <v>371</v>
      </c>
      <c r="B359" s="1" t="s">
        <v>14</v>
      </c>
      <c r="C359" s="1" t="s">
        <v>18</v>
      </c>
      <c r="D359" s="1" t="s">
        <v>12</v>
      </c>
      <c r="E359" s="35">
        <v>44920</v>
      </c>
      <c r="F359" s="1">
        <v>29708</v>
      </c>
      <c r="G359" s="1">
        <v>300040</v>
      </c>
      <c r="H359" s="3">
        <v>1995</v>
      </c>
      <c r="I359" s="1">
        <v>9</v>
      </c>
      <c r="J359" s="2">
        <v>44929</v>
      </c>
      <c r="K359" s="8">
        <f>(F359/G359)*100</f>
        <v>9.9013464871350489</v>
      </c>
      <c r="L359" s="8">
        <f>(H359/G359)*100</f>
        <v>0.66491134515397954</v>
      </c>
    </row>
    <row r="360" spans="1:12" x14ac:dyDescent="0.3">
      <c r="A360" s="1" t="s">
        <v>372</v>
      </c>
      <c r="B360" s="1" t="s">
        <v>14</v>
      </c>
      <c r="C360" s="1" t="s">
        <v>15</v>
      </c>
      <c r="D360" s="1" t="s">
        <v>32</v>
      </c>
      <c r="E360" s="35">
        <v>44921</v>
      </c>
      <c r="F360" s="1">
        <v>31165</v>
      </c>
      <c r="G360" s="1">
        <v>484316</v>
      </c>
      <c r="H360" s="3">
        <v>736</v>
      </c>
      <c r="I360" s="1">
        <v>20</v>
      </c>
      <c r="J360" s="2">
        <v>44941</v>
      </c>
      <c r="K360" s="8">
        <f>(F360/G360)*100</f>
        <v>6.4348483221698229</v>
      </c>
      <c r="L360" s="8">
        <f>(H360/G360)*100</f>
        <v>0.15196689764533899</v>
      </c>
    </row>
    <row r="361" spans="1:12" x14ac:dyDescent="0.3">
      <c r="A361" s="1" t="s">
        <v>373</v>
      </c>
      <c r="B361" s="1" t="s">
        <v>24</v>
      </c>
      <c r="C361" s="1" t="s">
        <v>15</v>
      </c>
      <c r="D361" s="1" t="s">
        <v>28</v>
      </c>
      <c r="E361" s="35">
        <v>44922</v>
      </c>
      <c r="F361" s="1">
        <v>24193</v>
      </c>
      <c r="G361" s="1">
        <v>587882</v>
      </c>
      <c r="H361" s="3">
        <v>1200</v>
      </c>
      <c r="I361" s="1">
        <v>6</v>
      </c>
      <c r="J361" s="2">
        <v>44928</v>
      </c>
      <c r="K361" s="8">
        <f>(F361/G361)*100</f>
        <v>4.115281638151874</v>
      </c>
      <c r="L361" s="8">
        <f>(H361/G361)*100</f>
        <v>0.2041225960311763</v>
      </c>
    </row>
    <row r="362" spans="1:12" x14ac:dyDescent="0.3">
      <c r="A362" s="1" t="s">
        <v>374</v>
      </c>
      <c r="B362" s="1" t="s">
        <v>22</v>
      </c>
      <c r="C362" s="1" t="s">
        <v>27</v>
      </c>
      <c r="D362" s="1" t="s">
        <v>32</v>
      </c>
      <c r="E362" s="35">
        <v>44923</v>
      </c>
      <c r="F362" s="1">
        <v>75015</v>
      </c>
      <c r="G362" s="1">
        <v>679478</v>
      </c>
      <c r="H362" s="3">
        <v>2953</v>
      </c>
      <c r="I362" s="1">
        <v>29</v>
      </c>
      <c r="J362" s="2">
        <v>44952</v>
      </c>
      <c r="K362" s="8">
        <f>(F362/G362)*100</f>
        <v>11.040092541627544</v>
      </c>
      <c r="L362" s="8">
        <f>(H362/G362)*100</f>
        <v>0.43459832400754694</v>
      </c>
    </row>
    <row r="363" spans="1:12" x14ac:dyDescent="0.3">
      <c r="A363" s="1" t="s">
        <v>375</v>
      </c>
      <c r="B363" s="1" t="s">
        <v>22</v>
      </c>
      <c r="C363" s="1" t="s">
        <v>27</v>
      </c>
      <c r="D363" s="1" t="s">
        <v>12</v>
      </c>
      <c r="E363" s="35">
        <v>44924</v>
      </c>
      <c r="F363" s="1">
        <v>69745</v>
      </c>
      <c r="G363" s="1">
        <v>888747</v>
      </c>
      <c r="H363" s="3">
        <v>1178</v>
      </c>
      <c r="I363" s="1">
        <v>6</v>
      </c>
      <c r="J363" s="2">
        <v>44930</v>
      </c>
      <c r="K363" s="8">
        <f>(F363/G363)*100</f>
        <v>7.8475651675898757</v>
      </c>
      <c r="L363" s="8">
        <f>(H363/G363)*100</f>
        <v>0.13254615768041972</v>
      </c>
    </row>
    <row r="364" spans="1:12" x14ac:dyDescent="0.3">
      <c r="A364" s="1" t="s">
        <v>376</v>
      </c>
      <c r="B364" s="1" t="s">
        <v>22</v>
      </c>
      <c r="C364" s="1" t="s">
        <v>25</v>
      </c>
      <c r="D364" s="1" t="s">
        <v>16</v>
      </c>
      <c r="E364" s="35">
        <v>44925</v>
      </c>
      <c r="F364" s="1">
        <v>25308</v>
      </c>
      <c r="G364" s="1">
        <v>344189</v>
      </c>
      <c r="H364" s="3">
        <v>518</v>
      </c>
      <c r="I364" s="1">
        <v>13</v>
      </c>
      <c r="J364" s="2">
        <v>44938</v>
      </c>
      <c r="K364" s="8">
        <f>(F364/G364)*100</f>
        <v>7.3529369038522443</v>
      </c>
      <c r="L364" s="8">
        <f>(H364/G364)*100</f>
        <v>0.15049870855837927</v>
      </c>
    </row>
    <row r="365" spans="1:12" x14ac:dyDescent="0.3">
      <c r="A365" s="1" t="s">
        <v>377</v>
      </c>
      <c r="B365" s="1" t="s">
        <v>14</v>
      </c>
      <c r="C365" s="1" t="s">
        <v>25</v>
      </c>
      <c r="D365" s="1" t="s">
        <v>12</v>
      </c>
      <c r="E365" s="35">
        <v>44926</v>
      </c>
      <c r="F365" s="1">
        <v>18594</v>
      </c>
      <c r="G365" s="1">
        <v>647363</v>
      </c>
      <c r="H365" s="3">
        <v>1160</v>
      </c>
      <c r="I365" s="1">
        <v>4</v>
      </c>
      <c r="J365" s="2">
        <v>44930</v>
      </c>
      <c r="K365" s="8">
        <f>(F365/G365)*100</f>
        <v>2.8722679547641743</v>
      </c>
      <c r="L365" s="8">
        <f>(H365/G365)*100</f>
        <v>0.17918849239144033</v>
      </c>
    </row>
    <row r="366" spans="1:12" x14ac:dyDescent="0.3">
      <c r="A366" s="1" t="s">
        <v>378</v>
      </c>
      <c r="B366" s="1" t="s">
        <v>14</v>
      </c>
      <c r="C366" s="1" t="s">
        <v>15</v>
      </c>
      <c r="D366" s="1" t="s">
        <v>28</v>
      </c>
      <c r="E366" s="35">
        <v>44927</v>
      </c>
      <c r="F366" s="1">
        <v>49507</v>
      </c>
      <c r="G366" s="1">
        <v>533133</v>
      </c>
      <c r="H366" s="3">
        <v>1107</v>
      </c>
      <c r="I366" s="1">
        <v>20</v>
      </c>
      <c r="J366" s="2">
        <v>44947</v>
      </c>
      <c r="K366" s="8">
        <f>(F366/G366)*100</f>
        <v>9.2860505727463885</v>
      </c>
      <c r="L366" s="8">
        <f>(H366/G366)*100</f>
        <v>0.20764049496091969</v>
      </c>
    </row>
    <row r="367" spans="1:12" x14ac:dyDescent="0.3">
      <c r="A367" s="1" t="s">
        <v>379</v>
      </c>
      <c r="B367" s="1" t="s">
        <v>10</v>
      </c>
      <c r="C367" s="1" t="s">
        <v>18</v>
      </c>
      <c r="D367" s="1" t="s">
        <v>12</v>
      </c>
      <c r="E367" s="35">
        <v>44928</v>
      </c>
      <c r="F367" s="1">
        <v>3278</v>
      </c>
      <c r="G367" s="1">
        <v>90219</v>
      </c>
      <c r="H367" s="3">
        <v>1314</v>
      </c>
      <c r="I367" s="1">
        <v>25</v>
      </c>
      <c r="J367" s="2">
        <v>44953</v>
      </c>
      <c r="K367" s="8">
        <f>(F367/G367)*100</f>
        <v>3.6333809951340625</v>
      </c>
      <c r="L367" s="8">
        <f>(H367/G367)*100</f>
        <v>1.4564559571708842</v>
      </c>
    </row>
    <row r="368" spans="1:12" x14ac:dyDescent="0.3">
      <c r="A368" s="1" t="s">
        <v>380</v>
      </c>
      <c r="B368" s="1" t="s">
        <v>14</v>
      </c>
      <c r="C368" s="1" t="s">
        <v>30</v>
      </c>
      <c r="D368" s="1" t="s">
        <v>19</v>
      </c>
      <c r="E368" s="35">
        <v>44929</v>
      </c>
      <c r="F368" s="1">
        <v>73297</v>
      </c>
      <c r="G368" s="1">
        <v>848445</v>
      </c>
      <c r="H368" s="3">
        <v>2866</v>
      </c>
      <c r="I368" s="1">
        <v>11</v>
      </c>
      <c r="J368" s="2">
        <v>44940</v>
      </c>
      <c r="K368" s="8">
        <f>(F368/G368)*100</f>
        <v>8.6389807235589817</v>
      </c>
      <c r="L368" s="8">
        <f>(H368/G368)*100</f>
        <v>0.33779443570296247</v>
      </c>
    </row>
    <row r="369" spans="1:12" x14ac:dyDescent="0.3">
      <c r="A369" s="1" t="s">
        <v>381</v>
      </c>
      <c r="B369" s="1" t="s">
        <v>22</v>
      </c>
      <c r="C369" s="1" t="s">
        <v>27</v>
      </c>
      <c r="D369" s="1" t="s">
        <v>16</v>
      </c>
      <c r="E369" s="35">
        <v>44930</v>
      </c>
      <c r="F369" s="1">
        <v>57409</v>
      </c>
      <c r="G369" s="1">
        <v>230269</v>
      </c>
      <c r="H369" s="3">
        <v>1709</v>
      </c>
      <c r="I369" s="1">
        <v>20</v>
      </c>
      <c r="J369" s="2">
        <v>44950</v>
      </c>
      <c r="K369" s="8">
        <f>(F369/G369)*100</f>
        <v>24.9312760293396</v>
      </c>
      <c r="L369" s="8">
        <f>(H369/G369)*100</f>
        <v>0.74217545566272491</v>
      </c>
    </row>
    <row r="370" spans="1:12" x14ac:dyDescent="0.3">
      <c r="A370" s="1" t="s">
        <v>382</v>
      </c>
      <c r="B370" s="1" t="s">
        <v>10</v>
      </c>
      <c r="C370" s="1" t="s">
        <v>25</v>
      </c>
      <c r="D370" s="1" t="s">
        <v>16</v>
      </c>
      <c r="E370" s="35">
        <v>44931</v>
      </c>
      <c r="F370" s="1">
        <v>30728</v>
      </c>
      <c r="G370" s="1">
        <v>122417</v>
      </c>
      <c r="H370" s="3">
        <v>2863</v>
      </c>
      <c r="I370" s="1">
        <v>19</v>
      </c>
      <c r="J370" s="2">
        <v>44950</v>
      </c>
      <c r="K370" s="8">
        <f>(F370/G370)*100</f>
        <v>25.101088901051327</v>
      </c>
      <c r="L370" s="8">
        <f>(H370/G370)*100</f>
        <v>2.3387274643227656</v>
      </c>
    </row>
    <row r="371" spans="1:12" x14ac:dyDescent="0.3">
      <c r="A371" s="1" t="s">
        <v>383</v>
      </c>
      <c r="B371" s="1" t="s">
        <v>10</v>
      </c>
      <c r="C371" s="1" t="s">
        <v>25</v>
      </c>
      <c r="D371" s="1" t="s">
        <v>19</v>
      </c>
      <c r="E371" s="35">
        <v>44932</v>
      </c>
      <c r="F371" s="1">
        <v>52350</v>
      </c>
      <c r="G371" s="1">
        <v>692323</v>
      </c>
      <c r="H371" s="3">
        <v>1857</v>
      </c>
      <c r="I371" s="1">
        <v>8</v>
      </c>
      <c r="J371" s="2">
        <v>44940</v>
      </c>
      <c r="K371" s="8">
        <f>(F371/G371)*100</f>
        <v>7.5614994735116419</v>
      </c>
      <c r="L371" s="8">
        <f>(H371/G371)*100</f>
        <v>0.26822740252743299</v>
      </c>
    </row>
    <row r="372" spans="1:12" x14ac:dyDescent="0.3">
      <c r="A372" s="1" t="s">
        <v>384</v>
      </c>
      <c r="B372" s="1" t="s">
        <v>22</v>
      </c>
      <c r="C372" s="1" t="s">
        <v>37</v>
      </c>
      <c r="D372" s="1" t="s">
        <v>19</v>
      </c>
      <c r="E372" s="35">
        <v>44933</v>
      </c>
      <c r="F372" s="1">
        <v>21647</v>
      </c>
      <c r="G372" s="1">
        <v>245138</v>
      </c>
      <c r="H372" s="3">
        <v>2665</v>
      </c>
      <c r="I372" s="1">
        <v>10</v>
      </c>
      <c r="J372" s="2">
        <v>44943</v>
      </c>
      <c r="K372" s="8">
        <f>(F372/G372)*100</f>
        <v>8.8305362693666432</v>
      </c>
      <c r="L372" s="8">
        <f>(H372/G372)*100</f>
        <v>1.0871427522456738</v>
      </c>
    </row>
    <row r="373" spans="1:12" x14ac:dyDescent="0.3">
      <c r="A373" s="1" t="s">
        <v>385</v>
      </c>
      <c r="B373" s="1" t="s">
        <v>22</v>
      </c>
      <c r="C373" s="1" t="s">
        <v>15</v>
      </c>
      <c r="D373" s="1" t="s">
        <v>16</v>
      </c>
      <c r="E373" s="35">
        <v>44934</v>
      </c>
      <c r="F373" s="1">
        <v>33046</v>
      </c>
      <c r="G373" s="1">
        <v>851382</v>
      </c>
      <c r="H373" s="3">
        <v>232</v>
      </c>
      <c r="I373" s="1">
        <v>9</v>
      </c>
      <c r="J373" s="2">
        <v>44943</v>
      </c>
      <c r="K373" s="8">
        <f>(F373/G373)*100</f>
        <v>3.881453918452586</v>
      </c>
      <c r="L373" s="8">
        <f>(H373/G373)*100</f>
        <v>2.7249812657537977E-2</v>
      </c>
    </row>
    <row r="374" spans="1:12" x14ac:dyDescent="0.3">
      <c r="A374" s="1" t="s">
        <v>386</v>
      </c>
      <c r="B374" s="1" t="s">
        <v>22</v>
      </c>
      <c r="C374" s="1" t="s">
        <v>18</v>
      </c>
      <c r="D374" s="1" t="s">
        <v>19</v>
      </c>
      <c r="E374" s="35">
        <v>44935</v>
      </c>
      <c r="F374" s="1">
        <v>19103</v>
      </c>
      <c r="G374" s="1">
        <v>85023</v>
      </c>
      <c r="H374" s="3">
        <v>3723</v>
      </c>
      <c r="I374" s="1">
        <v>13</v>
      </c>
      <c r="J374" s="2">
        <v>44948</v>
      </c>
      <c r="K374" s="8">
        <f>(F374/G374)*100</f>
        <v>22.468038060289569</v>
      </c>
      <c r="L374" s="8">
        <f>(H374/G374)*100</f>
        <v>4.3788151441374685</v>
      </c>
    </row>
    <row r="375" spans="1:12" x14ac:dyDescent="0.3">
      <c r="A375" s="1" t="s">
        <v>387</v>
      </c>
      <c r="B375" s="1" t="s">
        <v>22</v>
      </c>
      <c r="C375" s="1" t="s">
        <v>27</v>
      </c>
      <c r="D375" s="1" t="s">
        <v>32</v>
      </c>
      <c r="E375" s="35">
        <v>44936</v>
      </c>
      <c r="F375" s="1">
        <v>85951</v>
      </c>
      <c r="G375" s="1">
        <v>366065</v>
      </c>
      <c r="H375" s="3">
        <v>586</v>
      </c>
      <c r="I375" s="1">
        <v>2</v>
      </c>
      <c r="J375" s="2">
        <v>44938</v>
      </c>
      <c r="K375" s="8">
        <f>(F375/G375)*100</f>
        <v>23.479709887588271</v>
      </c>
      <c r="L375" s="8">
        <f>(H375/G375)*100</f>
        <v>0.16008085995656507</v>
      </c>
    </row>
    <row r="376" spans="1:12" x14ac:dyDescent="0.3">
      <c r="A376" s="1" t="s">
        <v>388</v>
      </c>
      <c r="B376" s="1" t="s">
        <v>22</v>
      </c>
      <c r="C376" s="1" t="s">
        <v>30</v>
      </c>
      <c r="D376" s="1" t="s">
        <v>28</v>
      </c>
      <c r="E376" s="35">
        <v>44937</v>
      </c>
      <c r="F376" s="1">
        <v>8868</v>
      </c>
      <c r="G376" s="1">
        <v>924945</v>
      </c>
      <c r="H376" s="3">
        <v>1667</v>
      </c>
      <c r="I376" s="1">
        <v>11</v>
      </c>
      <c r="J376" s="2">
        <v>44948</v>
      </c>
      <c r="K376" s="8">
        <f>(F376/G376)*100</f>
        <v>0.95875971003681304</v>
      </c>
      <c r="L376" s="8">
        <f>(H376/G376)*100</f>
        <v>0.1802269324121975</v>
      </c>
    </row>
    <row r="377" spans="1:12" x14ac:dyDescent="0.3">
      <c r="A377" s="1" t="s">
        <v>389</v>
      </c>
      <c r="B377" s="1" t="s">
        <v>24</v>
      </c>
      <c r="C377" s="1" t="s">
        <v>27</v>
      </c>
      <c r="D377" s="1" t="s">
        <v>16</v>
      </c>
      <c r="E377" s="35">
        <v>44938</v>
      </c>
      <c r="F377" s="1">
        <v>9709</v>
      </c>
      <c r="G377" s="1">
        <v>842812</v>
      </c>
      <c r="H377" s="3">
        <v>448</v>
      </c>
      <c r="I377" s="1">
        <v>27</v>
      </c>
      <c r="J377" s="2">
        <v>44965</v>
      </c>
      <c r="K377" s="8">
        <f>(F377/G377)*100</f>
        <v>1.151976953341908</v>
      </c>
      <c r="L377" s="8">
        <f>(H377/G377)*100</f>
        <v>5.3155389339496831E-2</v>
      </c>
    </row>
    <row r="378" spans="1:12" x14ac:dyDescent="0.3">
      <c r="A378" s="1" t="s">
        <v>390</v>
      </c>
      <c r="B378" s="1" t="s">
        <v>14</v>
      </c>
      <c r="C378" s="1" t="s">
        <v>15</v>
      </c>
      <c r="D378" s="1" t="s">
        <v>28</v>
      </c>
      <c r="E378" s="35">
        <v>44939</v>
      </c>
      <c r="F378" s="1">
        <v>18732</v>
      </c>
      <c r="G378" s="1">
        <v>197987</v>
      </c>
      <c r="H378" s="3">
        <v>1369</v>
      </c>
      <c r="I378" s="1">
        <v>8</v>
      </c>
      <c r="J378" s="2">
        <v>44947</v>
      </c>
      <c r="K378" s="8">
        <f>(F378/G378)*100</f>
        <v>9.4612272522943428</v>
      </c>
      <c r="L378" s="8">
        <f>(H378/G378)*100</f>
        <v>0.69145954027284617</v>
      </c>
    </row>
    <row r="379" spans="1:12" x14ac:dyDescent="0.3">
      <c r="A379" s="1" t="s">
        <v>391</v>
      </c>
      <c r="B379" s="1" t="s">
        <v>22</v>
      </c>
      <c r="C379" s="1" t="s">
        <v>18</v>
      </c>
      <c r="D379" s="1" t="s">
        <v>32</v>
      </c>
      <c r="E379" s="35">
        <v>44940</v>
      </c>
      <c r="F379" s="1">
        <v>40212</v>
      </c>
      <c r="G379" s="1">
        <v>216874</v>
      </c>
      <c r="H379" s="3">
        <v>3186</v>
      </c>
      <c r="I379" s="1">
        <v>24</v>
      </c>
      <c r="J379" s="2">
        <v>44964</v>
      </c>
      <c r="K379" s="8">
        <f>(F379/G379)*100</f>
        <v>18.541641690566873</v>
      </c>
      <c r="L379" s="8">
        <f>(H379/G379)*100</f>
        <v>1.4690557650986287</v>
      </c>
    </row>
    <row r="380" spans="1:12" x14ac:dyDescent="0.3">
      <c r="A380" s="1" t="s">
        <v>392</v>
      </c>
      <c r="B380" s="1" t="s">
        <v>10</v>
      </c>
      <c r="C380" s="1" t="s">
        <v>18</v>
      </c>
      <c r="D380" s="1" t="s">
        <v>16</v>
      </c>
      <c r="E380" s="35">
        <v>44941</v>
      </c>
      <c r="F380" s="1">
        <v>38243</v>
      </c>
      <c r="G380" s="1">
        <v>43367</v>
      </c>
      <c r="H380" s="3">
        <v>548</v>
      </c>
      <c r="I380" s="1">
        <v>1</v>
      </c>
      <c r="J380" s="2">
        <v>44942</v>
      </c>
      <c r="K380" s="8">
        <f>(F380/G380)*100</f>
        <v>88.184564300043817</v>
      </c>
      <c r="L380" s="8">
        <f>(H380/G380)*100</f>
        <v>1.2636336384808726</v>
      </c>
    </row>
    <row r="381" spans="1:12" x14ac:dyDescent="0.3">
      <c r="A381" s="1" t="s">
        <v>393</v>
      </c>
      <c r="B381" s="1" t="s">
        <v>14</v>
      </c>
      <c r="C381" s="1" t="s">
        <v>11</v>
      </c>
      <c r="D381" s="1" t="s">
        <v>16</v>
      </c>
      <c r="E381" s="35">
        <v>44942</v>
      </c>
      <c r="F381" s="1">
        <v>97794</v>
      </c>
      <c r="G381" s="1">
        <v>621144</v>
      </c>
      <c r="H381" s="3">
        <v>758</v>
      </c>
      <c r="I381" s="1">
        <v>11</v>
      </c>
      <c r="J381" s="2">
        <v>44953</v>
      </c>
      <c r="K381" s="8">
        <f>(F381/G381)*100</f>
        <v>15.744175263706966</v>
      </c>
      <c r="L381" s="8">
        <f>(H381/G381)*100</f>
        <v>0.12203289414370903</v>
      </c>
    </row>
    <row r="382" spans="1:12" x14ac:dyDescent="0.3">
      <c r="A382" s="1" t="s">
        <v>394</v>
      </c>
      <c r="B382" s="1" t="s">
        <v>24</v>
      </c>
      <c r="C382" s="1" t="s">
        <v>11</v>
      </c>
      <c r="D382" s="1" t="s">
        <v>16</v>
      </c>
      <c r="E382" s="35">
        <v>44943</v>
      </c>
      <c r="F382" s="1">
        <v>20116</v>
      </c>
      <c r="G382" s="1">
        <v>578406</v>
      </c>
      <c r="H382" s="3">
        <v>34</v>
      </c>
      <c r="I382" s="1">
        <v>27</v>
      </c>
      <c r="J382" s="2">
        <v>44970</v>
      </c>
      <c r="K382" s="8">
        <f>(F382/G382)*100</f>
        <v>3.4778339090535022</v>
      </c>
      <c r="L382" s="8">
        <f>(H382/G382)*100</f>
        <v>5.8782239465012464E-3</v>
      </c>
    </row>
    <row r="383" spans="1:12" x14ac:dyDescent="0.3">
      <c r="A383" s="1" t="s">
        <v>395</v>
      </c>
      <c r="B383" s="1" t="s">
        <v>10</v>
      </c>
      <c r="C383" s="1" t="s">
        <v>30</v>
      </c>
      <c r="D383" s="1" t="s">
        <v>19</v>
      </c>
      <c r="E383" s="35">
        <v>44944</v>
      </c>
      <c r="F383" s="1">
        <v>85132</v>
      </c>
      <c r="G383" s="1">
        <v>481917</v>
      </c>
      <c r="H383" s="3">
        <v>2843</v>
      </c>
      <c r="I383" s="1">
        <v>1</v>
      </c>
      <c r="J383" s="2">
        <v>44945</v>
      </c>
      <c r="K383" s="8">
        <f>(F383/G383)*100</f>
        <v>17.665282610906026</v>
      </c>
      <c r="L383" s="8">
        <f>(H383/G383)*100</f>
        <v>0.58993561131896155</v>
      </c>
    </row>
    <row r="384" spans="1:12" x14ac:dyDescent="0.3">
      <c r="A384" s="1" t="s">
        <v>396</v>
      </c>
      <c r="B384" s="1" t="s">
        <v>14</v>
      </c>
      <c r="C384" s="1" t="s">
        <v>37</v>
      </c>
      <c r="D384" s="1" t="s">
        <v>28</v>
      </c>
      <c r="E384" s="35">
        <v>44945</v>
      </c>
      <c r="F384" s="1">
        <v>50894</v>
      </c>
      <c r="G384" s="1">
        <v>795433</v>
      </c>
      <c r="H384" s="3">
        <v>4170</v>
      </c>
      <c r="I384" s="1">
        <v>6</v>
      </c>
      <c r="J384" s="2">
        <v>44951</v>
      </c>
      <c r="K384" s="8">
        <f>(F384/G384)*100</f>
        <v>6.3982761590228217</v>
      </c>
      <c r="L384" s="8">
        <f>(H384/G384)*100</f>
        <v>0.52424277091848093</v>
      </c>
    </row>
    <row r="385" spans="1:12" x14ac:dyDescent="0.3">
      <c r="A385" s="1" t="s">
        <v>397</v>
      </c>
      <c r="B385" s="1" t="s">
        <v>22</v>
      </c>
      <c r="C385" s="1" t="s">
        <v>25</v>
      </c>
      <c r="D385" s="1" t="s">
        <v>16</v>
      </c>
      <c r="E385" s="35">
        <v>44946</v>
      </c>
      <c r="F385" s="1">
        <v>18122</v>
      </c>
      <c r="G385" s="1">
        <v>224218</v>
      </c>
      <c r="H385" s="3">
        <v>1212</v>
      </c>
      <c r="I385" s="1">
        <v>6</v>
      </c>
      <c r="J385" s="2">
        <v>44952</v>
      </c>
      <c r="K385" s="8">
        <f>(F385/G385)*100</f>
        <v>8.0823127491994402</v>
      </c>
      <c r="L385" s="8">
        <f>(H385/G385)*100</f>
        <v>0.54054536210295334</v>
      </c>
    </row>
    <row r="386" spans="1:12" x14ac:dyDescent="0.3">
      <c r="A386" s="1" t="s">
        <v>398</v>
      </c>
      <c r="B386" s="1" t="s">
        <v>24</v>
      </c>
      <c r="C386" s="1" t="s">
        <v>37</v>
      </c>
      <c r="D386" s="1" t="s">
        <v>32</v>
      </c>
      <c r="E386" s="35">
        <v>44947</v>
      </c>
      <c r="F386" s="1">
        <v>21076</v>
      </c>
      <c r="G386" s="1">
        <v>592534</v>
      </c>
      <c r="H386" s="3">
        <v>1370</v>
      </c>
      <c r="I386" s="1">
        <v>16</v>
      </c>
      <c r="J386" s="2">
        <v>44963</v>
      </c>
      <c r="K386" s="8">
        <f>(F386/G386)*100</f>
        <v>3.5569266911265851</v>
      </c>
      <c r="L386" s="8">
        <f>(H386/G386)*100</f>
        <v>0.23121036092443639</v>
      </c>
    </row>
    <row r="387" spans="1:12" x14ac:dyDescent="0.3">
      <c r="A387" s="1" t="s">
        <v>399</v>
      </c>
      <c r="B387" s="1" t="s">
        <v>10</v>
      </c>
      <c r="C387" s="1" t="s">
        <v>30</v>
      </c>
      <c r="D387" s="1" t="s">
        <v>19</v>
      </c>
      <c r="E387" s="35">
        <v>44948</v>
      </c>
      <c r="F387" s="1">
        <v>21973</v>
      </c>
      <c r="G387" s="1">
        <v>192116</v>
      </c>
      <c r="H387" s="3">
        <v>1289</v>
      </c>
      <c r="I387" s="1">
        <v>28</v>
      </c>
      <c r="J387" s="2">
        <v>44976</v>
      </c>
      <c r="K387" s="8">
        <f>(F387/G387)*100</f>
        <v>11.43736076120677</v>
      </c>
      <c r="L387" s="8">
        <f>(H387/G387)*100</f>
        <v>0.6709488017655999</v>
      </c>
    </row>
    <row r="388" spans="1:12" x14ac:dyDescent="0.3">
      <c r="A388" s="1" t="s">
        <v>400</v>
      </c>
      <c r="B388" s="1" t="s">
        <v>24</v>
      </c>
      <c r="C388" s="1" t="s">
        <v>30</v>
      </c>
      <c r="D388" s="1" t="s">
        <v>19</v>
      </c>
      <c r="E388" s="35">
        <v>44949</v>
      </c>
      <c r="F388" s="1">
        <v>58866</v>
      </c>
      <c r="G388" s="1">
        <v>125509</v>
      </c>
      <c r="H388" s="3">
        <v>4245</v>
      </c>
      <c r="I388" s="1">
        <v>29</v>
      </c>
      <c r="J388" s="2">
        <v>44978</v>
      </c>
      <c r="K388" s="8">
        <f>(F388/G388)*100</f>
        <v>46.901815806037817</v>
      </c>
      <c r="L388" s="8">
        <f>(H388/G388)*100</f>
        <v>3.3822275693376569</v>
      </c>
    </row>
    <row r="389" spans="1:12" x14ac:dyDescent="0.3">
      <c r="A389" s="1" t="s">
        <v>401</v>
      </c>
      <c r="B389" s="1" t="s">
        <v>22</v>
      </c>
      <c r="C389" s="1" t="s">
        <v>18</v>
      </c>
      <c r="D389" s="1" t="s">
        <v>28</v>
      </c>
      <c r="E389" s="35">
        <v>44950</v>
      </c>
      <c r="F389" s="1">
        <v>85535</v>
      </c>
      <c r="G389" s="1">
        <v>352607</v>
      </c>
      <c r="H389" s="3">
        <v>253</v>
      </c>
      <c r="I389" s="1">
        <v>8</v>
      </c>
      <c r="J389" s="2">
        <v>44958</v>
      </c>
      <c r="K389" s="8">
        <f>(F389/G389)*100</f>
        <v>24.257884840629938</v>
      </c>
      <c r="L389" s="8">
        <f>(H389/G389)*100</f>
        <v>7.1751269827314834E-2</v>
      </c>
    </row>
    <row r="390" spans="1:12" x14ac:dyDescent="0.3">
      <c r="A390" s="1" t="s">
        <v>402</v>
      </c>
      <c r="B390" s="1" t="s">
        <v>10</v>
      </c>
      <c r="C390" s="1" t="s">
        <v>25</v>
      </c>
      <c r="D390" s="1" t="s">
        <v>16</v>
      </c>
      <c r="E390" s="35">
        <v>44951</v>
      </c>
      <c r="F390" s="1">
        <v>87606</v>
      </c>
      <c r="G390" s="1">
        <v>876527</v>
      </c>
      <c r="H390" s="3">
        <v>4876</v>
      </c>
      <c r="I390" s="1">
        <v>2</v>
      </c>
      <c r="J390" s="2">
        <v>44953</v>
      </c>
      <c r="K390" s="8">
        <f>(F390/G390)*100</f>
        <v>9.9946721549935145</v>
      </c>
      <c r="L390" s="8">
        <f>(H390/G390)*100</f>
        <v>0.55628634371787744</v>
      </c>
    </row>
    <row r="391" spans="1:12" x14ac:dyDescent="0.3">
      <c r="A391" s="1" t="s">
        <v>403</v>
      </c>
      <c r="B391" s="1" t="s">
        <v>14</v>
      </c>
      <c r="C391" s="1" t="s">
        <v>11</v>
      </c>
      <c r="D391" s="1" t="s">
        <v>16</v>
      </c>
      <c r="E391" s="35">
        <v>44952</v>
      </c>
      <c r="F391" s="1">
        <v>91046</v>
      </c>
      <c r="G391" s="1">
        <v>556736</v>
      </c>
      <c r="H391" s="3">
        <v>2338</v>
      </c>
      <c r="I391" s="1">
        <v>11</v>
      </c>
      <c r="J391" s="2">
        <v>44963</v>
      </c>
      <c r="K391" s="8">
        <f>(F391/G391)*100</f>
        <v>16.353532015174157</v>
      </c>
      <c r="L391" s="8">
        <f>(H391/G391)*100</f>
        <v>0.41994769513737207</v>
      </c>
    </row>
    <row r="392" spans="1:12" x14ac:dyDescent="0.3">
      <c r="A392" s="1" t="s">
        <v>404</v>
      </c>
      <c r="B392" s="1" t="s">
        <v>22</v>
      </c>
      <c r="C392" s="1" t="s">
        <v>27</v>
      </c>
      <c r="D392" s="1" t="s">
        <v>19</v>
      </c>
      <c r="E392" s="35">
        <v>44953</v>
      </c>
      <c r="F392" s="1">
        <v>85701</v>
      </c>
      <c r="G392" s="1">
        <v>158282</v>
      </c>
      <c r="H392" s="3">
        <v>4300</v>
      </c>
      <c r="I392" s="1">
        <v>13</v>
      </c>
      <c r="J392" s="2">
        <v>44966</v>
      </c>
      <c r="K392" s="8">
        <f>(F392/G392)*100</f>
        <v>54.144501585777284</v>
      </c>
      <c r="L392" s="8">
        <f>(H392/G392)*100</f>
        <v>2.7166702467747439</v>
      </c>
    </row>
    <row r="393" spans="1:12" x14ac:dyDescent="0.3">
      <c r="A393" s="1" t="s">
        <v>405</v>
      </c>
      <c r="B393" s="1" t="s">
        <v>14</v>
      </c>
      <c r="C393" s="1" t="s">
        <v>18</v>
      </c>
      <c r="D393" s="1" t="s">
        <v>16</v>
      </c>
      <c r="E393" s="35">
        <v>44954</v>
      </c>
      <c r="F393" s="1">
        <v>95885</v>
      </c>
      <c r="G393" s="1">
        <v>612847</v>
      </c>
      <c r="H393" s="3">
        <v>1032</v>
      </c>
      <c r="I393" s="1">
        <v>3</v>
      </c>
      <c r="J393" s="2">
        <v>44957</v>
      </c>
      <c r="K393" s="8">
        <f>(F393/G393)*100</f>
        <v>15.645830035881714</v>
      </c>
      <c r="L393" s="8">
        <f>(H393/G393)*100</f>
        <v>0.16839439533847764</v>
      </c>
    </row>
    <row r="394" spans="1:12" x14ac:dyDescent="0.3">
      <c r="A394" s="1" t="s">
        <v>406</v>
      </c>
      <c r="B394" s="1" t="s">
        <v>14</v>
      </c>
      <c r="C394" s="1" t="s">
        <v>37</v>
      </c>
      <c r="D394" s="1" t="s">
        <v>28</v>
      </c>
      <c r="E394" s="35">
        <v>44955</v>
      </c>
      <c r="F394" s="1">
        <v>52237</v>
      </c>
      <c r="G394" s="1">
        <v>193209</v>
      </c>
      <c r="H394" s="3">
        <v>2103</v>
      </c>
      <c r="I394" s="1">
        <v>21</v>
      </c>
      <c r="J394" s="2">
        <v>44976</v>
      </c>
      <c r="K394" s="8">
        <f>(F394/G394)*100</f>
        <v>27.036525213628764</v>
      </c>
      <c r="L394" s="8">
        <f>(H394/G394)*100</f>
        <v>1.0884586121764512</v>
      </c>
    </row>
    <row r="395" spans="1:12" x14ac:dyDescent="0.3">
      <c r="A395" s="1" t="s">
        <v>407</v>
      </c>
      <c r="B395" s="1" t="s">
        <v>22</v>
      </c>
      <c r="C395" s="1" t="s">
        <v>11</v>
      </c>
      <c r="D395" s="1" t="s">
        <v>19</v>
      </c>
      <c r="E395" s="35">
        <v>44956</v>
      </c>
      <c r="F395" s="1">
        <v>32707</v>
      </c>
      <c r="G395" s="1">
        <v>243911</v>
      </c>
      <c r="H395" s="3">
        <v>1126</v>
      </c>
      <c r="I395" s="1">
        <v>24</v>
      </c>
      <c r="J395" s="2">
        <v>44980</v>
      </c>
      <c r="K395" s="8">
        <f>(F395/G395)*100</f>
        <v>13.409399330083513</v>
      </c>
      <c r="L395" s="8">
        <f>(H395/G395)*100</f>
        <v>0.46164379630274971</v>
      </c>
    </row>
    <row r="396" spans="1:12" x14ac:dyDescent="0.3">
      <c r="A396" s="1" t="s">
        <v>408</v>
      </c>
      <c r="B396" s="1" t="s">
        <v>14</v>
      </c>
      <c r="C396" s="1" t="s">
        <v>18</v>
      </c>
      <c r="D396" s="1" t="s">
        <v>32</v>
      </c>
      <c r="E396" s="35">
        <v>44957</v>
      </c>
      <c r="F396" s="1">
        <v>41714</v>
      </c>
      <c r="G396" s="1">
        <v>858676</v>
      </c>
      <c r="H396" s="3">
        <v>2412</v>
      </c>
      <c r="I396" s="1">
        <v>8</v>
      </c>
      <c r="J396" s="2">
        <v>44965</v>
      </c>
      <c r="K396" s="8">
        <f>(F396/G396)*100</f>
        <v>4.8579440906698217</v>
      </c>
      <c r="L396" s="8">
        <f>(H396/G396)*100</f>
        <v>0.28089756788357895</v>
      </c>
    </row>
    <row r="397" spans="1:12" x14ac:dyDescent="0.3">
      <c r="A397" s="1" t="s">
        <v>409</v>
      </c>
      <c r="B397" s="1" t="s">
        <v>10</v>
      </c>
      <c r="C397" s="1" t="s">
        <v>15</v>
      </c>
      <c r="D397" s="1" t="s">
        <v>19</v>
      </c>
      <c r="E397" s="35">
        <v>44958</v>
      </c>
      <c r="F397" s="1">
        <v>84654</v>
      </c>
      <c r="G397" s="1">
        <v>356943</v>
      </c>
      <c r="H397" s="3">
        <v>898</v>
      </c>
      <c r="I397" s="1">
        <v>1</v>
      </c>
      <c r="J397" s="2">
        <v>44959</v>
      </c>
      <c r="K397" s="8">
        <f>(F397/G397)*100</f>
        <v>23.716391692791287</v>
      </c>
      <c r="L397" s="8">
        <f>(H397/G397)*100</f>
        <v>0.25158078460706612</v>
      </c>
    </row>
    <row r="398" spans="1:12" x14ac:dyDescent="0.3">
      <c r="A398" s="1" t="s">
        <v>410</v>
      </c>
      <c r="B398" s="1" t="s">
        <v>22</v>
      </c>
      <c r="C398" s="1" t="s">
        <v>15</v>
      </c>
      <c r="D398" s="1" t="s">
        <v>16</v>
      </c>
      <c r="E398" s="35">
        <v>44959</v>
      </c>
      <c r="F398" s="1">
        <v>85089</v>
      </c>
      <c r="G398" s="1">
        <v>736697</v>
      </c>
      <c r="H398" s="3">
        <v>1399</v>
      </c>
      <c r="I398" s="1">
        <v>23</v>
      </c>
      <c r="J398" s="2">
        <v>44982</v>
      </c>
      <c r="K398" s="8">
        <f>(F398/G398)*100</f>
        <v>11.55006739541494</v>
      </c>
      <c r="L398" s="8">
        <f>(H398/G398)*100</f>
        <v>0.18990168278138772</v>
      </c>
    </row>
    <row r="399" spans="1:12" x14ac:dyDescent="0.3">
      <c r="A399" s="1" t="s">
        <v>411</v>
      </c>
      <c r="B399" s="1" t="s">
        <v>14</v>
      </c>
      <c r="C399" s="1" t="s">
        <v>15</v>
      </c>
      <c r="D399" s="1" t="s">
        <v>16</v>
      </c>
      <c r="E399" s="35">
        <v>44960</v>
      </c>
      <c r="F399" s="1">
        <v>59108</v>
      </c>
      <c r="G399" s="1">
        <v>638454</v>
      </c>
      <c r="H399" s="3">
        <v>930</v>
      </c>
      <c r="I399" s="1">
        <v>16</v>
      </c>
      <c r="J399" s="2">
        <v>44976</v>
      </c>
      <c r="K399" s="8">
        <f>(F399/G399)*100</f>
        <v>9.2579888292656953</v>
      </c>
      <c r="L399" s="8">
        <f>(H399/G399)*100</f>
        <v>0.14566437049497694</v>
      </c>
    </row>
    <row r="400" spans="1:12" x14ac:dyDescent="0.3">
      <c r="A400" s="1" t="s">
        <v>412</v>
      </c>
      <c r="B400" s="1" t="s">
        <v>14</v>
      </c>
      <c r="C400" s="1" t="s">
        <v>11</v>
      </c>
      <c r="D400" s="1" t="s">
        <v>16</v>
      </c>
      <c r="E400" s="35">
        <v>44961</v>
      </c>
      <c r="F400" s="1">
        <v>58518</v>
      </c>
      <c r="G400" s="1">
        <v>989974</v>
      </c>
      <c r="H400" s="3">
        <v>4775</v>
      </c>
      <c r="I400" s="1">
        <v>21</v>
      </c>
      <c r="J400" s="2">
        <v>44982</v>
      </c>
      <c r="K400" s="8">
        <f>(F400/G400)*100</f>
        <v>5.9110643309824296</v>
      </c>
      <c r="L400" s="8">
        <f>(H400/G400)*100</f>
        <v>0.48233589973069996</v>
      </c>
    </row>
    <row r="401" spans="1:12" x14ac:dyDescent="0.3">
      <c r="A401" s="1" t="s">
        <v>413</v>
      </c>
      <c r="B401" s="1" t="s">
        <v>22</v>
      </c>
      <c r="C401" s="1" t="s">
        <v>25</v>
      </c>
      <c r="D401" s="1" t="s">
        <v>12</v>
      </c>
      <c r="E401" s="35">
        <v>44962</v>
      </c>
      <c r="F401" s="1">
        <v>1370</v>
      </c>
      <c r="G401" s="1">
        <v>503940</v>
      </c>
      <c r="H401" s="3">
        <v>1838</v>
      </c>
      <c r="I401" s="1">
        <v>17</v>
      </c>
      <c r="J401" s="2">
        <v>44979</v>
      </c>
      <c r="K401" s="8">
        <f>(F401/G401)*100</f>
        <v>0.27185776084454494</v>
      </c>
      <c r="L401" s="8">
        <f>(H401/G401)*100</f>
        <v>0.36472595943961583</v>
      </c>
    </row>
    <row r="402" spans="1:12" x14ac:dyDescent="0.3">
      <c r="A402" s="1" t="s">
        <v>414</v>
      </c>
      <c r="B402" s="1" t="s">
        <v>24</v>
      </c>
      <c r="C402" s="1" t="s">
        <v>30</v>
      </c>
      <c r="D402" s="1" t="s">
        <v>16</v>
      </c>
      <c r="E402" s="35">
        <v>44963</v>
      </c>
      <c r="F402" s="1">
        <v>14869</v>
      </c>
      <c r="G402" s="1">
        <v>887412</v>
      </c>
      <c r="H402" s="3">
        <v>3805</v>
      </c>
      <c r="I402" s="1">
        <v>24</v>
      </c>
      <c r="J402" s="2">
        <v>44987</v>
      </c>
      <c r="K402" s="8">
        <f>(F402/G402)*100</f>
        <v>1.675546420377457</v>
      </c>
      <c r="L402" s="8">
        <f>(H402/G402)*100</f>
        <v>0.42877490951215447</v>
      </c>
    </row>
    <row r="403" spans="1:12" x14ac:dyDescent="0.3">
      <c r="A403" s="1" t="s">
        <v>415</v>
      </c>
      <c r="B403" s="1" t="s">
        <v>10</v>
      </c>
      <c r="C403" s="1" t="s">
        <v>37</v>
      </c>
      <c r="D403" s="1" t="s">
        <v>16</v>
      </c>
      <c r="E403" s="35">
        <v>44964</v>
      </c>
      <c r="F403" s="1">
        <v>86484</v>
      </c>
      <c r="G403" s="1">
        <v>873217</v>
      </c>
      <c r="H403" s="3">
        <v>2323</v>
      </c>
      <c r="I403" s="1">
        <v>24</v>
      </c>
      <c r="J403" s="2">
        <v>44988</v>
      </c>
      <c r="K403" s="8">
        <f>(F403/G403)*100</f>
        <v>9.9040673738601051</v>
      </c>
      <c r="L403" s="8">
        <f>(H403/G403)*100</f>
        <v>0.26602780294016265</v>
      </c>
    </row>
    <row r="404" spans="1:12" x14ac:dyDescent="0.3">
      <c r="A404" s="1" t="s">
        <v>416</v>
      </c>
      <c r="B404" s="1" t="s">
        <v>22</v>
      </c>
      <c r="C404" s="1" t="s">
        <v>37</v>
      </c>
      <c r="D404" s="1" t="s">
        <v>28</v>
      </c>
      <c r="E404" s="35">
        <v>44965</v>
      </c>
      <c r="F404" s="1">
        <v>24272</v>
      </c>
      <c r="G404" s="1">
        <v>640721</v>
      </c>
      <c r="H404" s="3">
        <v>592</v>
      </c>
      <c r="I404" s="1">
        <v>22</v>
      </c>
      <c r="J404" s="2">
        <v>44987</v>
      </c>
      <c r="K404" s="8">
        <f>(F404/G404)*100</f>
        <v>3.7882323195275318</v>
      </c>
      <c r="L404" s="8">
        <f>(H404/G404)*100</f>
        <v>9.2395910232378836E-2</v>
      </c>
    </row>
    <row r="405" spans="1:12" x14ac:dyDescent="0.3">
      <c r="A405" s="1" t="s">
        <v>417</v>
      </c>
      <c r="B405" s="1" t="s">
        <v>24</v>
      </c>
      <c r="C405" s="1" t="s">
        <v>30</v>
      </c>
      <c r="D405" s="1" t="s">
        <v>12</v>
      </c>
      <c r="E405" s="35">
        <v>44966</v>
      </c>
      <c r="F405" s="1">
        <v>578</v>
      </c>
      <c r="G405" s="1">
        <v>869542</v>
      </c>
      <c r="H405" s="3">
        <v>2363</v>
      </c>
      <c r="I405" s="1">
        <v>3</v>
      </c>
      <c r="J405" s="2">
        <v>44969</v>
      </c>
      <c r="K405" s="8">
        <f>(F405/G405)*100</f>
        <v>6.6471774796387065E-2</v>
      </c>
      <c r="L405" s="8">
        <f>(H405/G405)*100</f>
        <v>0.27175225578522949</v>
      </c>
    </row>
    <row r="406" spans="1:12" x14ac:dyDescent="0.3">
      <c r="A406" s="1" t="s">
        <v>418</v>
      </c>
      <c r="B406" s="1" t="s">
        <v>10</v>
      </c>
      <c r="C406" s="1" t="s">
        <v>27</v>
      </c>
      <c r="D406" s="1" t="s">
        <v>16</v>
      </c>
      <c r="E406" s="35">
        <v>44967</v>
      </c>
      <c r="F406" s="1">
        <v>34713</v>
      </c>
      <c r="G406" s="1">
        <v>373108</v>
      </c>
      <c r="H406" s="3">
        <v>894</v>
      </c>
      <c r="I406" s="1">
        <v>22</v>
      </c>
      <c r="J406" s="2">
        <v>44989</v>
      </c>
      <c r="K406" s="8">
        <f>(F406/G406)*100</f>
        <v>9.3037404719276982</v>
      </c>
      <c r="L406" s="8">
        <f>(H406/G406)*100</f>
        <v>0.23960890680446412</v>
      </c>
    </row>
    <row r="407" spans="1:12" x14ac:dyDescent="0.3">
      <c r="A407" s="1" t="s">
        <v>419</v>
      </c>
      <c r="B407" s="1" t="s">
        <v>22</v>
      </c>
      <c r="C407" s="1" t="s">
        <v>18</v>
      </c>
      <c r="D407" s="1" t="s">
        <v>28</v>
      </c>
      <c r="E407" s="35">
        <v>44968</v>
      </c>
      <c r="F407" s="1">
        <v>23408</v>
      </c>
      <c r="G407" s="1">
        <v>411081</v>
      </c>
      <c r="H407" s="3">
        <v>238</v>
      </c>
      <c r="I407" s="1">
        <v>1</v>
      </c>
      <c r="J407" s="2">
        <v>44969</v>
      </c>
      <c r="K407" s="8">
        <f>(F407/G407)*100</f>
        <v>5.6942549035348264</v>
      </c>
      <c r="L407" s="8">
        <f>(H407/G407)*100</f>
        <v>5.7896132392399546E-2</v>
      </c>
    </row>
    <row r="408" spans="1:12" x14ac:dyDescent="0.3">
      <c r="A408" s="1" t="s">
        <v>420</v>
      </c>
      <c r="B408" s="1" t="s">
        <v>10</v>
      </c>
      <c r="C408" s="1" t="s">
        <v>15</v>
      </c>
      <c r="D408" s="1" t="s">
        <v>19</v>
      </c>
      <c r="E408" s="35">
        <v>44969</v>
      </c>
      <c r="F408" s="1">
        <v>52416</v>
      </c>
      <c r="G408" s="1">
        <v>740021</v>
      </c>
      <c r="H408" s="3">
        <v>3615</v>
      </c>
      <c r="I408" s="1">
        <v>12</v>
      </c>
      <c r="J408" s="2">
        <v>44981</v>
      </c>
      <c r="K408" s="8">
        <f>(F408/G408)*100</f>
        <v>7.0830422379905427</v>
      </c>
      <c r="L408" s="8">
        <f>(H408/G408)*100</f>
        <v>0.48849965068558865</v>
      </c>
    </row>
    <row r="409" spans="1:12" x14ac:dyDescent="0.3">
      <c r="A409" s="1" t="s">
        <v>1359</v>
      </c>
      <c r="B409" s="1" t="s">
        <v>22</v>
      </c>
      <c r="C409" s="1" t="s">
        <v>11</v>
      </c>
      <c r="D409" s="1" t="s">
        <v>12</v>
      </c>
      <c r="E409" s="35">
        <v>44970</v>
      </c>
      <c r="F409" s="1">
        <v>47085</v>
      </c>
      <c r="G409" s="1">
        <v>994752</v>
      </c>
      <c r="H409" s="3">
        <v>2269</v>
      </c>
      <c r="I409" s="1">
        <v>19</v>
      </c>
      <c r="J409" s="2">
        <v>44989</v>
      </c>
      <c r="K409" s="8">
        <f>(F409/G409)*100</f>
        <v>4.7333405713182781</v>
      </c>
      <c r="L409" s="8">
        <f>(H409/G409)*100</f>
        <v>0.22809705333590685</v>
      </c>
    </row>
    <row r="410" spans="1:12" x14ac:dyDescent="0.3">
      <c r="A410" s="1" t="s">
        <v>421</v>
      </c>
      <c r="B410" s="1" t="s">
        <v>24</v>
      </c>
      <c r="C410" s="1" t="s">
        <v>11</v>
      </c>
      <c r="D410" s="1" t="s">
        <v>12</v>
      </c>
      <c r="E410" s="35">
        <v>44971</v>
      </c>
      <c r="F410" s="1">
        <v>93657</v>
      </c>
      <c r="G410" s="1">
        <v>768553</v>
      </c>
      <c r="H410" s="3">
        <v>3786</v>
      </c>
      <c r="I410" s="1">
        <v>4</v>
      </c>
      <c r="J410" s="2">
        <v>44975</v>
      </c>
      <c r="K410" s="8">
        <f>(F410/G410)*100</f>
        <v>12.186147214310528</v>
      </c>
      <c r="L410" s="8">
        <f>(H410/G410)*100</f>
        <v>0.49261404223261113</v>
      </c>
    </row>
    <row r="411" spans="1:12" x14ac:dyDescent="0.3">
      <c r="A411" s="1" t="s">
        <v>422</v>
      </c>
      <c r="B411" s="1" t="s">
        <v>14</v>
      </c>
      <c r="C411" s="1" t="s">
        <v>11</v>
      </c>
      <c r="D411" s="1" t="s">
        <v>19</v>
      </c>
      <c r="E411" s="35">
        <v>44972</v>
      </c>
      <c r="F411" s="1">
        <v>35248</v>
      </c>
      <c r="G411" s="1">
        <v>711710</v>
      </c>
      <c r="H411" s="3">
        <v>2879</v>
      </c>
      <c r="I411" s="1">
        <v>18</v>
      </c>
      <c r="J411" s="2">
        <v>44990</v>
      </c>
      <c r="K411" s="8">
        <f>(F411/G411)*100</f>
        <v>4.9525789998735439</v>
      </c>
      <c r="L411" s="8">
        <f>(H411/G411)*100</f>
        <v>0.40451869441204991</v>
      </c>
    </row>
    <row r="412" spans="1:12" x14ac:dyDescent="0.3">
      <c r="A412" s="1" t="s">
        <v>423</v>
      </c>
      <c r="B412" s="1" t="s">
        <v>14</v>
      </c>
      <c r="C412" s="1" t="s">
        <v>15</v>
      </c>
      <c r="D412" s="1" t="s">
        <v>19</v>
      </c>
      <c r="E412" s="35">
        <v>44973</v>
      </c>
      <c r="F412" s="1">
        <v>74762</v>
      </c>
      <c r="G412" s="1">
        <v>214141</v>
      </c>
      <c r="H412" s="3">
        <v>3371</v>
      </c>
      <c r="I412" s="1">
        <v>16</v>
      </c>
      <c r="J412" s="2">
        <v>44989</v>
      </c>
      <c r="K412" s="8">
        <f>(F412/G412)*100</f>
        <v>34.912510915705077</v>
      </c>
      <c r="L412" s="8">
        <f>(H412/G412)*100</f>
        <v>1.5741964406629276</v>
      </c>
    </row>
    <row r="413" spans="1:12" x14ac:dyDescent="0.3">
      <c r="A413" s="1" t="s">
        <v>424</v>
      </c>
      <c r="B413" s="1" t="s">
        <v>22</v>
      </c>
      <c r="C413" s="1" t="s">
        <v>37</v>
      </c>
      <c r="D413" s="1" t="s">
        <v>12</v>
      </c>
      <c r="E413" s="35">
        <v>44974</v>
      </c>
      <c r="F413" s="1">
        <v>95814</v>
      </c>
      <c r="G413" s="1">
        <v>970005</v>
      </c>
      <c r="H413" s="3">
        <v>4840</v>
      </c>
      <c r="I413" s="1">
        <v>3</v>
      </c>
      <c r="J413" s="2">
        <v>44977</v>
      </c>
      <c r="K413" s="8">
        <f>(F413/G413)*100</f>
        <v>9.877681042881223</v>
      </c>
      <c r="L413" s="8">
        <f>(H413/G413)*100</f>
        <v>0.49896650017267946</v>
      </c>
    </row>
    <row r="414" spans="1:12" x14ac:dyDescent="0.3">
      <c r="A414" s="1" t="s">
        <v>425</v>
      </c>
      <c r="B414" s="1" t="s">
        <v>10</v>
      </c>
      <c r="C414" s="1" t="s">
        <v>15</v>
      </c>
      <c r="D414" s="1" t="s">
        <v>19</v>
      </c>
      <c r="E414" s="35">
        <v>44975</v>
      </c>
      <c r="F414" s="1">
        <v>21131</v>
      </c>
      <c r="G414" s="1">
        <v>18177</v>
      </c>
      <c r="H414" s="3">
        <v>1786</v>
      </c>
      <c r="I414" s="1">
        <v>27</v>
      </c>
      <c r="J414" s="2">
        <v>45002</v>
      </c>
      <c r="K414" s="8">
        <f>(F414/G414)*100</f>
        <v>116.251306596248</v>
      </c>
      <c r="L414" s="8">
        <f>(H414/G414)*100</f>
        <v>9.8256037850030253</v>
      </c>
    </row>
    <row r="415" spans="1:12" x14ac:dyDescent="0.3">
      <c r="A415" s="1" t="s">
        <v>1360</v>
      </c>
      <c r="B415" s="1" t="s">
        <v>22</v>
      </c>
      <c r="C415" s="1" t="s">
        <v>37</v>
      </c>
      <c r="D415" s="1" t="s">
        <v>16</v>
      </c>
      <c r="E415" s="35">
        <v>44976</v>
      </c>
      <c r="F415" s="1">
        <v>38424</v>
      </c>
      <c r="G415" s="1">
        <v>856270</v>
      </c>
      <c r="H415" s="3">
        <v>3517</v>
      </c>
      <c r="I415" s="1">
        <v>15</v>
      </c>
      <c r="J415" s="2">
        <v>44991</v>
      </c>
      <c r="K415" s="8">
        <f>(F415/G415)*100</f>
        <v>4.4873696380814465</v>
      </c>
      <c r="L415" s="8">
        <f>(H415/G415)*100</f>
        <v>0.41073493173882064</v>
      </c>
    </row>
    <row r="416" spans="1:12" x14ac:dyDescent="0.3">
      <c r="A416" s="1" t="s">
        <v>426</v>
      </c>
      <c r="B416" s="1" t="s">
        <v>22</v>
      </c>
      <c r="C416" s="1" t="s">
        <v>37</v>
      </c>
      <c r="D416" s="1" t="s">
        <v>28</v>
      </c>
      <c r="E416" s="35">
        <v>44977</v>
      </c>
      <c r="F416" s="1">
        <v>3682</v>
      </c>
      <c r="G416" s="1">
        <v>345580</v>
      </c>
      <c r="H416" s="3">
        <v>3021</v>
      </c>
      <c r="I416" s="1">
        <v>24</v>
      </c>
      <c r="J416" s="2">
        <v>45001</v>
      </c>
      <c r="K416" s="8">
        <f>(F416/G416)*100</f>
        <v>1.0654551768042131</v>
      </c>
      <c r="L416" s="8">
        <f>(H416/G416)*100</f>
        <v>0.87418253371144161</v>
      </c>
    </row>
    <row r="417" spans="1:12" x14ac:dyDescent="0.3">
      <c r="A417" s="1" t="s">
        <v>427</v>
      </c>
      <c r="B417" s="1" t="s">
        <v>22</v>
      </c>
      <c r="C417" s="1" t="s">
        <v>37</v>
      </c>
      <c r="D417" s="1" t="s">
        <v>28</v>
      </c>
      <c r="E417" s="35">
        <v>44978</v>
      </c>
      <c r="F417" s="1">
        <v>72110</v>
      </c>
      <c r="G417" s="1">
        <v>291267</v>
      </c>
      <c r="H417" s="3">
        <v>2493</v>
      </c>
      <c r="I417" s="1">
        <v>13</v>
      </c>
      <c r="J417" s="2">
        <v>44991</v>
      </c>
      <c r="K417" s="8">
        <f>(F417/G417)*100</f>
        <v>24.757353218867912</v>
      </c>
      <c r="L417" s="8">
        <f>(H417/G417)*100</f>
        <v>0.85591570620770629</v>
      </c>
    </row>
    <row r="418" spans="1:12" x14ac:dyDescent="0.3">
      <c r="A418" s="1" t="s">
        <v>428</v>
      </c>
      <c r="B418" s="1" t="s">
        <v>10</v>
      </c>
      <c r="C418" s="1" t="s">
        <v>11</v>
      </c>
      <c r="D418" s="1" t="s">
        <v>32</v>
      </c>
      <c r="E418" s="35">
        <v>44979</v>
      </c>
      <c r="F418" s="1">
        <v>49656</v>
      </c>
      <c r="G418" s="1">
        <v>907806</v>
      </c>
      <c r="H418" s="3">
        <v>1260</v>
      </c>
      <c r="I418" s="1">
        <v>20</v>
      </c>
      <c r="J418" s="2">
        <v>44999</v>
      </c>
      <c r="K418" s="8">
        <f>(F418/G418)*100</f>
        <v>5.4698911441431317</v>
      </c>
      <c r="L418" s="8">
        <f>(H418/G418)*100</f>
        <v>0.13879617451305676</v>
      </c>
    </row>
    <row r="419" spans="1:12" x14ac:dyDescent="0.3">
      <c r="A419" s="1" t="s">
        <v>429</v>
      </c>
      <c r="B419" s="1" t="s">
        <v>22</v>
      </c>
      <c r="C419" s="1" t="s">
        <v>25</v>
      </c>
      <c r="D419" s="1" t="s">
        <v>32</v>
      </c>
      <c r="E419" s="35">
        <v>44980</v>
      </c>
      <c r="F419" s="1">
        <v>44739</v>
      </c>
      <c r="G419" s="1">
        <v>508402</v>
      </c>
      <c r="H419" s="3">
        <v>3610</v>
      </c>
      <c r="I419" s="1">
        <v>20</v>
      </c>
      <c r="J419" s="2">
        <v>45000</v>
      </c>
      <c r="K419" s="8">
        <f>(F419/G419)*100</f>
        <v>8.7999260427771731</v>
      </c>
      <c r="L419" s="8">
        <f>(H419/G419)*100</f>
        <v>0.71006801704163236</v>
      </c>
    </row>
    <row r="420" spans="1:12" x14ac:dyDescent="0.3">
      <c r="A420" s="1" t="s">
        <v>430</v>
      </c>
      <c r="B420" s="1" t="s">
        <v>24</v>
      </c>
      <c r="C420" s="1" t="s">
        <v>11</v>
      </c>
      <c r="D420" s="1" t="s">
        <v>19</v>
      </c>
      <c r="E420" s="35">
        <v>44981</v>
      </c>
      <c r="F420" s="1">
        <v>65869</v>
      </c>
      <c r="G420" s="1">
        <v>598623</v>
      </c>
      <c r="H420" s="3">
        <v>1425</v>
      </c>
      <c r="I420" s="1">
        <v>20</v>
      </c>
      <c r="J420" s="2">
        <v>45001</v>
      </c>
      <c r="K420" s="8">
        <f>(F420/G420)*100</f>
        <v>11.003419514452336</v>
      </c>
      <c r="L420" s="8">
        <f>(H420/G420)*100</f>
        <v>0.23804631629589906</v>
      </c>
    </row>
    <row r="421" spans="1:12" x14ac:dyDescent="0.3">
      <c r="A421" s="1" t="s">
        <v>431</v>
      </c>
      <c r="B421" s="1" t="s">
        <v>14</v>
      </c>
      <c r="C421" s="1" t="s">
        <v>18</v>
      </c>
      <c r="D421" s="1" t="s">
        <v>28</v>
      </c>
      <c r="E421" s="35">
        <v>44982</v>
      </c>
      <c r="F421" s="1">
        <v>11434</v>
      </c>
      <c r="G421" s="1">
        <v>30025</v>
      </c>
      <c r="H421" s="3">
        <v>4214</v>
      </c>
      <c r="I421" s="1">
        <v>6</v>
      </c>
      <c r="J421" s="2">
        <v>44988</v>
      </c>
      <c r="K421" s="8">
        <f>(F421/G421)*100</f>
        <v>38.081598667776852</v>
      </c>
      <c r="L421" s="8">
        <f>(H421/G421)*100</f>
        <v>14.034970857618651</v>
      </c>
    </row>
    <row r="422" spans="1:12" x14ac:dyDescent="0.3">
      <c r="A422" s="1" t="s">
        <v>432</v>
      </c>
      <c r="B422" s="1" t="s">
        <v>22</v>
      </c>
      <c r="C422" s="1" t="s">
        <v>11</v>
      </c>
      <c r="D422" s="1" t="s">
        <v>12</v>
      </c>
      <c r="E422" s="35">
        <v>44983</v>
      </c>
      <c r="F422" s="1">
        <v>71685</v>
      </c>
      <c r="G422" s="1">
        <v>217397</v>
      </c>
      <c r="H422" s="3">
        <v>3960</v>
      </c>
      <c r="I422" s="1">
        <v>29</v>
      </c>
      <c r="J422" s="2">
        <v>45012</v>
      </c>
      <c r="K422" s="8">
        <f>(F422/G422)*100</f>
        <v>32.974236075014836</v>
      </c>
      <c r="L422" s="8">
        <f>(H422/G422)*100</f>
        <v>1.8215522753303865</v>
      </c>
    </row>
    <row r="423" spans="1:12" x14ac:dyDescent="0.3">
      <c r="A423" s="1" t="s">
        <v>433</v>
      </c>
      <c r="B423" s="1" t="s">
        <v>22</v>
      </c>
      <c r="C423" s="1" t="s">
        <v>30</v>
      </c>
      <c r="D423" s="1" t="s">
        <v>19</v>
      </c>
      <c r="E423" s="35">
        <v>44984</v>
      </c>
      <c r="F423" s="1">
        <v>93852</v>
      </c>
      <c r="G423" s="1">
        <v>364099</v>
      </c>
      <c r="H423" s="3">
        <v>234</v>
      </c>
      <c r="I423" s="1">
        <v>23</v>
      </c>
      <c r="J423" s="2">
        <v>45007</v>
      </c>
      <c r="K423" s="8">
        <f>(F423/G423)*100</f>
        <v>25.776505840444496</v>
      </c>
      <c r="L423" s="8">
        <f>(H423/G423)*100</f>
        <v>6.4268234738354135E-2</v>
      </c>
    </row>
    <row r="424" spans="1:12" x14ac:dyDescent="0.3">
      <c r="A424" s="1" t="s">
        <v>434</v>
      </c>
      <c r="B424" s="1" t="s">
        <v>22</v>
      </c>
      <c r="C424" s="1" t="s">
        <v>30</v>
      </c>
      <c r="D424" s="1" t="s">
        <v>16</v>
      </c>
      <c r="E424" s="35">
        <v>44985</v>
      </c>
      <c r="F424" s="1">
        <v>51421</v>
      </c>
      <c r="G424" s="1">
        <v>186485</v>
      </c>
      <c r="H424" s="3">
        <v>1357</v>
      </c>
      <c r="I424" s="1">
        <v>25</v>
      </c>
      <c r="J424" s="2">
        <v>45010</v>
      </c>
      <c r="K424" s="8">
        <f>(F424/G424)*100</f>
        <v>27.573799501300371</v>
      </c>
      <c r="L424" s="8">
        <f>(H424/G424)*100</f>
        <v>0.72767246695444676</v>
      </c>
    </row>
    <row r="425" spans="1:12" x14ac:dyDescent="0.3">
      <c r="A425" s="1" t="s">
        <v>435</v>
      </c>
      <c r="B425" s="1" t="s">
        <v>14</v>
      </c>
      <c r="C425" s="1" t="s">
        <v>27</v>
      </c>
      <c r="D425" s="1" t="s">
        <v>28</v>
      </c>
      <c r="E425" s="35">
        <v>44986</v>
      </c>
      <c r="F425" s="1">
        <v>51163</v>
      </c>
      <c r="G425" s="1">
        <v>871394</v>
      </c>
      <c r="H425" s="3">
        <v>560</v>
      </c>
      <c r="I425" s="1">
        <v>11</v>
      </c>
      <c r="J425" s="2">
        <v>44997</v>
      </c>
      <c r="K425" s="8">
        <f>(F425/G425)*100</f>
        <v>5.8713968652526871</v>
      </c>
      <c r="L425" s="8">
        <f>(H425/G425)*100</f>
        <v>6.4264844605310567E-2</v>
      </c>
    </row>
    <row r="426" spans="1:12" x14ac:dyDescent="0.3">
      <c r="A426" s="1" t="s">
        <v>436</v>
      </c>
      <c r="B426" s="1" t="s">
        <v>10</v>
      </c>
      <c r="C426" s="1" t="s">
        <v>11</v>
      </c>
      <c r="D426" s="1" t="s">
        <v>32</v>
      </c>
      <c r="E426" s="35">
        <v>44987</v>
      </c>
      <c r="F426" s="1">
        <v>48343</v>
      </c>
      <c r="G426" s="1">
        <v>408220</v>
      </c>
      <c r="H426" s="3">
        <v>1135</v>
      </c>
      <c r="I426" s="1">
        <v>2</v>
      </c>
      <c r="J426" s="2">
        <v>44989</v>
      </c>
      <c r="K426" s="8">
        <f>(F426/G426)*100</f>
        <v>11.842388907941796</v>
      </c>
      <c r="L426" s="8">
        <f>(H426/G426)*100</f>
        <v>0.2780363529469404</v>
      </c>
    </row>
    <row r="427" spans="1:12" x14ac:dyDescent="0.3">
      <c r="A427" s="1" t="s">
        <v>437</v>
      </c>
      <c r="B427" s="1" t="s">
        <v>22</v>
      </c>
      <c r="C427" s="1" t="s">
        <v>11</v>
      </c>
      <c r="D427" s="1" t="s">
        <v>16</v>
      </c>
      <c r="E427" s="35">
        <v>44988</v>
      </c>
      <c r="F427" s="1">
        <v>48076</v>
      </c>
      <c r="G427" s="1">
        <v>304835</v>
      </c>
      <c r="H427" s="3">
        <v>3052</v>
      </c>
      <c r="I427" s="1">
        <v>8</v>
      </c>
      <c r="J427" s="2">
        <v>44996</v>
      </c>
      <c r="K427" s="8">
        <f>(F427/G427)*100</f>
        <v>15.771154887070054</v>
      </c>
      <c r="L427" s="8">
        <f>(H427/G427)*100</f>
        <v>1.0011973690685123</v>
      </c>
    </row>
    <row r="428" spans="1:12" x14ac:dyDescent="0.3">
      <c r="A428" s="1" t="s">
        <v>438</v>
      </c>
      <c r="B428" s="1" t="s">
        <v>10</v>
      </c>
      <c r="C428" s="1" t="s">
        <v>11</v>
      </c>
      <c r="D428" s="1" t="s">
        <v>16</v>
      </c>
      <c r="E428" s="35">
        <v>44989</v>
      </c>
      <c r="F428" s="1">
        <v>32325</v>
      </c>
      <c r="G428" s="1">
        <v>131677</v>
      </c>
      <c r="H428" s="3">
        <v>4195</v>
      </c>
      <c r="I428" s="1">
        <v>16</v>
      </c>
      <c r="J428" s="2">
        <v>45005</v>
      </c>
      <c r="K428" s="8">
        <f>(F428/G428)*100</f>
        <v>24.548706304062211</v>
      </c>
      <c r="L428" s="8">
        <f>(H428/G428)*100</f>
        <v>3.185825922522536</v>
      </c>
    </row>
    <row r="429" spans="1:12" x14ac:dyDescent="0.3">
      <c r="A429" s="1" t="s">
        <v>439</v>
      </c>
      <c r="B429" s="1" t="s">
        <v>22</v>
      </c>
      <c r="C429" s="1" t="s">
        <v>25</v>
      </c>
      <c r="D429" s="1" t="s">
        <v>28</v>
      </c>
      <c r="E429" s="35">
        <v>44990</v>
      </c>
      <c r="F429" s="1">
        <v>90449</v>
      </c>
      <c r="G429" s="1">
        <v>128294</v>
      </c>
      <c r="H429" s="3">
        <v>1874</v>
      </c>
      <c r="I429" s="1">
        <v>24</v>
      </c>
      <c r="J429" s="2">
        <v>45014</v>
      </c>
      <c r="K429" s="8">
        <f>(F429/G429)*100</f>
        <v>70.501348465243893</v>
      </c>
      <c r="L429" s="8">
        <f>(H429/G429)*100</f>
        <v>1.4607074376042528</v>
      </c>
    </row>
    <row r="430" spans="1:12" x14ac:dyDescent="0.3">
      <c r="A430" s="1" t="s">
        <v>440</v>
      </c>
      <c r="B430" s="1" t="s">
        <v>10</v>
      </c>
      <c r="C430" s="1" t="s">
        <v>15</v>
      </c>
      <c r="D430" s="1" t="s">
        <v>28</v>
      </c>
      <c r="E430" s="35">
        <v>44991</v>
      </c>
      <c r="F430" s="1">
        <v>68513</v>
      </c>
      <c r="G430" s="1">
        <v>436568</v>
      </c>
      <c r="H430" s="3">
        <v>27</v>
      </c>
      <c r="I430" s="1">
        <v>17</v>
      </c>
      <c r="J430" s="2">
        <v>45008</v>
      </c>
      <c r="K430" s="8">
        <f>(F430/G430)*100</f>
        <v>15.693546022612741</v>
      </c>
      <c r="L430" s="8">
        <f>(H430/G430)*100</f>
        <v>6.1846035440068902E-3</v>
      </c>
    </row>
    <row r="431" spans="1:12" x14ac:dyDescent="0.3">
      <c r="A431" s="1" t="s">
        <v>441</v>
      </c>
      <c r="B431" s="1" t="s">
        <v>24</v>
      </c>
      <c r="C431" s="1" t="s">
        <v>11</v>
      </c>
      <c r="D431" s="1" t="s">
        <v>12</v>
      </c>
      <c r="E431" s="35">
        <v>44992</v>
      </c>
      <c r="F431" s="1">
        <v>13253</v>
      </c>
      <c r="G431" s="1">
        <v>309741</v>
      </c>
      <c r="H431" s="3">
        <v>2063</v>
      </c>
      <c r="I431" s="1">
        <v>6</v>
      </c>
      <c r="J431" s="2">
        <v>44998</v>
      </c>
      <c r="K431" s="8">
        <f>(F431/G431)*100</f>
        <v>4.2787361053267077</v>
      </c>
      <c r="L431" s="8">
        <f>(H431/G431)*100</f>
        <v>0.66604033692665809</v>
      </c>
    </row>
    <row r="432" spans="1:12" x14ac:dyDescent="0.3">
      <c r="A432" s="1" t="s">
        <v>442</v>
      </c>
      <c r="B432" s="1" t="s">
        <v>10</v>
      </c>
      <c r="C432" s="1" t="s">
        <v>15</v>
      </c>
      <c r="D432" s="1" t="s">
        <v>16</v>
      </c>
      <c r="E432" s="35">
        <v>44993</v>
      </c>
      <c r="F432" s="1">
        <v>48110</v>
      </c>
      <c r="G432" s="1">
        <v>97100</v>
      </c>
      <c r="H432" s="3">
        <v>4178</v>
      </c>
      <c r="I432" s="1">
        <v>25</v>
      </c>
      <c r="J432" s="2">
        <v>45018</v>
      </c>
      <c r="K432" s="8">
        <f>(F432/G432)*100</f>
        <v>49.546858908341918</v>
      </c>
      <c r="L432" s="8">
        <f>(H432/G432)*100</f>
        <v>4.3027806385169924</v>
      </c>
    </row>
    <row r="433" spans="1:12" x14ac:dyDescent="0.3">
      <c r="A433" s="1" t="s">
        <v>443</v>
      </c>
      <c r="B433" s="1" t="s">
        <v>14</v>
      </c>
      <c r="C433" s="1" t="s">
        <v>30</v>
      </c>
      <c r="D433" s="1" t="s">
        <v>32</v>
      </c>
      <c r="E433" s="35">
        <v>44994</v>
      </c>
      <c r="F433" s="1">
        <v>91748</v>
      </c>
      <c r="G433" s="1">
        <v>670082</v>
      </c>
      <c r="H433" s="3">
        <v>320</v>
      </c>
      <c r="I433" s="1">
        <v>8</v>
      </c>
      <c r="J433" s="2">
        <v>45002</v>
      </c>
      <c r="K433" s="8">
        <f>(F433/G433)*100</f>
        <v>13.692055599165476</v>
      </c>
      <c r="L433" s="8">
        <f>(H433/G433)*100</f>
        <v>4.775534934530401E-2</v>
      </c>
    </row>
    <row r="434" spans="1:12" x14ac:dyDescent="0.3">
      <c r="A434" s="1" t="s">
        <v>444</v>
      </c>
      <c r="B434" s="1" t="s">
        <v>10</v>
      </c>
      <c r="C434" s="1" t="s">
        <v>30</v>
      </c>
      <c r="D434" s="1" t="s">
        <v>12</v>
      </c>
      <c r="E434" s="35">
        <v>44995</v>
      </c>
      <c r="F434" s="1">
        <v>34947</v>
      </c>
      <c r="G434" s="1">
        <v>827294</v>
      </c>
      <c r="H434" s="3">
        <v>4867</v>
      </c>
      <c r="I434" s="1">
        <v>24</v>
      </c>
      <c r="J434" s="2">
        <v>45019</v>
      </c>
      <c r="K434" s="8">
        <f>(F434/G434)*100</f>
        <v>4.2242540136879994</v>
      </c>
      <c r="L434" s="8">
        <f>(H434/G434)*100</f>
        <v>0.58830355351301955</v>
      </c>
    </row>
    <row r="435" spans="1:12" x14ac:dyDescent="0.3">
      <c r="A435" s="1" t="s">
        <v>445</v>
      </c>
      <c r="B435" s="1" t="s">
        <v>22</v>
      </c>
      <c r="C435" s="1" t="s">
        <v>37</v>
      </c>
      <c r="D435" s="1" t="s">
        <v>16</v>
      </c>
      <c r="E435" s="35">
        <v>44996</v>
      </c>
      <c r="F435" s="1">
        <v>94561</v>
      </c>
      <c r="G435" s="1">
        <v>448215</v>
      </c>
      <c r="H435" s="3">
        <v>3758</v>
      </c>
      <c r="I435" s="1">
        <v>13</v>
      </c>
      <c r="J435" s="2">
        <v>45009</v>
      </c>
      <c r="K435" s="8">
        <f>(F435/G435)*100</f>
        <v>21.097241279296767</v>
      </c>
      <c r="L435" s="8">
        <f>(H435/G435)*100</f>
        <v>0.8384369108575126</v>
      </c>
    </row>
    <row r="436" spans="1:12" x14ac:dyDescent="0.3">
      <c r="A436" s="1" t="s">
        <v>446</v>
      </c>
      <c r="B436" s="1" t="s">
        <v>22</v>
      </c>
      <c r="C436" s="1" t="s">
        <v>11</v>
      </c>
      <c r="D436" s="1" t="s">
        <v>28</v>
      </c>
      <c r="E436" s="35">
        <v>44997</v>
      </c>
      <c r="F436" s="1">
        <v>86420</v>
      </c>
      <c r="G436" s="1">
        <v>854051</v>
      </c>
      <c r="H436" s="3">
        <v>819</v>
      </c>
      <c r="I436" s="1">
        <v>13</v>
      </c>
      <c r="J436" s="2">
        <v>45010</v>
      </c>
      <c r="K436" s="8">
        <f>(F436/G436)*100</f>
        <v>10.118833652791228</v>
      </c>
      <c r="L436" s="8">
        <f>(H436/G436)*100</f>
        <v>9.5895912539180908E-2</v>
      </c>
    </row>
    <row r="437" spans="1:12" x14ac:dyDescent="0.3">
      <c r="A437" s="1" t="s">
        <v>447</v>
      </c>
      <c r="B437" s="1" t="s">
        <v>22</v>
      </c>
      <c r="C437" s="1" t="s">
        <v>15</v>
      </c>
      <c r="D437" s="1" t="s">
        <v>19</v>
      </c>
      <c r="E437" s="35">
        <v>44998</v>
      </c>
      <c r="F437" s="1">
        <v>37967</v>
      </c>
      <c r="G437" s="1">
        <v>51332</v>
      </c>
      <c r="H437" s="3">
        <v>222</v>
      </c>
      <c r="I437" s="1">
        <v>13</v>
      </c>
      <c r="J437" s="2">
        <v>45011</v>
      </c>
      <c r="K437" s="8">
        <f>(F437/G437)*100</f>
        <v>73.963609444401158</v>
      </c>
      <c r="L437" s="8">
        <f>(H437/G437)*100</f>
        <v>0.43247876568222554</v>
      </c>
    </row>
    <row r="438" spans="1:12" x14ac:dyDescent="0.3">
      <c r="A438" s="1" t="s">
        <v>448</v>
      </c>
      <c r="B438" s="1" t="s">
        <v>14</v>
      </c>
      <c r="C438" s="1" t="s">
        <v>37</v>
      </c>
      <c r="D438" s="1" t="s">
        <v>16</v>
      </c>
      <c r="E438" s="35">
        <v>44999</v>
      </c>
      <c r="F438" s="1">
        <v>4776</v>
      </c>
      <c r="G438" s="1">
        <v>524131</v>
      </c>
      <c r="H438" s="3">
        <v>455</v>
      </c>
      <c r="I438" s="1">
        <v>17</v>
      </c>
      <c r="J438" s="2">
        <v>45016</v>
      </c>
      <c r="K438" s="8">
        <f>(F438/G438)*100</f>
        <v>0.91122257603538037</v>
      </c>
      <c r="L438" s="8">
        <f>(H438/G438)*100</f>
        <v>8.6810358479082514E-2</v>
      </c>
    </row>
    <row r="439" spans="1:12" x14ac:dyDescent="0.3">
      <c r="A439" s="1" t="s">
        <v>449</v>
      </c>
      <c r="B439" s="1" t="s">
        <v>10</v>
      </c>
      <c r="C439" s="1" t="s">
        <v>25</v>
      </c>
      <c r="D439" s="1" t="s">
        <v>16</v>
      </c>
      <c r="E439" s="35">
        <v>45000</v>
      </c>
      <c r="F439" s="1">
        <v>19511</v>
      </c>
      <c r="G439" s="1">
        <v>192767</v>
      </c>
      <c r="H439" s="3">
        <v>1209</v>
      </c>
      <c r="I439" s="1">
        <f>Table1[[#This Row],[end_date]]-Table1[[#This Row],[start_date]]</f>
        <v>2</v>
      </c>
      <c r="J439" s="2">
        <v>45002</v>
      </c>
      <c r="K439" s="8">
        <f>(F439/G439)*100</f>
        <v>10.121545700249523</v>
      </c>
      <c r="L439" s="8">
        <f>(H439/G439)*100</f>
        <v>0.62718203841943898</v>
      </c>
    </row>
    <row r="440" spans="1:12" x14ac:dyDescent="0.3">
      <c r="A440" s="1" t="s">
        <v>450</v>
      </c>
      <c r="B440" s="1" t="s">
        <v>14</v>
      </c>
      <c r="C440" s="1" t="s">
        <v>37</v>
      </c>
      <c r="D440" s="1" t="s">
        <v>16</v>
      </c>
      <c r="E440" s="35">
        <v>45001</v>
      </c>
      <c r="F440" s="1">
        <v>35858</v>
      </c>
      <c r="G440" s="1">
        <v>845219</v>
      </c>
      <c r="H440" s="3">
        <v>4510</v>
      </c>
      <c r="I440" s="1">
        <f>Table1[[#This Row],[end_date]]-Table1[[#This Row],[start_date]]</f>
        <v>13</v>
      </c>
      <c r="J440" s="2">
        <v>45014</v>
      </c>
      <c r="K440" s="8">
        <f>(F440/G440)*100</f>
        <v>4.2424507731132408</v>
      </c>
      <c r="L440" s="8">
        <f>(H440/G440)*100</f>
        <v>0.53358951940266375</v>
      </c>
    </row>
    <row r="441" spans="1:12" x14ac:dyDescent="0.3">
      <c r="A441" s="1" t="s">
        <v>451</v>
      </c>
      <c r="B441" s="1" t="s">
        <v>10</v>
      </c>
      <c r="C441" s="1" t="s">
        <v>25</v>
      </c>
      <c r="D441" s="1" t="s">
        <v>28</v>
      </c>
      <c r="E441" s="35">
        <v>45002</v>
      </c>
      <c r="F441" s="1">
        <v>93639</v>
      </c>
      <c r="G441" s="1">
        <v>302517</v>
      </c>
      <c r="H441" s="3">
        <v>3771</v>
      </c>
      <c r="I441" s="1">
        <f>Table1[[#This Row],[end_date]]-Table1[[#This Row],[start_date]]</f>
        <v>28</v>
      </c>
      <c r="J441" s="2">
        <v>45030</v>
      </c>
      <c r="K441" s="8">
        <f>(F441/G441)*100</f>
        <v>30.95330179791549</v>
      </c>
      <c r="L441" s="8">
        <f>(H441/G441)*100</f>
        <v>1.2465415166750959</v>
      </c>
    </row>
    <row r="442" spans="1:12" x14ac:dyDescent="0.3">
      <c r="A442" s="1" t="s">
        <v>452</v>
      </c>
      <c r="B442" s="1" t="s">
        <v>22</v>
      </c>
      <c r="C442" s="1" t="s">
        <v>15</v>
      </c>
      <c r="D442" s="1" t="s">
        <v>12</v>
      </c>
      <c r="E442" s="35">
        <v>45003</v>
      </c>
      <c r="F442" s="1">
        <v>39477</v>
      </c>
      <c r="G442" s="1">
        <v>67477</v>
      </c>
      <c r="H442" s="3">
        <v>1604</v>
      </c>
      <c r="I442" s="1">
        <f>Table1[[#This Row],[end_date]]-Table1[[#This Row],[start_date]]</f>
        <v>21</v>
      </c>
      <c r="J442" s="2">
        <v>45024</v>
      </c>
      <c r="K442" s="8">
        <f>(F442/G442)*100</f>
        <v>58.504379269973469</v>
      </c>
      <c r="L442" s="8">
        <f>(H442/G442)*100</f>
        <v>2.3771062732486627</v>
      </c>
    </row>
    <row r="443" spans="1:12" x14ac:dyDescent="0.3">
      <c r="A443" s="1" t="s">
        <v>453</v>
      </c>
      <c r="B443" s="1" t="s">
        <v>10</v>
      </c>
      <c r="C443" s="1" t="s">
        <v>27</v>
      </c>
      <c r="D443" s="1" t="s">
        <v>12</v>
      </c>
      <c r="E443" s="35">
        <v>45004</v>
      </c>
      <c r="F443" s="1">
        <v>77952</v>
      </c>
      <c r="G443" s="1">
        <v>930316</v>
      </c>
      <c r="H443" s="3">
        <v>1138</v>
      </c>
      <c r="I443" s="1">
        <f>Table1[[#This Row],[end_date]]-Table1[[#This Row],[start_date]]</f>
        <v>21</v>
      </c>
      <c r="J443" s="2">
        <v>45025</v>
      </c>
      <c r="K443" s="8">
        <f>(F443/G443)*100</f>
        <v>8.3790883957708999</v>
      </c>
      <c r="L443" s="8">
        <f>(H443/G443)*100</f>
        <v>0.12232402753473014</v>
      </c>
    </row>
    <row r="444" spans="1:12" x14ac:dyDescent="0.3">
      <c r="A444" s="1" t="s">
        <v>454</v>
      </c>
      <c r="B444" s="1" t="s">
        <v>22</v>
      </c>
      <c r="C444" s="1" t="s">
        <v>11</v>
      </c>
      <c r="D444" s="1" t="s">
        <v>28</v>
      </c>
      <c r="E444" s="35">
        <v>45005</v>
      </c>
      <c r="F444" s="1">
        <v>40802</v>
      </c>
      <c r="G444" s="1">
        <v>652291</v>
      </c>
      <c r="H444" s="3">
        <v>62</v>
      </c>
      <c r="I444" s="1">
        <f>Table1[[#This Row],[end_date]]-Table1[[#This Row],[start_date]]</f>
        <v>7</v>
      </c>
      <c r="J444" s="2">
        <v>45012</v>
      </c>
      <c r="K444" s="8">
        <f>(F444/G444)*100</f>
        <v>6.2551836526948863</v>
      </c>
      <c r="L444" s="8">
        <f>(H444/G444)*100</f>
        <v>9.5049602094770588E-3</v>
      </c>
    </row>
    <row r="445" spans="1:12" x14ac:dyDescent="0.3">
      <c r="A445" s="1" t="s">
        <v>455</v>
      </c>
      <c r="B445" s="1" t="s">
        <v>22</v>
      </c>
      <c r="C445" s="1" t="s">
        <v>11</v>
      </c>
      <c r="D445" s="1" t="s">
        <v>19</v>
      </c>
      <c r="E445" s="35">
        <v>45006</v>
      </c>
      <c r="F445" s="1">
        <v>98131</v>
      </c>
      <c r="G445" s="1">
        <v>251441</v>
      </c>
      <c r="H445" s="3">
        <v>4037</v>
      </c>
      <c r="I445" s="1">
        <f>Table1[[#This Row],[end_date]]-Table1[[#This Row],[start_date]]</f>
        <v>23</v>
      </c>
      <c r="J445" s="2">
        <v>45029</v>
      </c>
      <c r="K445" s="8">
        <f>(F445/G445)*100</f>
        <v>39.027445802394993</v>
      </c>
      <c r="L445" s="8">
        <f>(H445/G445)*100</f>
        <v>1.6055456349600901</v>
      </c>
    </row>
    <row r="446" spans="1:12" x14ac:dyDescent="0.3">
      <c r="A446" s="1" t="s">
        <v>456</v>
      </c>
      <c r="B446" s="1" t="s">
        <v>10</v>
      </c>
      <c r="C446" s="1" t="s">
        <v>18</v>
      </c>
      <c r="D446" s="1" t="s">
        <v>32</v>
      </c>
      <c r="E446" s="35">
        <v>45007</v>
      </c>
      <c r="F446" s="1">
        <v>12331</v>
      </c>
      <c r="G446" s="1">
        <v>646822</v>
      </c>
      <c r="H446" s="3">
        <v>3100</v>
      </c>
      <c r="I446" s="1">
        <f>Table1[[#This Row],[end_date]]-Table1[[#This Row],[start_date]]</f>
        <v>25</v>
      </c>
      <c r="J446" s="2">
        <v>45032</v>
      </c>
      <c r="K446" s="8">
        <f>(F446/G446)*100</f>
        <v>1.9063977415734159</v>
      </c>
      <c r="L446" s="8">
        <f>(H446/G446)*100</f>
        <v>0.47926632056423563</v>
      </c>
    </row>
    <row r="447" spans="1:12" x14ac:dyDescent="0.3">
      <c r="A447" s="1" t="s">
        <v>457</v>
      </c>
      <c r="B447" s="1" t="s">
        <v>24</v>
      </c>
      <c r="C447" s="1" t="s">
        <v>15</v>
      </c>
      <c r="D447" s="1" t="s">
        <v>16</v>
      </c>
      <c r="E447" s="35">
        <v>45008</v>
      </c>
      <c r="F447" s="1">
        <v>21117</v>
      </c>
      <c r="G447" s="1">
        <v>365299</v>
      </c>
      <c r="H447" s="3">
        <v>688</v>
      </c>
      <c r="I447" s="1">
        <v>7</v>
      </c>
      <c r="J447" s="2">
        <v>45015</v>
      </c>
      <c r="K447" s="8">
        <f>(F447/G447)*100</f>
        <v>5.780743993276741</v>
      </c>
      <c r="L447" s="8">
        <f>(H447/G447)*100</f>
        <v>0.18833886761255847</v>
      </c>
    </row>
    <row r="448" spans="1:12" x14ac:dyDescent="0.3">
      <c r="A448" s="1" t="s">
        <v>458</v>
      </c>
      <c r="B448" s="1" t="s">
        <v>14</v>
      </c>
      <c r="C448" s="1" t="s">
        <v>30</v>
      </c>
      <c r="D448" s="1" t="s">
        <v>19</v>
      </c>
      <c r="E448" s="35">
        <v>45009</v>
      </c>
      <c r="F448" s="1">
        <v>38002</v>
      </c>
      <c r="G448" s="1">
        <v>313675</v>
      </c>
      <c r="H448" s="3">
        <v>3621</v>
      </c>
      <c r="I448" s="1">
        <v>10</v>
      </c>
      <c r="J448" s="2">
        <v>45019</v>
      </c>
      <c r="K448" s="8">
        <f>(F448/G448)*100</f>
        <v>12.115087271857815</v>
      </c>
      <c r="L448" s="8">
        <f>(H448/G448)*100</f>
        <v>1.1543795329560851</v>
      </c>
    </row>
    <row r="449" spans="1:12" x14ac:dyDescent="0.3">
      <c r="A449" s="1" t="s">
        <v>459</v>
      </c>
      <c r="B449" s="1" t="s">
        <v>22</v>
      </c>
      <c r="C449" s="1" t="s">
        <v>18</v>
      </c>
      <c r="D449" s="1" t="s">
        <v>32</v>
      </c>
      <c r="E449" s="35">
        <v>45010</v>
      </c>
      <c r="F449" s="1">
        <v>29308</v>
      </c>
      <c r="G449" s="1">
        <v>460795</v>
      </c>
      <c r="H449" s="3">
        <v>3074</v>
      </c>
      <c r="I449" s="1">
        <v>28</v>
      </c>
      <c r="J449" s="2">
        <v>45038</v>
      </c>
      <c r="K449" s="8">
        <f>(F449/G449)*100</f>
        <v>6.3603120693583914</v>
      </c>
      <c r="L449" s="8">
        <f>(H449/G449)*100</f>
        <v>0.66710793302878724</v>
      </c>
    </row>
    <row r="450" spans="1:12" x14ac:dyDescent="0.3">
      <c r="A450" s="1" t="s">
        <v>460</v>
      </c>
      <c r="B450" s="1" t="s">
        <v>14</v>
      </c>
      <c r="C450" s="1" t="s">
        <v>27</v>
      </c>
      <c r="D450" s="1" t="s">
        <v>32</v>
      </c>
      <c r="E450" s="35">
        <v>45011</v>
      </c>
      <c r="F450" s="1">
        <v>73104</v>
      </c>
      <c r="G450" s="1">
        <v>809768</v>
      </c>
      <c r="H450" s="3">
        <v>3874</v>
      </c>
      <c r="I450" s="1">
        <v>2</v>
      </c>
      <c r="J450" s="2">
        <v>45013</v>
      </c>
      <c r="K450" s="8">
        <f>(F450/G450)*100</f>
        <v>9.0277709171021812</v>
      </c>
      <c r="L450" s="8">
        <f>(H450/G450)*100</f>
        <v>0.47840863062012823</v>
      </c>
    </row>
    <row r="451" spans="1:12" x14ac:dyDescent="0.3">
      <c r="A451" s="1" t="s">
        <v>461</v>
      </c>
      <c r="B451" s="1" t="s">
        <v>22</v>
      </c>
      <c r="C451" s="1" t="s">
        <v>37</v>
      </c>
      <c r="D451" s="1" t="s">
        <v>16</v>
      </c>
      <c r="E451" s="35">
        <v>45012</v>
      </c>
      <c r="F451" s="1">
        <v>83069</v>
      </c>
      <c r="G451" s="1">
        <v>545772</v>
      </c>
      <c r="H451" s="3">
        <v>3212</v>
      </c>
      <c r="I451" s="1">
        <v>20</v>
      </c>
      <c r="J451" s="2">
        <v>45032</v>
      </c>
      <c r="K451" s="8">
        <f>(F451/G451)*100</f>
        <v>15.220458359901205</v>
      </c>
      <c r="L451" s="8">
        <f>(H451/G451)*100</f>
        <v>0.5885241456139193</v>
      </c>
    </row>
    <row r="452" spans="1:12" x14ac:dyDescent="0.3">
      <c r="A452" s="1" t="s">
        <v>462</v>
      </c>
      <c r="B452" s="1" t="s">
        <v>10</v>
      </c>
      <c r="C452" s="1" t="s">
        <v>18</v>
      </c>
      <c r="D452" s="1" t="s">
        <v>16</v>
      </c>
      <c r="E452" s="35">
        <v>45013</v>
      </c>
      <c r="F452" s="1">
        <v>16596</v>
      </c>
      <c r="G452" s="1">
        <v>283655</v>
      </c>
      <c r="H452" s="3">
        <v>1127</v>
      </c>
      <c r="I452" s="1">
        <v>11</v>
      </c>
      <c r="J452" s="2">
        <v>45024</v>
      </c>
      <c r="K452" s="8">
        <f>(F452/G452)*100</f>
        <v>5.8507694205989669</v>
      </c>
      <c r="L452" s="8">
        <f>(H452/G452)*100</f>
        <v>0.39731363804621811</v>
      </c>
    </row>
    <row r="453" spans="1:12" x14ac:dyDescent="0.3">
      <c r="A453" s="1" t="s">
        <v>463</v>
      </c>
      <c r="B453" s="1" t="s">
        <v>10</v>
      </c>
      <c r="C453" s="1" t="s">
        <v>27</v>
      </c>
      <c r="D453" s="1" t="s">
        <v>16</v>
      </c>
      <c r="E453" s="35">
        <v>45014</v>
      </c>
      <c r="F453" s="1">
        <v>61382</v>
      </c>
      <c r="G453" s="1">
        <v>529441</v>
      </c>
      <c r="H453" s="3">
        <v>3110</v>
      </c>
      <c r="I453" s="1">
        <v>6</v>
      </c>
      <c r="J453" s="2">
        <v>45020</v>
      </c>
      <c r="K453" s="8">
        <f>(F453/G453)*100</f>
        <v>11.593737545826636</v>
      </c>
      <c r="L453" s="8">
        <f>(H453/G453)*100</f>
        <v>0.58741200624809942</v>
      </c>
    </row>
    <row r="454" spans="1:12" x14ac:dyDescent="0.3">
      <c r="A454" s="1" t="s">
        <v>464</v>
      </c>
      <c r="B454" s="1" t="s">
        <v>22</v>
      </c>
      <c r="C454" s="1" t="s">
        <v>15</v>
      </c>
      <c r="D454" s="1" t="s">
        <v>12</v>
      </c>
      <c r="E454" s="35">
        <v>45015</v>
      </c>
      <c r="F454" s="1">
        <v>42273</v>
      </c>
      <c r="G454" s="1">
        <v>315003</v>
      </c>
      <c r="H454" s="3">
        <v>1574</v>
      </c>
      <c r="I454" s="1">
        <v>12</v>
      </c>
      <c r="J454" s="2">
        <v>45027</v>
      </c>
      <c r="K454" s="8">
        <f>(F454/G454)*100</f>
        <v>13.419872191693413</v>
      </c>
      <c r="L454" s="8">
        <f>(H454/G454)*100</f>
        <v>0.49967778084653164</v>
      </c>
    </row>
    <row r="455" spans="1:12" x14ac:dyDescent="0.3">
      <c r="A455" s="1" t="s">
        <v>465</v>
      </c>
      <c r="B455" s="1" t="s">
        <v>22</v>
      </c>
      <c r="C455" s="1" t="s">
        <v>11</v>
      </c>
      <c r="D455" s="1" t="s">
        <v>28</v>
      </c>
      <c r="E455" s="35">
        <v>45016</v>
      </c>
      <c r="F455" s="1">
        <v>10011</v>
      </c>
      <c r="G455" s="1">
        <v>792876</v>
      </c>
      <c r="H455" s="3">
        <v>584</v>
      </c>
      <c r="I455" s="1">
        <v>7</v>
      </c>
      <c r="J455" s="2">
        <v>45023</v>
      </c>
      <c r="K455" s="8">
        <f>(F455/G455)*100</f>
        <v>1.2626186188004178</v>
      </c>
      <c r="L455" s="8">
        <f>(H455/G455)*100</f>
        <v>7.3655905841518723E-2</v>
      </c>
    </row>
    <row r="456" spans="1:12" x14ac:dyDescent="0.3">
      <c r="A456" s="1" t="s">
        <v>466</v>
      </c>
      <c r="B456" s="1" t="s">
        <v>22</v>
      </c>
      <c r="C456" s="1" t="s">
        <v>18</v>
      </c>
      <c r="D456" s="1" t="s">
        <v>28</v>
      </c>
      <c r="E456" s="35">
        <v>45017</v>
      </c>
      <c r="F456" s="1">
        <v>60669</v>
      </c>
      <c r="G456" s="1">
        <v>894784</v>
      </c>
      <c r="H456" s="3">
        <v>1209</v>
      </c>
      <c r="I456" s="1">
        <v>24</v>
      </c>
      <c r="J456" s="2">
        <v>45041</v>
      </c>
      <c r="K456" s="8">
        <f>(F456/G456)*100</f>
        <v>6.7802955797153288</v>
      </c>
      <c r="L456" s="8">
        <f>(H456/G456)*100</f>
        <v>0.13511640798226163</v>
      </c>
    </row>
    <row r="457" spans="1:12" x14ac:dyDescent="0.3">
      <c r="A457" s="1" t="s">
        <v>467</v>
      </c>
      <c r="B457" s="1" t="s">
        <v>24</v>
      </c>
      <c r="C457" s="1" t="s">
        <v>18</v>
      </c>
      <c r="D457" s="1" t="s">
        <v>19</v>
      </c>
      <c r="E457" s="35">
        <v>45018</v>
      </c>
      <c r="F457" s="1">
        <v>70678</v>
      </c>
      <c r="G457" s="1">
        <v>820891</v>
      </c>
      <c r="H457" s="3">
        <v>1748</v>
      </c>
      <c r="I457" s="1">
        <v>8</v>
      </c>
      <c r="J457" s="2">
        <v>45026</v>
      </c>
      <c r="K457" s="8">
        <f>(F457/G457)*100</f>
        <v>8.60991288733827</v>
      </c>
      <c r="L457" s="8">
        <f>(H457/G457)*100</f>
        <v>0.21293935492044622</v>
      </c>
    </row>
    <row r="458" spans="1:12" x14ac:dyDescent="0.3">
      <c r="A458" s="1" t="s">
        <v>468</v>
      </c>
      <c r="B458" s="1" t="s">
        <v>14</v>
      </c>
      <c r="C458" s="1" t="s">
        <v>18</v>
      </c>
      <c r="D458" s="1" t="s">
        <v>28</v>
      </c>
      <c r="E458" s="35">
        <v>45019</v>
      </c>
      <c r="F458" s="1">
        <v>62718</v>
      </c>
      <c r="G458" s="1">
        <v>195735</v>
      </c>
      <c r="H458" s="3">
        <v>687</v>
      </c>
      <c r="I458" s="1">
        <v>24</v>
      </c>
      <c r="J458" s="2">
        <v>45043</v>
      </c>
      <c r="K458" s="8">
        <f>(F458/G458)*100</f>
        <v>32.04230209211434</v>
      </c>
      <c r="L458" s="8">
        <f>(H458/G458)*100</f>
        <v>0.35098474978925587</v>
      </c>
    </row>
    <row r="459" spans="1:12" x14ac:dyDescent="0.3">
      <c r="A459" s="1" t="s">
        <v>469</v>
      </c>
      <c r="B459" s="1" t="s">
        <v>10</v>
      </c>
      <c r="C459" s="1" t="s">
        <v>18</v>
      </c>
      <c r="D459" s="1" t="s">
        <v>16</v>
      </c>
      <c r="E459" s="35">
        <v>45020</v>
      </c>
      <c r="F459" s="1">
        <v>83165</v>
      </c>
      <c r="G459" s="1">
        <v>184982</v>
      </c>
      <c r="H459" s="3">
        <v>4985</v>
      </c>
      <c r="I459" s="1">
        <v>10</v>
      </c>
      <c r="J459" s="2">
        <v>45030</v>
      </c>
      <c r="K459" s="8">
        <f>(F459/G459)*100</f>
        <v>44.958428387626903</v>
      </c>
      <c r="L459" s="8">
        <f>(H459/G459)*100</f>
        <v>2.6948567968775339</v>
      </c>
    </row>
    <row r="460" spans="1:12" x14ac:dyDescent="0.3">
      <c r="A460" s="1" t="s">
        <v>470</v>
      </c>
      <c r="B460" s="1" t="s">
        <v>14</v>
      </c>
      <c r="C460" s="1" t="s">
        <v>25</v>
      </c>
      <c r="D460" s="1" t="s">
        <v>12</v>
      </c>
      <c r="E460" s="35">
        <v>45021</v>
      </c>
      <c r="F460" s="1">
        <v>95437</v>
      </c>
      <c r="G460" s="1">
        <v>445231</v>
      </c>
      <c r="H460" s="3">
        <v>94</v>
      </c>
      <c r="I460" s="1">
        <v>5</v>
      </c>
      <c r="J460" s="2">
        <v>45026</v>
      </c>
      <c r="K460" s="8">
        <f>(F460/G460)*100</f>
        <v>21.435389719044721</v>
      </c>
      <c r="L460" s="8">
        <f>(H460/G460)*100</f>
        <v>2.1112635912593686E-2</v>
      </c>
    </row>
    <row r="461" spans="1:12" x14ac:dyDescent="0.3">
      <c r="A461" s="1" t="s">
        <v>471</v>
      </c>
      <c r="B461" s="1" t="s">
        <v>14</v>
      </c>
      <c r="C461" s="1" t="s">
        <v>11</v>
      </c>
      <c r="D461" s="1" t="s">
        <v>12</v>
      </c>
      <c r="E461" s="35">
        <v>45022</v>
      </c>
      <c r="F461" s="1">
        <v>21060</v>
      </c>
      <c r="G461" s="1">
        <v>275370</v>
      </c>
      <c r="H461" s="3">
        <v>4090</v>
      </c>
      <c r="I461" s="1">
        <v>10</v>
      </c>
      <c r="J461" s="2">
        <v>45032</v>
      </c>
      <c r="K461" s="8">
        <f>(F461/G461)*100</f>
        <v>7.6478919272251877</v>
      </c>
      <c r="L461" s="8">
        <f>(H461/G461)*100</f>
        <v>1.4852743581363257</v>
      </c>
    </row>
    <row r="462" spans="1:12" x14ac:dyDescent="0.3">
      <c r="A462" s="1" t="s">
        <v>472</v>
      </c>
      <c r="B462" s="1" t="s">
        <v>22</v>
      </c>
      <c r="C462" s="1" t="s">
        <v>15</v>
      </c>
      <c r="D462" s="1" t="s">
        <v>19</v>
      </c>
      <c r="E462" s="35">
        <v>45023</v>
      </c>
      <c r="F462" s="1">
        <v>56817</v>
      </c>
      <c r="G462" s="1">
        <v>891924</v>
      </c>
      <c r="H462" s="3">
        <v>3881</v>
      </c>
      <c r="I462" s="1">
        <v>20</v>
      </c>
      <c r="J462" s="2">
        <v>45043</v>
      </c>
      <c r="K462" s="8">
        <f>(F462/G462)*100</f>
        <v>6.3701615832739114</v>
      </c>
      <c r="L462" s="8">
        <f>(H462/G462)*100</f>
        <v>0.43512675967907583</v>
      </c>
    </row>
    <row r="463" spans="1:12" x14ac:dyDescent="0.3">
      <c r="A463" s="1" t="s">
        <v>473</v>
      </c>
      <c r="B463" s="1" t="s">
        <v>24</v>
      </c>
      <c r="C463" s="1" t="s">
        <v>27</v>
      </c>
      <c r="D463" s="1" t="s">
        <v>32</v>
      </c>
      <c r="E463" s="35">
        <v>45024</v>
      </c>
      <c r="F463" s="1">
        <v>35377</v>
      </c>
      <c r="G463" s="1">
        <v>112399</v>
      </c>
      <c r="H463" s="3">
        <v>2138</v>
      </c>
      <c r="I463" s="1">
        <v>27</v>
      </c>
      <c r="J463" s="2">
        <v>45051</v>
      </c>
      <c r="K463" s="8">
        <f>(F463/G463)*100</f>
        <v>31.474479310314145</v>
      </c>
      <c r="L463" s="8">
        <f>(H463/G463)*100</f>
        <v>1.9021521543785977</v>
      </c>
    </row>
    <row r="464" spans="1:12" x14ac:dyDescent="0.3">
      <c r="A464" s="1" t="s">
        <v>474</v>
      </c>
      <c r="B464" s="1" t="s">
        <v>22</v>
      </c>
      <c r="C464" s="1" t="s">
        <v>11</v>
      </c>
      <c r="D464" s="1" t="s">
        <v>19</v>
      </c>
      <c r="E464" s="35">
        <v>45025</v>
      </c>
      <c r="F464" s="1">
        <v>437</v>
      </c>
      <c r="G464" s="1">
        <v>246907</v>
      </c>
      <c r="H464" s="3">
        <v>3529</v>
      </c>
      <c r="I464" s="1">
        <v>17</v>
      </c>
      <c r="J464" s="2">
        <v>45042</v>
      </c>
      <c r="K464" s="8">
        <f>(F464/G464)*100</f>
        <v>0.17698971677595207</v>
      </c>
      <c r="L464" s="8">
        <f>(H464/G464)*100</f>
        <v>1.429283090394359</v>
      </c>
    </row>
    <row r="465" spans="1:12" x14ac:dyDescent="0.3">
      <c r="A465" s="1" t="s">
        <v>475</v>
      </c>
      <c r="B465" s="1" t="s">
        <v>14</v>
      </c>
      <c r="C465" s="1" t="s">
        <v>25</v>
      </c>
      <c r="D465" s="1" t="s">
        <v>16</v>
      </c>
      <c r="E465" s="35">
        <v>45026</v>
      </c>
      <c r="F465" s="1">
        <v>74296</v>
      </c>
      <c r="G465" s="1">
        <v>83613</v>
      </c>
      <c r="H465" s="3">
        <v>524</v>
      </c>
      <c r="I465" s="1">
        <v>8</v>
      </c>
      <c r="J465" s="2">
        <v>45034</v>
      </c>
      <c r="K465" s="8">
        <f>(F465/G465)*100</f>
        <v>88.856995921686817</v>
      </c>
      <c r="L465" s="8">
        <f>(H465/G465)*100</f>
        <v>0.62669680552067253</v>
      </c>
    </row>
    <row r="466" spans="1:12" x14ac:dyDescent="0.3">
      <c r="A466" s="1" t="s">
        <v>476</v>
      </c>
      <c r="B466" s="1" t="s">
        <v>14</v>
      </c>
      <c r="C466" s="1" t="s">
        <v>15</v>
      </c>
      <c r="D466" s="1" t="s">
        <v>32</v>
      </c>
      <c r="E466" s="35">
        <v>45027</v>
      </c>
      <c r="F466" s="1">
        <v>9906</v>
      </c>
      <c r="G466" s="1">
        <v>589198</v>
      </c>
      <c r="H466" s="3">
        <v>1570</v>
      </c>
      <c r="I466" s="1">
        <v>9</v>
      </c>
      <c r="J466" s="2">
        <v>45036</v>
      </c>
      <c r="K466" s="8">
        <f>(F466/G466)*100</f>
        <v>1.6812684360775154</v>
      </c>
      <c r="L466" s="8">
        <f>(H466/G466)*100</f>
        <v>0.26646390517279422</v>
      </c>
    </row>
    <row r="467" spans="1:12" x14ac:dyDescent="0.3">
      <c r="A467" s="1" t="s">
        <v>477</v>
      </c>
      <c r="B467" s="1" t="s">
        <v>14</v>
      </c>
      <c r="C467" s="1" t="s">
        <v>30</v>
      </c>
      <c r="D467" s="1" t="s">
        <v>32</v>
      </c>
      <c r="E467" s="35">
        <v>45028</v>
      </c>
      <c r="F467" s="1">
        <v>87037</v>
      </c>
      <c r="G467" s="1">
        <v>98263</v>
      </c>
      <c r="H467" s="3">
        <v>513</v>
      </c>
      <c r="I467" s="1">
        <v>6</v>
      </c>
      <c r="J467" s="2">
        <v>45034</v>
      </c>
      <c r="K467" s="8">
        <f>(F467/G467)*100</f>
        <v>88.575557432604342</v>
      </c>
      <c r="L467" s="8">
        <f>(H467/G467)*100</f>
        <v>0.52206832683716153</v>
      </c>
    </row>
    <row r="468" spans="1:12" x14ac:dyDescent="0.3">
      <c r="A468" s="1" t="s">
        <v>478</v>
      </c>
      <c r="B468" s="1" t="s">
        <v>24</v>
      </c>
      <c r="C468" s="1" t="s">
        <v>15</v>
      </c>
      <c r="D468" s="1" t="s">
        <v>19</v>
      </c>
      <c r="E468" s="35">
        <v>45029</v>
      </c>
      <c r="F468" s="1">
        <v>40763</v>
      </c>
      <c r="G468" s="1">
        <v>588338</v>
      </c>
      <c r="H468" s="3">
        <v>1707</v>
      </c>
      <c r="I468" s="1">
        <v>9</v>
      </c>
      <c r="J468" s="2">
        <v>45038</v>
      </c>
      <c r="K468" s="8">
        <f>(F468/G468)*100</f>
        <v>6.9285002838504406</v>
      </c>
      <c r="L468" s="8">
        <f>(H468/G468)*100</f>
        <v>0.29013934167094424</v>
      </c>
    </row>
    <row r="469" spans="1:12" x14ac:dyDescent="0.3">
      <c r="A469" s="1" t="s">
        <v>479</v>
      </c>
      <c r="B469" s="1" t="s">
        <v>22</v>
      </c>
      <c r="C469" s="1" t="s">
        <v>37</v>
      </c>
      <c r="D469" s="1" t="s">
        <v>16</v>
      </c>
      <c r="E469" s="35">
        <v>45030</v>
      </c>
      <c r="F469" s="1">
        <v>89215</v>
      </c>
      <c r="G469" s="1">
        <v>570723</v>
      </c>
      <c r="H469" s="3">
        <v>842</v>
      </c>
      <c r="I469" s="1">
        <v>10</v>
      </c>
      <c r="J469" s="2">
        <v>45040</v>
      </c>
      <c r="K469" s="8">
        <f>(F469/G469)*100</f>
        <v>15.63192652127214</v>
      </c>
      <c r="L469" s="8">
        <f>(H469/G469)*100</f>
        <v>0.14753216534115499</v>
      </c>
    </row>
    <row r="470" spans="1:12" x14ac:dyDescent="0.3">
      <c r="A470" s="1" t="s">
        <v>480</v>
      </c>
      <c r="B470" s="1" t="s">
        <v>14</v>
      </c>
      <c r="C470" s="1" t="s">
        <v>11</v>
      </c>
      <c r="D470" s="1" t="s">
        <v>16</v>
      </c>
      <c r="E470" s="35">
        <v>45031</v>
      </c>
      <c r="F470" s="1">
        <v>5409</v>
      </c>
      <c r="G470" s="1">
        <v>642939</v>
      </c>
      <c r="H470" s="3">
        <v>1857</v>
      </c>
      <c r="I470" s="1">
        <v>18</v>
      </c>
      <c r="J470" s="2">
        <v>45049</v>
      </c>
      <c r="K470" s="8">
        <f>(F470/G470)*100</f>
        <v>0.8412928753738691</v>
      </c>
      <c r="L470" s="8">
        <f>(H470/G470)*100</f>
        <v>0.28882988899413475</v>
      </c>
    </row>
    <row r="471" spans="1:12" x14ac:dyDescent="0.3">
      <c r="A471" s="1" t="s">
        <v>481</v>
      </c>
      <c r="B471" s="1" t="s">
        <v>14</v>
      </c>
      <c r="C471" s="1" t="s">
        <v>25</v>
      </c>
      <c r="D471" s="1" t="s">
        <v>19</v>
      </c>
      <c r="E471" s="35">
        <v>45032</v>
      </c>
      <c r="F471" s="1">
        <v>92811</v>
      </c>
      <c r="G471" s="1">
        <v>110221</v>
      </c>
      <c r="H471" s="3">
        <v>628</v>
      </c>
      <c r="I471" s="1">
        <v>25</v>
      </c>
      <c r="J471" s="2">
        <v>45057</v>
      </c>
      <c r="K471" s="8">
        <f>(F471/G471)*100</f>
        <v>84.204461944638496</v>
      </c>
      <c r="L471" s="8">
        <f>(H471/G471)*100</f>
        <v>0.5697643824679508</v>
      </c>
    </row>
    <row r="472" spans="1:12" x14ac:dyDescent="0.3">
      <c r="A472" s="1" t="s">
        <v>482</v>
      </c>
      <c r="B472" s="1" t="s">
        <v>14</v>
      </c>
      <c r="C472" s="1" t="s">
        <v>18</v>
      </c>
      <c r="D472" s="1" t="s">
        <v>16</v>
      </c>
      <c r="E472" s="35">
        <v>45033</v>
      </c>
      <c r="F472" s="1">
        <v>35641</v>
      </c>
      <c r="G472" s="1">
        <v>540783</v>
      </c>
      <c r="H472" s="3">
        <v>938</v>
      </c>
      <c r="I472" s="1">
        <v>23</v>
      </c>
      <c r="J472" s="2">
        <v>45056</v>
      </c>
      <c r="K472" s="8">
        <f>(F472/G472)*100</f>
        <v>6.5906287734636626</v>
      </c>
      <c r="L472" s="8">
        <f>(H472/G472)*100</f>
        <v>0.17345219801657966</v>
      </c>
    </row>
    <row r="473" spans="1:12" x14ac:dyDescent="0.3">
      <c r="A473" s="1" t="s">
        <v>483</v>
      </c>
      <c r="B473" s="1" t="s">
        <v>22</v>
      </c>
      <c r="C473" s="1" t="s">
        <v>25</v>
      </c>
      <c r="D473" s="1" t="s">
        <v>19</v>
      </c>
      <c r="E473" s="35">
        <v>45034</v>
      </c>
      <c r="F473" s="1">
        <v>65466</v>
      </c>
      <c r="G473" s="1">
        <v>555327</v>
      </c>
      <c r="H473" s="3">
        <v>1690</v>
      </c>
      <c r="I473" s="1">
        <v>21</v>
      </c>
      <c r="J473" s="2">
        <v>45055</v>
      </c>
      <c r="K473" s="8">
        <f>(F473/G473)*100</f>
        <v>11.788729883474062</v>
      </c>
      <c r="L473" s="8">
        <f>(H473/G473)*100</f>
        <v>0.30432519938702779</v>
      </c>
    </row>
    <row r="474" spans="1:12" x14ac:dyDescent="0.3">
      <c r="A474" s="1" t="s">
        <v>484</v>
      </c>
      <c r="B474" s="1" t="s">
        <v>22</v>
      </c>
      <c r="C474" s="1" t="s">
        <v>25</v>
      </c>
      <c r="D474" s="1" t="s">
        <v>32</v>
      </c>
      <c r="E474" s="35">
        <v>45035</v>
      </c>
      <c r="F474" s="1">
        <v>72702</v>
      </c>
      <c r="G474" s="1">
        <v>834114</v>
      </c>
      <c r="H474" s="3">
        <v>477</v>
      </c>
      <c r="I474" s="1">
        <v>23</v>
      </c>
      <c r="J474" s="2">
        <v>45058</v>
      </c>
      <c r="K474" s="8">
        <f>(F474/G474)*100</f>
        <v>8.7160747811450232</v>
      </c>
      <c r="L474" s="8">
        <f>(H474/G474)*100</f>
        <v>5.7186427754479602E-2</v>
      </c>
    </row>
    <row r="475" spans="1:12" x14ac:dyDescent="0.3">
      <c r="A475" s="1" t="s">
        <v>485</v>
      </c>
      <c r="B475" s="1" t="s">
        <v>22</v>
      </c>
      <c r="C475" s="1" t="s">
        <v>11</v>
      </c>
      <c r="D475" s="1" t="s">
        <v>32</v>
      </c>
      <c r="E475" s="35">
        <v>45036</v>
      </c>
      <c r="F475" s="1">
        <v>31319</v>
      </c>
      <c r="G475" s="1">
        <v>882159</v>
      </c>
      <c r="H475" s="3">
        <v>1905</v>
      </c>
      <c r="I475" s="1">
        <v>25</v>
      </c>
      <c r="J475" s="2">
        <v>45061</v>
      </c>
      <c r="K475" s="8">
        <f>(F475/G475)*100</f>
        <v>3.5502670153566425</v>
      </c>
      <c r="L475" s="8">
        <f>(H475/G475)*100</f>
        <v>0.2159474652528626</v>
      </c>
    </row>
    <row r="476" spans="1:12" x14ac:dyDescent="0.3">
      <c r="A476" s="1" t="s">
        <v>1361</v>
      </c>
      <c r="B476" s="1" t="s">
        <v>22</v>
      </c>
      <c r="C476" s="1" t="s">
        <v>25</v>
      </c>
      <c r="D476" s="1" t="s">
        <v>12</v>
      </c>
      <c r="E476" s="35">
        <v>45037</v>
      </c>
      <c r="F476" s="1">
        <v>74003</v>
      </c>
      <c r="G476" s="1">
        <v>183314</v>
      </c>
      <c r="H476" s="3">
        <v>303</v>
      </c>
      <c r="I476" s="1">
        <v>3</v>
      </c>
      <c r="J476" s="2">
        <v>45040</v>
      </c>
      <c r="K476" s="8">
        <f>(F476/G476)*100</f>
        <v>40.369529877696195</v>
      </c>
      <c r="L476" s="8">
        <f>(H476/G476)*100</f>
        <v>0.16529015787119369</v>
      </c>
    </row>
    <row r="477" spans="1:12" x14ac:dyDescent="0.3">
      <c r="A477" s="1" t="s">
        <v>486</v>
      </c>
      <c r="B477" s="1" t="s">
        <v>14</v>
      </c>
      <c r="C477" s="1" t="s">
        <v>25</v>
      </c>
      <c r="D477" s="1" t="s">
        <v>28</v>
      </c>
      <c r="E477" s="35">
        <v>45038</v>
      </c>
      <c r="F477" s="1">
        <v>59217</v>
      </c>
      <c r="G477" s="1">
        <v>18199</v>
      </c>
      <c r="H477" s="3">
        <v>1289</v>
      </c>
      <c r="I477" s="1">
        <v>7</v>
      </c>
      <c r="J477" s="2">
        <v>45045</v>
      </c>
      <c r="K477" s="8">
        <f>(F477/G477)*100</f>
        <v>325.38601022034175</v>
      </c>
      <c r="L477" s="8">
        <f>(H477/G477)*100</f>
        <v>7.0828067476234962</v>
      </c>
    </row>
    <row r="478" spans="1:12" x14ac:dyDescent="0.3">
      <c r="A478" s="1" t="s">
        <v>487</v>
      </c>
      <c r="B478" s="1" t="s">
        <v>14</v>
      </c>
      <c r="C478" s="1" t="s">
        <v>30</v>
      </c>
      <c r="D478" s="1" t="s">
        <v>19</v>
      </c>
      <c r="E478" s="35">
        <v>45039</v>
      </c>
      <c r="F478" s="1">
        <v>6010</v>
      </c>
      <c r="G478" s="1">
        <v>787016</v>
      </c>
      <c r="H478" s="3">
        <v>3785</v>
      </c>
      <c r="I478" s="1">
        <v>1</v>
      </c>
      <c r="J478" s="2">
        <v>45040</v>
      </c>
      <c r="K478" s="8">
        <f>(F478/G478)*100</f>
        <v>0.7636439411651097</v>
      </c>
      <c r="L478" s="8">
        <f>(H478/G478)*100</f>
        <v>0.480930502048243</v>
      </c>
    </row>
    <row r="479" spans="1:12" x14ac:dyDescent="0.3">
      <c r="A479" s="1" t="s">
        <v>488</v>
      </c>
      <c r="B479" s="1" t="s">
        <v>14</v>
      </c>
      <c r="C479" s="1" t="s">
        <v>25</v>
      </c>
      <c r="D479" s="1" t="s">
        <v>32</v>
      </c>
      <c r="E479" s="35">
        <v>45040</v>
      </c>
      <c r="F479" s="1">
        <v>88163</v>
      </c>
      <c r="G479" s="1">
        <v>330403</v>
      </c>
      <c r="H479" s="3">
        <v>3467</v>
      </c>
      <c r="I479" s="1">
        <v>17</v>
      </c>
      <c r="J479" s="2">
        <v>45057</v>
      </c>
      <c r="K479" s="8">
        <f>(F479/G479)*100</f>
        <v>26.683474423658382</v>
      </c>
      <c r="L479" s="8">
        <f>(H479/G479)*100</f>
        <v>1.0493246126699818</v>
      </c>
    </row>
    <row r="480" spans="1:12" x14ac:dyDescent="0.3">
      <c r="A480" s="1" t="s">
        <v>489</v>
      </c>
      <c r="B480" s="1" t="s">
        <v>14</v>
      </c>
      <c r="C480" s="1" t="s">
        <v>18</v>
      </c>
      <c r="D480" s="1" t="s">
        <v>16</v>
      </c>
      <c r="E480" s="35">
        <v>45041</v>
      </c>
      <c r="F480" s="1">
        <v>65889</v>
      </c>
      <c r="G480" s="1">
        <v>908995</v>
      </c>
      <c r="H480" s="3">
        <v>4683</v>
      </c>
      <c r="I480" s="1">
        <v>21</v>
      </c>
      <c r="J480" s="2">
        <v>45062</v>
      </c>
      <c r="K480" s="8">
        <f>(F480/G480)*100</f>
        <v>7.2485547225232256</v>
      </c>
      <c r="L480" s="8">
        <f>(H480/G480)*100</f>
        <v>0.51518435194913059</v>
      </c>
    </row>
    <row r="481" spans="1:12" x14ac:dyDescent="0.3">
      <c r="A481" s="1" t="s">
        <v>490</v>
      </c>
      <c r="B481" s="1" t="s">
        <v>14</v>
      </c>
      <c r="C481" s="1" t="s">
        <v>37</v>
      </c>
      <c r="D481" s="1" t="s">
        <v>32</v>
      </c>
      <c r="E481" s="35">
        <v>45042</v>
      </c>
      <c r="F481" s="1">
        <v>97719</v>
      </c>
      <c r="G481" s="1">
        <v>115906</v>
      </c>
      <c r="H481" s="3">
        <v>2157</v>
      </c>
      <c r="I481" s="1">
        <v>22</v>
      </c>
      <c r="J481" s="2">
        <v>45064</v>
      </c>
      <c r="K481" s="8">
        <f>(F481/G481)*100</f>
        <v>84.308836470933343</v>
      </c>
      <c r="L481" s="8">
        <f>(H481/G481)*100</f>
        <v>1.8609908028919986</v>
      </c>
    </row>
    <row r="482" spans="1:12" x14ac:dyDescent="0.3">
      <c r="A482" s="1" t="s">
        <v>491</v>
      </c>
      <c r="B482" s="1" t="s">
        <v>22</v>
      </c>
      <c r="C482" s="1" t="s">
        <v>18</v>
      </c>
      <c r="D482" s="1" t="s">
        <v>32</v>
      </c>
      <c r="E482" s="35">
        <v>45043</v>
      </c>
      <c r="F482" s="1">
        <v>23486</v>
      </c>
      <c r="G482" s="1">
        <v>66452</v>
      </c>
      <c r="H482" s="3">
        <v>615</v>
      </c>
      <c r="I482" s="1">
        <v>2</v>
      </c>
      <c r="J482" s="2">
        <v>45045</v>
      </c>
      <c r="K482" s="8">
        <f>(F482/G482)*100</f>
        <v>35.342803828327213</v>
      </c>
      <c r="L482" s="8">
        <f>(H482/G482)*100</f>
        <v>0.92548004574730636</v>
      </c>
    </row>
    <row r="483" spans="1:12" x14ac:dyDescent="0.3">
      <c r="A483" s="1" t="s">
        <v>492</v>
      </c>
      <c r="B483" s="1" t="s">
        <v>14</v>
      </c>
      <c r="C483" s="1" t="s">
        <v>25</v>
      </c>
      <c r="D483" s="1" t="s">
        <v>28</v>
      </c>
      <c r="E483" s="35">
        <v>45044</v>
      </c>
      <c r="F483" s="1">
        <v>72119</v>
      </c>
      <c r="G483" s="1">
        <v>557946</v>
      </c>
      <c r="H483" s="3">
        <v>1468</v>
      </c>
      <c r="I483" s="1">
        <v>24</v>
      </c>
      <c r="J483" s="2">
        <v>45068</v>
      </c>
      <c r="K483" s="8">
        <f>(F483/G483)*100</f>
        <v>12.925802855473471</v>
      </c>
      <c r="L483" s="8">
        <f>(H483/G483)*100</f>
        <v>0.26310789933075962</v>
      </c>
    </row>
    <row r="484" spans="1:12" x14ac:dyDescent="0.3">
      <c r="A484" s="1" t="s">
        <v>493</v>
      </c>
      <c r="B484" s="1" t="s">
        <v>22</v>
      </c>
      <c r="C484" s="1" t="s">
        <v>18</v>
      </c>
      <c r="D484" s="1" t="s">
        <v>19</v>
      </c>
      <c r="E484" s="35">
        <v>45045</v>
      </c>
      <c r="F484" s="1">
        <v>28514</v>
      </c>
      <c r="G484" s="1">
        <v>567076</v>
      </c>
      <c r="H484" s="3">
        <v>3864</v>
      </c>
      <c r="I484" s="1">
        <v>3</v>
      </c>
      <c r="J484" s="2">
        <v>45048</v>
      </c>
      <c r="K484" s="8">
        <f>(F484/G484)*100</f>
        <v>5.0282501816335019</v>
      </c>
      <c r="L484" s="8">
        <f>(H484/G484)*100</f>
        <v>0.68139014876312876</v>
      </c>
    </row>
    <row r="485" spans="1:12" x14ac:dyDescent="0.3">
      <c r="A485" s="1" t="s">
        <v>494</v>
      </c>
      <c r="B485" s="1" t="s">
        <v>22</v>
      </c>
      <c r="C485" s="1" t="s">
        <v>25</v>
      </c>
      <c r="D485" s="1" t="s">
        <v>12</v>
      </c>
      <c r="E485" s="35">
        <v>45046</v>
      </c>
      <c r="F485" s="1">
        <v>69886</v>
      </c>
      <c r="G485" s="1">
        <v>766629</v>
      </c>
      <c r="H485" s="3">
        <v>165</v>
      </c>
      <c r="I485" s="1">
        <v>25</v>
      </c>
      <c r="J485" s="2">
        <v>45071</v>
      </c>
      <c r="K485" s="8">
        <f>(F485/G485)*100</f>
        <v>9.1160130910779529</v>
      </c>
      <c r="L485" s="8">
        <f>(H485/G485)*100</f>
        <v>2.1522796554787258E-2</v>
      </c>
    </row>
    <row r="486" spans="1:12" x14ac:dyDescent="0.3">
      <c r="A486" s="1" t="s">
        <v>495</v>
      </c>
      <c r="B486" s="1" t="s">
        <v>14</v>
      </c>
      <c r="C486" s="1" t="s">
        <v>15</v>
      </c>
      <c r="D486" s="1" t="s">
        <v>32</v>
      </c>
      <c r="E486" s="35">
        <v>45047</v>
      </c>
      <c r="F486" s="1">
        <v>19250</v>
      </c>
      <c r="G486" s="1">
        <v>592816</v>
      </c>
      <c r="H486" s="3">
        <v>3396</v>
      </c>
      <c r="I486" s="1">
        <v>24</v>
      </c>
      <c r="J486" s="2">
        <v>45071</v>
      </c>
      <c r="K486" s="8">
        <f>(F486/G486)*100</f>
        <v>3.2472133005856794</v>
      </c>
      <c r="L486" s="8">
        <f>(H486/G486)*100</f>
        <v>0.57285903214488143</v>
      </c>
    </row>
    <row r="487" spans="1:12" x14ac:dyDescent="0.3">
      <c r="A487" s="1" t="s">
        <v>496</v>
      </c>
      <c r="B487" s="1" t="s">
        <v>14</v>
      </c>
      <c r="C487" s="1" t="s">
        <v>30</v>
      </c>
      <c r="D487" s="1" t="s">
        <v>12</v>
      </c>
      <c r="E487" s="35">
        <v>45048</v>
      </c>
      <c r="F487" s="1">
        <v>64816</v>
      </c>
      <c r="G487" s="1">
        <v>825902</v>
      </c>
      <c r="H487" s="3">
        <v>868</v>
      </c>
      <c r="I487" s="1">
        <v>12</v>
      </c>
      <c r="J487" s="2">
        <v>45060</v>
      </c>
      <c r="K487" s="8">
        <f>(F487/G487)*100</f>
        <v>7.8479044729277803</v>
      </c>
      <c r="L487" s="8">
        <f>(H487/G487)*100</f>
        <v>0.10509721492380451</v>
      </c>
    </row>
    <row r="488" spans="1:12" x14ac:dyDescent="0.3">
      <c r="A488" s="1" t="s">
        <v>497</v>
      </c>
      <c r="B488" s="1" t="s">
        <v>22</v>
      </c>
      <c r="C488" s="1" t="s">
        <v>30</v>
      </c>
      <c r="D488" s="1" t="s">
        <v>32</v>
      </c>
      <c r="E488" s="35">
        <v>45049</v>
      </c>
      <c r="F488" s="1">
        <v>37477</v>
      </c>
      <c r="G488" s="1">
        <v>143470</v>
      </c>
      <c r="H488" s="3">
        <v>1102</v>
      </c>
      <c r="I488" s="1">
        <v>13</v>
      </c>
      <c r="J488" s="2">
        <v>45062</v>
      </c>
      <c r="K488" s="8">
        <f>(F488/G488)*100</f>
        <v>26.121837317906184</v>
      </c>
      <c r="L488" s="8">
        <f>(H488/G488)*100</f>
        <v>0.76810483027810694</v>
      </c>
    </row>
    <row r="489" spans="1:12" x14ac:dyDescent="0.3">
      <c r="A489" s="1" t="s">
        <v>498</v>
      </c>
      <c r="B489" s="1" t="s">
        <v>14</v>
      </c>
      <c r="C489" s="1" t="s">
        <v>15</v>
      </c>
      <c r="D489" s="1" t="s">
        <v>12</v>
      </c>
      <c r="E489" s="35">
        <v>45050</v>
      </c>
      <c r="F489" s="1">
        <v>85602</v>
      </c>
      <c r="G489" s="1">
        <v>357426</v>
      </c>
      <c r="H489" s="3">
        <v>4309</v>
      </c>
      <c r="I489" s="1">
        <v>15</v>
      </c>
      <c r="J489" s="2">
        <v>45065</v>
      </c>
      <c r="K489" s="8">
        <f>(F489/G489)*100</f>
        <v>23.949572778701047</v>
      </c>
      <c r="L489" s="8">
        <f>(H489/G489)*100</f>
        <v>1.205564228679503</v>
      </c>
    </row>
    <row r="490" spans="1:12" x14ac:dyDescent="0.3">
      <c r="A490" s="1" t="s">
        <v>499</v>
      </c>
      <c r="B490" s="1" t="s">
        <v>14</v>
      </c>
      <c r="C490" s="1" t="s">
        <v>25</v>
      </c>
      <c r="D490" s="1" t="s">
        <v>19</v>
      </c>
      <c r="E490" s="35">
        <v>45051</v>
      </c>
      <c r="F490" s="1">
        <v>21869</v>
      </c>
      <c r="G490" s="1">
        <v>358232</v>
      </c>
      <c r="H490" s="3">
        <v>1229</v>
      </c>
      <c r="I490" s="1">
        <v>4</v>
      </c>
      <c r="J490" s="2">
        <v>45055</v>
      </c>
      <c r="K490" s="8">
        <f>(F490/G490)*100</f>
        <v>6.104703097434065</v>
      </c>
      <c r="L490" s="8">
        <f>(H490/G490)*100</f>
        <v>0.34307376225462827</v>
      </c>
    </row>
    <row r="491" spans="1:12" x14ac:dyDescent="0.3">
      <c r="A491" s="1" t="s">
        <v>500</v>
      </c>
      <c r="B491" s="1" t="s">
        <v>10</v>
      </c>
      <c r="C491" s="1" t="s">
        <v>27</v>
      </c>
      <c r="D491" s="1" t="s">
        <v>19</v>
      </c>
      <c r="E491" s="35">
        <v>45052</v>
      </c>
      <c r="F491" s="1">
        <v>43948</v>
      </c>
      <c r="G491" s="1">
        <v>373655</v>
      </c>
      <c r="H491" s="3">
        <v>1599</v>
      </c>
      <c r="I491" s="1">
        <v>6</v>
      </c>
      <c r="J491" s="2">
        <v>45058</v>
      </c>
      <c r="K491" s="8">
        <f>(F491/G491)*100</f>
        <v>11.761651791090712</v>
      </c>
      <c r="L491" s="8">
        <f>(H491/G491)*100</f>
        <v>0.42793485969677908</v>
      </c>
    </row>
    <row r="492" spans="1:12" x14ac:dyDescent="0.3">
      <c r="A492" s="1" t="s">
        <v>501</v>
      </c>
      <c r="B492" s="1" t="s">
        <v>14</v>
      </c>
      <c r="C492" s="1" t="s">
        <v>15</v>
      </c>
      <c r="D492" s="1" t="s">
        <v>12</v>
      </c>
      <c r="E492" s="35">
        <v>45053</v>
      </c>
      <c r="F492" s="1">
        <v>55893</v>
      </c>
      <c r="G492" s="1">
        <v>476639</v>
      </c>
      <c r="H492" s="3">
        <v>2554</v>
      </c>
      <c r="I492" s="1">
        <v>12</v>
      </c>
      <c r="J492" s="2">
        <v>45065</v>
      </c>
      <c r="K492" s="8">
        <f>(F492/G492)*100</f>
        <v>11.726484823944325</v>
      </c>
      <c r="L492" s="8">
        <f>(H492/G492)*100</f>
        <v>0.53583529673400621</v>
      </c>
    </row>
    <row r="493" spans="1:12" x14ac:dyDescent="0.3">
      <c r="A493" s="1" t="s">
        <v>502</v>
      </c>
      <c r="B493" s="1" t="s">
        <v>14</v>
      </c>
      <c r="C493" s="1" t="s">
        <v>37</v>
      </c>
      <c r="D493" s="1" t="s">
        <v>12</v>
      </c>
      <c r="E493" s="35">
        <v>45054</v>
      </c>
      <c r="F493" s="1">
        <v>39732</v>
      </c>
      <c r="G493" s="1">
        <v>316819</v>
      </c>
      <c r="H493" s="3">
        <v>1249</v>
      </c>
      <c r="I493" s="1">
        <v>6</v>
      </c>
      <c r="J493" s="2">
        <v>45060</v>
      </c>
      <c r="K493" s="8">
        <f>(F493/G493)*100</f>
        <v>12.540914528484718</v>
      </c>
      <c r="L493" s="8">
        <f>(H493/G493)*100</f>
        <v>0.39423140657599448</v>
      </c>
    </row>
    <row r="494" spans="1:12" x14ac:dyDescent="0.3">
      <c r="A494" s="1" t="s">
        <v>503</v>
      </c>
      <c r="B494" s="1" t="s">
        <v>22</v>
      </c>
      <c r="C494" s="1" t="s">
        <v>27</v>
      </c>
      <c r="D494" s="1" t="s">
        <v>12</v>
      </c>
      <c r="E494" s="35">
        <v>45055</v>
      </c>
      <c r="F494" s="1">
        <v>9506</v>
      </c>
      <c r="G494" s="1">
        <v>354489</v>
      </c>
      <c r="H494" s="3">
        <v>1765</v>
      </c>
      <c r="I494" s="1">
        <v>27</v>
      </c>
      <c r="J494" s="2">
        <v>45082</v>
      </c>
      <c r="K494" s="8">
        <f>(F494/G494)*100</f>
        <v>2.6816064814423015</v>
      </c>
      <c r="L494" s="8">
        <f>(H494/G494)*100</f>
        <v>0.49789979378767751</v>
      </c>
    </row>
    <row r="495" spans="1:12" x14ac:dyDescent="0.3">
      <c r="A495" s="1" t="s">
        <v>504</v>
      </c>
      <c r="B495" s="1" t="s">
        <v>10</v>
      </c>
      <c r="C495" s="1" t="s">
        <v>37</v>
      </c>
      <c r="D495" s="1" t="s">
        <v>16</v>
      </c>
      <c r="E495" s="35">
        <v>45056</v>
      </c>
      <c r="F495" s="1">
        <v>67688</v>
      </c>
      <c r="G495" s="1">
        <v>560976</v>
      </c>
      <c r="H495" s="3">
        <v>740</v>
      </c>
      <c r="I495" s="1">
        <v>23</v>
      </c>
      <c r="J495" s="2">
        <v>45079</v>
      </c>
      <c r="K495" s="8">
        <f>(F495/G495)*100</f>
        <v>12.066113345312456</v>
      </c>
      <c r="L495" s="8">
        <f>(H495/G495)*100</f>
        <v>0.13191295171272924</v>
      </c>
    </row>
    <row r="496" spans="1:12" x14ac:dyDescent="0.3">
      <c r="A496" s="1" t="s">
        <v>505</v>
      </c>
      <c r="B496" s="1" t="s">
        <v>14</v>
      </c>
      <c r="C496" s="1" t="s">
        <v>37</v>
      </c>
      <c r="D496" s="1" t="s">
        <v>16</v>
      </c>
      <c r="E496" s="35">
        <v>45057</v>
      </c>
      <c r="F496" s="1">
        <v>92093</v>
      </c>
      <c r="G496" s="1">
        <v>654043</v>
      </c>
      <c r="H496" s="3">
        <v>1689</v>
      </c>
      <c r="I496" s="1">
        <v>29</v>
      </c>
      <c r="J496" s="2">
        <v>45086</v>
      </c>
      <c r="K496" s="8">
        <f>(F496/G496)*100</f>
        <v>14.080572684058998</v>
      </c>
      <c r="L496" s="8">
        <f>(H496/G496)*100</f>
        <v>0.25823990165784205</v>
      </c>
    </row>
    <row r="497" spans="1:12" x14ac:dyDescent="0.3">
      <c r="A497" s="1" t="s">
        <v>506</v>
      </c>
      <c r="B497" s="1" t="s">
        <v>14</v>
      </c>
      <c r="C497" s="1" t="s">
        <v>15</v>
      </c>
      <c r="D497" s="1" t="s">
        <v>16</v>
      </c>
      <c r="E497" s="35">
        <v>45058</v>
      </c>
      <c r="F497" s="1">
        <v>2046</v>
      </c>
      <c r="G497" s="1">
        <v>239661</v>
      </c>
      <c r="H497" s="3">
        <v>566</v>
      </c>
      <c r="I497" s="1">
        <v>17</v>
      </c>
      <c r="J497" s="2">
        <v>45075</v>
      </c>
      <c r="K497" s="8">
        <f>(F497/G497)*100</f>
        <v>0.85370585952658129</v>
      </c>
      <c r="L497" s="8">
        <f>(H497/G497)*100</f>
        <v>0.23616691910657139</v>
      </c>
    </row>
    <row r="498" spans="1:12" x14ac:dyDescent="0.3">
      <c r="A498" s="1" t="s">
        <v>507</v>
      </c>
      <c r="B498" s="1" t="s">
        <v>14</v>
      </c>
      <c r="C498" s="1" t="s">
        <v>37</v>
      </c>
      <c r="D498" s="1" t="s">
        <v>12</v>
      </c>
      <c r="E498" s="35">
        <v>45059</v>
      </c>
      <c r="F498" s="1">
        <v>86161</v>
      </c>
      <c r="G498" s="1">
        <v>416435</v>
      </c>
      <c r="H498" s="3">
        <v>2610</v>
      </c>
      <c r="I498" s="1">
        <v>22</v>
      </c>
      <c r="J498" s="2">
        <v>45081</v>
      </c>
      <c r="K498" s="8">
        <f>(F498/G498)*100</f>
        <v>20.690143719908267</v>
      </c>
      <c r="L498" s="8">
        <f>(H498/G498)*100</f>
        <v>0.62674847215051566</v>
      </c>
    </row>
    <row r="499" spans="1:12" x14ac:dyDescent="0.3">
      <c r="A499" s="1" t="s">
        <v>508</v>
      </c>
      <c r="B499" s="1" t="s">
        <v>22</v>
      </c>
      <c r="C499" s="1" t="s">
        <v>27</v>
      </c>
      <c r="D499" s="1" t="s">
        <v>19</v>
      </c>
      <c r="E499" s="35">
        <v>45060</v>
      </c>
      <c r="F499" s="1">
        <v>41336</v>
      </c>
      <c r="G499" s="1">
        <v>406980</v>
      </c>
      <c r="H499" s="3">
        <v>3057</v>
      </c>
      <c r="I499" s="1">
        <v>17</v>
      </c>
      <c r="J499" s="2">
        <v>45077</v>
      </c>
      <c r="K499" s="8">
        <f>(F499/G499)*100</f>
        <v>10.156764460170033</v>
      </c>
      <c r="L499" s="8">
        <f>(H499/G499)*100</f>
        <v>0.75114256228807308</v>
      </c>
    </row>
    <row r="500" spans="1:12" x14ac:dyDescent="0.3">
      <c r="A500" s="1" t="s">
        <v>509</v>
      </c>
      <c r="B500" s="1" t="s">
        <v>14</v>
      </c>
      <c r="C500" s="1" t="s">
        <v>37</v>
      </c>
      <c r="D500" s="1" t="s">
        <v>28</v>
      </c>
      <c r="E500" s="35">
        <v>45061</v>
      </c>
      <c r="F500" s="1">
        <v>61984</v>
      </c>
      <c r="G500" s="1">
        <v>707066</v>
      </c>
      <c r="H500" s="3">
        <v>4122</v>
      </c>
      <c r="I500" s="1">
        <v>13</v>
      </c>
      <c r="J500" s="2">
        <v>45074</v>
      </c>
      <c r="K500" s="8">
        <f>(F500/G500)*100</f>
        <v>8.7663669303855656</v>
      </c>
      <c r="L500" s="8">
        <f>(H500/G500)*100</f>
        <v>0.5829724523594686</v>
      </c>
    </row>
    <row r="501" spans="1:12" x14ac:dyDescent="0.3">
      <c r="A501" s="1" t="s">
        <v>510</v>
      </c>
      <c r="B501" s="1" t="s">
        <v>10</v>
      </c>
      <c r="C501" s="1" t="s">
        <v>37</v>
      </c>
      <c r="D501" s="1" t="s">
        <v>32</v>
      </c>
      <c r="E501" s="35">
        <v>45062</v>
      </c>
      <c r="F501" s="1">
        <v>66095</v>
      </c>
      <c r="G501" s="1">
        <v>300877</v>
      </c>
      <c r="H501" s="3">
        <v>4807</v>
      </c>
      <c r="I501" s="1">
        <v>22</v>
      </c>
      <c r="J501" s="2">
        <v>45084</v>
      </c>
      <c r="K501" s="8">
        <f>(F501/G501)*100</f>
        <v>21.967448492241015</v>
      </c>
      <c r="L501" s="8">
        <f>(H501/G501)*100</f>
        <v>1.597662832320184</v>
      </c>
    </row>
    <row r="502" spans="1:12" x14ac:dyDescent="0.3">
      <c r="A502" s="1" t="s">
        <v>511</v>
      </c>
      <c r="B502" s="1" t="s">
        <v>10</v>
      </c>
      <c r="C502" s="1" t="s">
        <v>15</v>
      </c>
      <c r="D502" s="1" t="s">
        <v>32</v>
      </c>
      <c r="E502" s="35">
        <v>45063</v>
      </c>
      <c r="F502" s="1">
        <v>26954</v>
      </c>
      <c r="G502" s="1">
        <v>231385</v>
      </c>
      <c r="H502" s="3">
        <v>189</v>
      </c>
      <c r="I502" s="1">
        <v>24</v>
      </c>
      <c r="J502" s="2">
        <v>45087</v>
      </c>
      <c r="K502" s="8">
        <f>(F502/G502)*100</f>
        <v>11.648983296237873</v>
      </c>
      <c r="L502" s="8">
        <f>(H502/G502)*100</f>
        <v>8.1682045076387835E-2</v>
      </c>
    </row>
    <row r="503" spans="1:12" x14ac:dyDescent="0.3">
      <c r="A503" s="1" t="s">
        <v>512</v>
      </c>
      <c r="B503" s="1" t="s">
        <v>24</v>
      </c>
      <c r="C503" s="1" t="s">
        <v>11</v>
      </c>
      <c r="D503" s="1" t="s">
        <v>19</v>
      </c>
      <c r="E503" s="35">
        <v>45064</v>
      </c>
      <c r="F503" s="1">
        <v>40478</v>
      </c>
      <c r="G503" s="1">
        <v>582512</v>
      </c>
      <c r="H503" s="3">
        <v>4737</v>
      </c>
      <c r="I503" s="1">
        <v>28</v>
      </c>
      <c r="J503" s="2">
        <v>45092</v>
      </c>
      <c r="K503" s="8">
        <f>(F503/G503)*100</f>
        <v>6.9488697228554956</v>
      </c>
      <c r="L503" s="8">
        <f>(H503/G503)*100</f>
        <v>0.81320213145823594</v>
      </c>
    </row>
    <row r="504" spans="1:12" x14ac:dyDescent="0.3">
      <c r="A504" s="1" t="s">
        <v>513</v>
      </c>
      <c r="B504" s="1" t="s">
        <v>14</v>
      </c>
      <c r="C504" s="1" t="s">
        <v>27</v>
      </c>
      <c r="D504" s="1" t="s">
        <v>19</v>
      </c>
      <c r="E504" s="35">
        <v>45065</v>
      </c>
      <c r="F504" s="1">
        <v>72757</v>
      </c>
      <c r="G504" s="1">
        <v>366225</v>
      </c>
      <c r="H504" s="3">
        <v>1885</v>
      </c>
      <c r="I504" s="1">
        <v>17</v>
      </c>
      <c r="J504" s="2">
        <v>45082</v>
      </c>
      <c r="K504" s="8">
        <f>(F504/G504)*100</f>
        <v>19.866748583521058</v>
      </c>
      <c r="L504" s="8">
        <f>(H504/G504)*100</f>
        <v>0.5147109017680388</v>
      </c>
    </row>
    <row r="505" spans="1:12" x14ac:dyDescent="0.3">
      <c r="A505" s="1" t="s">
        <v>514</v>
      </c>
      <c r="B505" s="1" t="s">
        <v>14</v>
      </c>
      <c r="C505" s="1" t="s">
        <v>25</v>
      </c>
      <c r="D505" s="1" t="s">
        <v>32</v>
      </c>
      <c r="E505" s="35">
        <v>45066</v>
      </c>
      <c r="F505" s="1">
        <v>29999</v>
      </c>
      <c r="G505" s="1">
        <v>919989</v>
      </c>
      <c r="H505" s="3">
        <v>1848</v>
      </c>
      <c r="I505" s="1">
        <v>2</v>
      </c>
      <c r="J505" s="2">
        <v>45068</v>
      </c>
      <c r="K505" s="8">
        <f>(F505/G505)*100</f>
        <v>3.2607998573895993</v>
      </c>
      <c r="L505" s="8">
        <f>(H505/G505)*100</f>
        <v>0.2008719669474309</v>
      </c>
    </row>
    <row r="506" spans="1:12" x14ac:dyDescent="0.3">
      <c r="A506" s="1" t="s">
        <v>515</v>
      </c>
      <c r="B506" s="1" t="s">
        <v>10</v>
      </c>
      <c r="C506" s="1" t="s">
        <v>37</v>
      </c>
      <c r="D506" s="1" t="s">
        <v>16</v>
      </c>
      <c r="E506" s="35">
        <v>45067</v>
      </c>
      <c r="F506" s="1">
        <v>2812</v>
      </c>
      <c r="G506" s="1">
        <v>505483</v>
      </c>
      <c r="H506" s="3">
        <v>2939</v>
      </c>
      <c r="I506" s="1">
        <v>2</v>
      </c>
      <c r="J506" s="2">
        <v>45069</v>
      </c>
      <c r="K506" s="8">
        <f>(F506/G506)*100</f>
        <v>0.55629961838479236</v>
      </c>
      <c r="L506" s="8">
        <f>(H506/G506)*100</f>
        <v>0.58142410328339433</v>
      </c>
    </row>
    <row r="507" spans="1:12" x14ac:dyDescent="0.3">
      <c r="A507" s="1" t="s">
        <v>516</v>
      </c>
      <c r="B507" s="1" t="s">
        <v>22</v>
      </c>
      <c r="C507" s="1" t="s">
        <v>27</v>
      </c>
      <c r="D507" s="1" t="s">
        <v>12</v>
      </c>
      <c r="E507" s="35">
        <v>45068</v>
      </c>
      <c r="F507" s="1">
        <v>47498</v>
      </c>
      <c r="G507" s="1">
        <v>478186</v>
      </c>
      <c r="H507" s="3">
        <v>967</v>
      </c>
      <c r="I507" s="1">
        <v>12</v>
      </c>
      <c r="J507" s="2">
        <v>45080</v>
      </c>
      <c r="K507" s="8">
        <f>(F507/G507)*100</f>
        <v>9.9329549589490274</v>
      </c>
      <c r="L507" s="8">
        <f>(H507/G507)*100</f>
        <v>0.20222256611444081</v>
      </c>
    </row>
    <row r="508" spans="1:12" x14ac:dyDescent="0.3">
      <c r="A508" s="1" t="s">
        <v>517</v>
      </c>
      <c r="B508" s="1" t="s">
        <v>10</v>
      </c>
      <c r="C508" s="1" t="s">
        <v>15</v>
      </c>
      <c r="D508" s="1" t="s">
        <v>28</v>
      </c>
      <c r="E508" s="35">
        <v>45069</v>
      </c>
      <c r="F508" s="1">
        <v>73873</v>
      </c>
      <c r="G508" s="1">
        <v>153632</v>
      </c>
      <c r="H508" s="3">
        <v>663</v>
      </c>
      <c r="I508" s="1">
        <v>15</v>
      </c>
      <c r="J508" s="2">
        <v>45084</v>
      </c>
      <c r="K508" s="8">
        <f>(F508/G508)*100</f>
        <v>48.084383461778799</v>
      </c>
      <c r="L508" s="8">
        <f>(H508/G508)*100</f>
        <v>0.43155071860029159</v>
      </c>
    </row>
    <row r="509" spans="1:12" x14ac:dyDescent="0.3">
      <c r="A509" s="1" t="s">
        <v>518</v>
      </c>
      <c r="B509" s="1" t="s">
        <v>14</v>
      </c>
      <c r="C509" s="1" t="s">
        <v>37</v>
      </c>
      <c r="D509" s="1" t="s">
        <v>32</v>
      </c>
      <c r="E509" s="35">
        <v>45070</v>
      </c>
      <c r="F509" s="1">
        <v>61373</v>
      </c>
      <c r="G509" s="1">
        <v>46505</v>
      </c>
      <c r="H509" s="3">
        <v>2594</v>
      </c>
      <c r="I509" s="1">
        <v>2</v>
      </c>
      <c r="J509" s="2">
        <v>45072</v>
      </c>
      <c r="K509" s="8">
        <f>(F509/G509)*100</f>
        <v>131.97075583270617</v>
      </c>
      <c r="L509" s="8">
        <f>(H509/G509)*100</f>
        <v>5.5778948500161274</v>
      </c>
    </row>
    <row r="510" spans="1:12" x14ac:dyDescent="0.3">
      <c r="A510" s="1" t="s">
        <v>519</v>
      </c>
      <c r="B510" s="1" t="s">
        <v>22</v>
      </c>
      <c r="C510" s="1" t="s">
        <v>11</v>
      </c>
      <c r="D510" s="1" t="s">
        <v>16</v>
      </c>
      <c r="E510" s="35">
        <v>45071</v>
      </c>
      <c r="F510" s="1">
        <v>9659</v>
      </c>
      <c r="G510" s="1">
        <v>907108</v>
      </c>
      <c r="H510" s="3">
        <v>2775</v>
      </c>
      <c r="I510" s="1">
        <v>9</v>
      </c>
      <c r="J510" s="2">
        <v>45080</v>
      </c>
      <c r="K510" s="8">
        <f>(F510/G510)*100</f>
        <v>1.0648125691758865</v>
      </c>
      <c r="L510" s="8">
        <f>(H510/G510)*100</f>
        <v>0.30591726674221809</v>
      </c>
    </row>
    <row r="511" spans="1:12" x14ac:dyDescent="0.3">
      <c r="A511" s="1" t="s">
        <v>520</v>
      </c>
      <c r="B511" s="1" t="s">
        <v>22</v>
      </c>
      <c r="C511" s="1" t="s">
        <v>27</v>
      </c>
      <c r="D511" s="1" t="s">
        <v>16</v>
      </c>
      <c r="E511" s="35">
        <v>45072</v>
      </c>
      <c r="F511" s="1">
        <v>90220</v>
      </c>
      <c r="G511" s="1">
        <v>961362</v>
      </c>
      <c r="H511" s="3">
        <v>1148</v>
      </c>
      <c r="I511" s="1">
        <v>3</v>
      </c>
      <c r="J511" s="2">
        <v>45075</v>
      </c>
      <c r="K511" s="8">
        <f>(F511/G511)*100</f>
        <v>9.3846022622071601</v>
      </c>
      <c r="L511" s="8">
        <f>(H511/G511)*100</f>
        <v>0.11941391484165174</v>
      </c>
    </row>
    <row r="512" spans="1:12" x14ac:dyDescent="0.3">
      <c r="A512" s="1" t="s">
        <v>521</v>
      </c>
      <c r="B512" s="1" t="s">
        <v>10</v>
      </c>
      <c r="C512" s="1" t="s">
        <v>11</v>
      </c>
      <c r="D512" s="1" t="s">
        <v>19</v>
      </c>
      <c r="E512" s="35">
        <v>45073</v>
      </c>
      <c r="F512" s="1">
        <v>22282</v>
      </c>
      <c r="G512" s="1">
        <v>771847</v>
      </c>
      <c r="H512" s="3">
        <v>1183</v>
      </c>
      <c r="I512" s="1">
        <v>5</v>
      </c>
      <c r="J512" s="2">
        <v>45078</v>
      </c>
      <c r="K512" s="8">
        <f>(F512/G512)*100</f>
        <v>2.8868415631595381</v>
      </c>
      <c r="L512" s="8">
        <f>(H512/G512)*100</f>
        <v>0.15326871776401282</v>
      </c>
    </row>
    <row r="513" spans="1:12" x14ac:dyDescent="0.3">
      <c r="A513" s="1" t="s">
        <v>522</v>
      </c>
      <c r="B513" s="1" t="s">
        <v>22</v>
      </c>
      <c r="C513" s="1" t="s">
        <v>27</v>
      </c>
      <c r="D513" s="1" t="s">
        <v>19</v>
      </c>
      <c r="E513" s="35">
        <v>45074</v>
      </c>
      <c r="F513" s="1">
        <v>52425</v>
      </c>
      <c r="G513" s="1">
        <v>121915</v>
      </c>
      <c r="H513" s="3">
        <v>4983</v>
      </c>
      <c r="I513" s="1">
        <v>13</v>
      </c>
      <c r="J513" s="2">
        <v>45087</v>
      </c>
      <c r="K513" s="8">
        <f>(F513/G513)*100</f>
        <v>43.001271377599146</v>
      </c>
      <c r="L513" s="8">
        <f>(H513/G513)*100</f>
        <v>4.0872739203543453</v>
      </c>
    </row>
    <row r="514" spans="1:12" x14ac:dyDescent="0.3">
      <c r="A514" s="1" t="s">
        <v>523</v>
      </c>
      <c r="B514" s="1" t="s">
        <v>22</v>
      </c>
      <c r="C514" s="1" t="s">
        <v>30</v>
      </c>
      <c r="D514" s="1" t="s">
        <v>16</v>
      </c>
      <c r="E514" s="35">
        <v>45075</v>
      </c>
      <c r="F514" s="1">
        <v>43081</v>
      </c>
      <c r="G514" s="1">
        <v>631580</v>
      </c>
      <c r="H514" s="3">
        <v>126</v>
      </c>
      <c r="I514" s="1">
        <v>23</v>
      </c>
      <c r="J514" s="2">
        <v>45098</v>
      </c>
      <c r="K514" s="8">
        <f>(F514/G514)*100</f>
        <v>6.8211469647550595</v>
      </c>
      <c r="L514" s="8">
        <f>(H514/G514)*100</f>
        <v>1.9949966750055417E-2</v>
      </c>
    </row>
    <row r="515" spans="1:12" x14ac:dyDescent="0.3">
      <c r="A515" s="1" t="s">
        <v>524</v>
      </c>
      <c r="B515" s="1" t="s">
        <v>22</v>
      </c>
      <c r="C515" s="1" t="s">
        <v>15</v>
      </c>
      <c r="D515" s="1" t="s">
        <v>28</v>
      </c>
      <c r="E515" s="35">
        <v>45076</v>
      </c>
      <c r="F515" s="1">
        <v>72055</v>
      </c>
      <c r="G515" s="1">
        <v>962276</v>
      </c>
      <c r="H515" s="3">
        <v>1518</v>
      </c>
      <c r="I515" s="1">
        <v>11</v>
      </c>
      <c r="J515" s="2">
        <v>45087</v>
      </c>
      <c r="K515" s="8">
        <f>(F515/G515)*100</f>
        <v>7.4879764225648362</v>
      </c>
      <c r="L515" s="8">
        <f>(H515/G515)*100</f>
        <v>0.15775099867397713</v>
      </c>
    </row>
    <row r="516" spans="1:12" x14ac:dyDescent="0.3">
      <c r="A516" s="1" t="s">
        <v>525</v>
      </c>
      <c r="B516" s="1" t="s">
        <v>22</v>
      </c>
      <c r="C516" s="1" t="s">
        <v>15</v>
      </c>
      <c r="D516" s="1" t="s">
        <v>32</v>
      </c>
      <c r="E516" s="35">
        <v>45077</v>
      </c>
      <c r="F516" s="1">
        <v>61536</v>
      </c>
      <c r="G516" s="1">
        <v>949146</v>
      </c>
      <c r="H516" s="3">
        <v>975</v>
      </c>
      <c r="I516" s="1">
        <v>15</v>
      </c>
      <c r="J516" s="2">
        <v>45092</v>
      </c>
      <c r="K516" s="8">
        <f>(F516/G516)*100</f>
        <v>6.4833018313304809</v>
      </c>
      <c r="L516" s="8">
        <f>(H516/G516)*100</f>
        <v>0.10272392234703617</v>
      </c>
    </row>
    <row r="517" spans="1:12" x14ac:dyDescent="0.3">
      <c r="A517" s="1" t="s">
        <v>526</v>
      </c>
      <c r="B517" s="1" t="s">
        <v>22</v>
      </c>
      <c r="C517" s="1" t="s">
        <v>15</v>
      </c>
      <c r="D517" s="1" t="s">
        <v>16</v>
      </c>
      <c r="E517" s="35">
        <v>45078</v>
      </c>
      <c r="F517" s="1">
        <v>25336</v>
      </c>
      <c r="G517" s="1">
        <v>949498</v>
      </c>
      <c r="H517" s="3">
        <v>95</v>
      </c>
      <c r="I517" s="1">
        <v>25</v>
      </c>
      <c r="J517" s="2">
        <v>45103</v>
      </c>
      <c r="K517" s="8">
        <f>(F517/G517)*100</f>
        <v>2.6683573846390409</v>
      </c>
      <c r="L517" s="8">
        <f>(H517/G517)*100</f>
        <v>1.0005287004290689E-2</v>
      </c>
    </row>
    <row r="518" spans="1:12" x14ac:dyDescent="0.3">
      <c r="A518" s="1" t="s">
        <v>527</v>
      </c>
      <c r="B518" s="1" t="s">
        <v>10</v>
      </c>
      <c r="C518" s="1" t="s">
        <v>25</v>
      </c>
      <c r="D518" s="1" t="s">
        <v>28</v>
      </c>
      <c r="E518" s="35">
        <v>45079</v>
      </c>
      <c r="F518" s="1">
        <v>26863</v>
      </c>
      <c r="G518" s="1">
        <v>503294</v>
      </c>
      <c r="H518" s="3">
        <v>817</v>
      </c>
      <c r="I518" s="1">
        <v>29</v>
      </c>
      <c r="J518" s="2">
        <v>45108</v>
      </c>
      <c r="K518" s="8">
        <f>(F518/G518)*100</f>
        <v>5.3374369652727829</v>
      </c>
      <c r="L518" s="8">
        <f>(H518/G518)*100</f>
        <v>0.1623305662296789</v>
      </c>
    </row>
    <row r="519" spans="1:12" x14ac:dyDescent="0.3">
      <c r="A519" s="1" t="s">
        <v>528</v>
      </c>
      <c r="B519" s="1" t="s">
        <v>22</v>
      </c>
      <c r="C519" s="1" t="s">
        <v>37</v>
      </c>
      <c r="D519" s="1" t="s">
        <v>32</v>
      </c>
      <c r="E519" s="35">
        <v>45080</v>
      </c>
      <c r="F519" s="1">
        <v>73696</v>
      </c>
      <c r="G519" s="1">
        <v>801070</v>
      </c>
      <c r="H519" s="3">
        <v>1112</v>
      </c>
      <c r="I519" s="1">
        <v>29</v>
      </c>
      <c r="J519" s="2">
        <v>45109</v>
      </c>
      <c r="K519" s="8">
        <f>(F519/G519)*100</f>
        <v>9.1996954073926123</v>
      </c>
      <c r="L519" s="8">
        <f>(H519/G519)*100</f>
        <v>0.13881433582583297</v>
      </c>
    </row>
    <row r="520" spans="1:12" x14ac:dyDescent="0.3">
      <c r="A520" s="1" t="s">
        <v>529</v>
      </c>
      <c r="B520" s="1" t="s">
        <v>10</v>
      </c>
      <c r="C520" s="1" t="s">
        <v>37</v>
      </c>
      <c r="D520" s="1" t="s">
        <v>28</v>
      </c>
      <c r="E520" s="35">
        <v>45081</v>
      </c>
      <c r="F520" s="1">
        <v>15194</v>
      </c>
      <c r="G520" s="1">
        <v>541521</v>
      </c>
      <c r="H520" s="3">
        <v>975</v>
      </c>
      <c r="I520" s="1">
        <v>7</v>
      </c>
      <c r="J520" s="2">
        <v>45088</v>
      </c>
      <c r="K520" s="8">
        <f>(F520/G520)*100</f>
        <v>2.8058006984032011</v>
      </c>
      <c r="L520" s="8">
        <f>(H520/G520)*100</f>
        <v>0.18004841917487965</v>
      </c>
    </row>
    <row r="521" spans="1:12" x14ac:dyDescent="0.3">
      <c r="A521" s="1" t="s">
        <v>530</v>
      </c>
      <c r="B521" s="1" t="s">
        <v>10</v>
      </c>
      <c r="C521" s="1" t="s">
        <v>15</v>
      </c>
      <c r="D521" s="1" t="s">
        <v>16</v>
      </c>
      <c r="E521" s="35">
        <v>45082</v>
      </c>
      <c r="F521" s="1">
        <v>68100</v>
      </c>
      <c r="G521" s="1">
        <v>99992</v>
      </c>
      <c r="H521" s="3">
        <v>70</v>
      </c>
      <c r="I521" s="1">
        <v>27</v>
      </c>
      <c r="J521" s="2">
        <v>45109</v>
      </c>
      <c r="K521" s="8">
        <f>(F521/G521)*100</f>
        <v>68.105448435874877</v>
      </c>
      <c r="L521" s="8">
        <f>(H521/G521)*100</f>
        <v>7.0005600448035846E-2</v>
      </c>
    </row>
    <row r="522" spans="1:12" x14ac:dyDescent="0.3">
      <c r="A522" s="1" t="s">
        <v>531</v>
      </c>
      <c r="B522" s="1" t="s">
        <v>22</v>
      </c>
      <c r="C522" s="1" t="s">
        <v>27</v>
      </c>
      <c r="D522" s="1" t="s">
        <v>19</v>
      </c>
      <c r="E522" s="35">
        <v>45083</v>
      </c>
      <c r="F522" s="1">
        <v>6385</v>
      </c>
      <c r="G522" s="1">
        <v>719227</v>
      </c>
      <c r="H522" s="3">
        <v>796</v>
      </c>
      <c r="I522" s="1">
        <v>26</v>
      </c>
      <c r="J522" s="2">
        <v>45109</v>
      </c>
      <c r="K522" s="8">
        <f>(F522/G522)*100</f>
        <v>0.88775866312026663</v>
      </c>
      <c r="L522" s="8">
        <f>(H522/G522)*100</f>
        <v>0.11067437679619925</v>
      </c>
    </row>
    <row r="523" spans="1:12" x14ac:dyDescent="0.3">
      <c r="A523" s="1" t="s">
        <v>532</v>
      </c>
      <c r="B523" s="1" t="s">
        <v>22</v>
      </c>
      <c r="C523" s="1" t="s">
        <v>37</v>
      </c>
      <c r="D523" s="1" t="s">
        <v>19</v>
      </c>
      <c r="E523" s="35">
        <v>45084</v>
      </c>
      <c r="F523" s="1">
        <v>6275</v>
      </c>
      <c r="G523" s="1">
        <v>581862</v>
      </c>
      <c r="H523" s="3">
        <v>3879</v>
      </c>
      <c r="I523" s="1">
        <v>15</v>
      </c>
      <c r="J523" s="2">
        <v>45099</v>
      </c>
      <c r="K523" s="8">
        <f>(F523/G523)*100</f>
        <v>1.0784344054088426</v>
      </c>
      <c r="L523" s="8">
        <f>(H523/G523)*100</f>
        <v>0.66665291770213564</v>
      </c>
    </row>
    <row r="524" spans="1:12" x14ac:dyDescent="0.3">
      <c r="A524" s="1" t="s">
        <v>533</v>
      </c>
      <c r="B524" s="1" t="s">
        <v>14</v>
      </c>
      <c r="C524" s="1" t="s">
        <v>30</v>
      </c>
      <c r="D524" s="1" t="s">
        <v>28</v>
      </c>
      <c r="E524" s="35">
        <v>45085</v>
      </c>
      <c r="F524" s="1">
        <v>36378</v>
      </c>
      <c r="G524" s="1">
        <v>64579</v>
      </c>
      <c r="H524" s="3">
        <v>3732</v>
      </c>
      <c r="I524" s="1">
        <v>4</v>
      </c>
      <c r="J524" s="2">
        <v>45089</v>
      </c>
      <c r="K524" s="8">
        <f>(F524/G524)*100</f>
        <v>56.331005435203394</v>
      </c>
      <c r="L524" s="8">
        <f>(H524/G524)*100</f>
        <v>5.7789683952987811</v>
      </c>
    </row>
    <row r="525" spans="1:12" x14ac:dyDescent="0.3">
      <c r="A525" s="1" t="s">
        <v>534</v>
      </c>
      <c r="B525" s="1" t="s">
        <v>22</v>
      </c>
      <c r="C525" s="1" t="s">
        <v>27</v>
      </c>
      <c r="D525" s="1" t="s">
        <v>32</v>
      </c>
      <c r="E525" s="35">
        <v>45086</v>
      </c>
      <c r="F525" s="1">
        <v>33190</v>
      </c>
      <c r="G525" s="1">
        <v>197091</v>
      </c>
      <c r="H525" s="3">
        <v>3009</v>
      </c>
      <c r="I525" s="1">
        <v>26</v>
      </c>
      <c r="J525" s="2">
        <v>45112</v>
      </c>
      <c r="K525" s="8">
        <f>(F525/G525)*100</f>
        <v>16.839936881947935</v>
      </c>
      <c r="L525" s="8">
        <f>(H525/G525)*100</f>
        <v>1.5267059378662649</v>
      </c>
    </row>
    <row r="526" spans="1:12" x14ac:dyDescent="0.3">
      <c r="A526" s="1" t="s">
        <v>535</v>
      </c>
      <c r="B526" s="1" t="s">
        <v>22</v>
      </c>
      <c r="C526" s="1" t="s">
        <v>11</v>
      </c>
      <c r="D526" s="1" t="s">
        <v>19</v>
      </c>
      <c r="E526" s="35">
        <v>45087</v>
      </c>
      <c r="F526" s="1">
        <v>39477</v>
      </c>
      <c r="G526" s="1">
        <v>533510</v>
      </c>
      <c r="H526" s="3">
        <v>919</v>
      </c>
      <c r="I526" s="1">
        <v>1</v>
      </c>
      <c r="J526" s="2">
        <v>45088</v>
      </c>
      <c r="K526" s="8">
        <f>(F526/G526)*100</f>
        <v>7.3994864201233339</v>
      </c>
      <c r="L526" s="8">
        <f>(H526/G526)*100</f>
        <v>0.17225544038537235</v>
      </c>
    </row>
    <row r="527" spans="1:12" x14ac:dyDescent="0.3">
      <c r="A527" s="1" t="s">
        <v>536</v>
      </c>
      <c r="B527" s="1" t="s">
        <v>24</v>
      </c>
      <c r="C527" s="1" t="s">
        <v>15</v>
      </c>
      <c r="D527" s="1" t="s">
        <v>28</v>
      </c>
      <c r="E527" s="35">
        <v>45088</v>
      </c>
      <c r="F527" s="1">
        <v>2732</v>
      </c>
      <c r="G527" s="1">
        <v>665449</v>
      </c>
      <c r="H527" s="3">
        <v>2363</v>
      </c>
      <c r="I527" s="1">
        <v>11</v>
      </c>
      <c r="J527" s="2">
        <v>45099</v>
      </c>
      <c r="K527" s="8">
        <f>(F527/G527)*100</f>
        <v>0.41054986933634285</v>
      </c>
      <c r="L527" s="8">
        <f>(H527/G527)*100</f>
        <v>0.35509858757019697</v>
      </c>
    </row>
    <row r="528" spans="1:12" x14ac:dyDescent="0.3">
      <c r="A528" s="1" t="s">
        <v>537</v>
      </c>
      <c r="B528" s="1" t="s">
        <v>24</v>
      </c>
      <c r="C528" s="1" t="s">
        <v>27</v>
      </c>
      <c r="D528" s="1" t="s">
        <v>16</v>
      </c>
      <c r="E528" s="35">
        <v>45089</v>
      </c>
      <c r="F528" s="1">
        <v>28339</v>
      </c>
      <c r="G528" s="1">
        <v>100141</v>
      </c>
      <c r="H528" s="3">
        <v>3260</v>
      </c>
      <c r="I528" s="1">
        <v>2</v>
      </c>
      <c r="J528" s="2">
        <v>45091</v>
      </c>
      <c r="K528" s="8">
        <f>(F528/G528)*100</f>
        <v>28.299098271437273</v>
      </c>
      <c r="L528" s="8">
        <f>(H528/G528)*100</f>
        <v>3.2554098720803673</v>
      </c>
    </row>
    <row r="529" spans="1:12" x14ac:dyDescent="0.3">
      <c r="A529" s="1" t="s">
        <v>538</v>
      </c>
      <c r="B529" s="1" t="s">
        <v>10</v>
      </c>
      <c r="C529" s="1" t="s">
        <v>15</v>
      </c>
      <c r="D529" s="1" t="s">
        <v>16</v>
      </c>
      <c r="E529" s="35">
        <v>45090</v>
      </c>
      <c r="F529" s="1">
        <v>15053</v>
      </c>
      <c r="G529" s="1">
        <v>589819</v>
      </c>
      <c r="H529" s="3">
        <v>3489</v>
      </c>
      <c r="I529" s="1">
        <v>12</v>
      </c>
      <c r="J529" s="2">
        <v>45102</v>
      </c>
      <c r="K529" s="8">
        <f>(F529/G529)*100</f>
        <v>2.5521388765027915</v>
      </c>
      <c r="L529" s="8">
        <f>(H529/G529)*100</f>
        <v>0.59153740384762099</v>
      </c>
    </row>
    <row r="530" spans="1:12" x14ac:dyDescent="0.3">
      <c r="A530" s="1" t="s">
        <v>539</v>
      </c>
      <c r="B530" s="1" t="s">
        <v>22</v>
      </c>
      <c r="C530" s="1" t="s">
        <v>18</v>
      </c>
      <c r="D530" s="1" t="s">
        <v>28</v>
      </c>
      <c r="E530" s="35">
        <v>45091</v>
      </c>
      <c r="F530" s="1">
        <v>94156</v>
      </c>
      <c r="G530" s="1">
        <v>671589</v>
      </c>
      <c r="H530" s="3">
        <v>4888</v>
      </c>
      <c r="I530" s="1">
        <f>Table1[[#This Row],[end_date]]-Table1[[#This Row],[start_date]]</f>
        <v>21</v>
      </c>
      <c r="J530" s="2">
        <v>45112</v>
      </c>
      <c r="K530" s="8">
        <f>(F530/G530)*100</f>
        <v>14.019884185119173</v>
      </c>
      <c r="L530" s="8">
        <f>(H530/G530)*100</f>
        <v>0.72782609602003612</v>
      </c>
    </row>
    <row r="531" spans="1:12" x14ac:dyDescent="0.3">
      <c r="A531" s="1" t="s">
        <v>540</v>
      </c>
      <c r="B531" s="1" t="s">
        <v>14</v>
      </c>
      <c r="C531" s="1" t="s">
        <v>27</v>
      </c>
      <c r="D531" s="1" t="s">
        <v>12</v>
      </c>
      <c r="E531" s="35">
        <v>45092</v>
      </c>
      <c r="F531" s="1">
        <v>25496</v>
      </c>
      <c r="G531" s="1">
        <v>861424</v>
      </c>
      <c r="H531" s="3">
        <v>1871</v>
      </c>
      <c r="I531" s="1">
        <f>Table1[[#This Row],[end_date]]-Table1[[#This Row],[start_date]]</f>
        <v>27</v>
      </c>
      <c r="J531" s="2">
        <v>45119</v>
      </c>
      <c r="K531" s="8">
        <f>(F531/G531)*100</f>
        <v>2.9597503668344509</v>
      </c>
      <c r="L531" s="8">
        <f>(H531/G531)*100</f>
        <v>0.2171984992291833</v>
      </c>
    </row>
    <row r="532" spans="1:12" x14ac:dyDescent="0.3">
      <c r="A532" s="1" t="s">
        <v>541</v>
      </c>
      <c r="B532" s="1" t="s">
        <v>10</v>
      </c>
      <c r="C532" s="1" t="s">
        <v>37</v>
      </c>
      <c r="D532" s="1" t="s">
        <v>32</v>
      </c>
      <c r="E532" s="35">
        <v>45093</v>
      </c>
      <c r="F532" s="1">
        <v>5753</v>
      </c>
      <c r="G532" s="1">
        <v>714025</v>
      </c>
      <c r="H532" s="3">
        <v>3719</v>
      </c>
      <c r="I532" s="1">
        <f>Table1[[#This Row],[end_date]]-Table1[[#This Row],[start_date]]</f>
        <v>23</v>
      </c>
      <c r="J532" s="2">
        <v>45116</v>
      </c>
      <c r="K532" s="8">
        <f>(F532/G532)*100</f>
        <v>0.80571408564125913</v>
      </c>
      <c r="L532" s="8">
        <f>(H532/G532)*100</f>
        <v>0.52085011029025596</v>
      </c>
    </row>
    <row r="533" spans="1:12" x14ac:dyDescent="0.3">
      <c r="A533" s="1" t="s">
        <v>542</v>
      </c>
      <c r="B533" s="1" t="s">
        <v>22</v>
      </c>
      <c r="C533" s="1" t="s">
        <v>30</v>
      </c>
      <c r="D533" s="1" t="s">
        <v>32</v>
      </c>
      <c r="E533" s="35">
        <v>45094</v>
      </c>
      <c r="F533" s="1">
        <v>53374</v>
      </c>
      <c r="G533" s="1">
        <v>503072</v>
      </c>
      <c r="H533" s="3">
        <v>1403</v>
      </c>
      <c r="I533" s="1">
        <f>Table1[[#This Row],[end_date]]-Table1[[#This Row],[start_date]]</f>
        <v>23</v>
      </c>
      <c r="J533" s="2">
        <v>45117</v>
      </c>
      <c r="K533" s="8">
        <f>(F533/G533)*100</f>
        <v>10.609614528337891</v>
      </c>
      <c r="L533" s="8">
        <f>(H533/G533)*100</f>
        <v>0.27888652121366325</v>
      </c>
    </row>
    <row r="534" spans="1:12" x14ac:dyDescent="0.3">
      <c r="A534" s="1" t="s">
        <v>543</v>
      </c>
      <c r="B534" s="1" t="s">
        <v>14</v>
      </c>
      <c r="C534" s="1" t="s">
        <v>18</v>
      </c>
      <c r="D534" s="1" t="s">
        <v>19</v>
      </c>
      <c r="E534" s="35">
        <v>45095</v>
      </c>
      <c r="F534" s="1">
        <v>2200</v>
      </c>
      <c r="G534" s="1">
        <v>331588</v>
      </c>
      <c r="H534" s="3">
        <v>2990</v>
      </c>
      <c r="I534" s="1">
        <f>Table1[[#This Row],[end_date]]-Table1[[#This Row],[start_date]]</f>
        <v>12</v>
      </c>
      <c r="J534" s="2">
        <v>45107</v>
      </c>
      <c r="K534" s="8">
        <f>(F534/G534)*100</f>
        <v>0.66347394960010608</v>
      </c>
      <c r="L534" s="8">
        <f>(H534/G534)*100</f>
        <v>0.90172141332014422</v>
      </c>
    </row>
    <row r="535" spans="1:12" x14ac:dyDescent="0.3">
      <c r="A535" s="1" t="s">
        <v>544</v>
      </c>
      <c r="B535" s="1" t="s">
        <v>22</v>
      </c>
      <c r="C535" s="1" t="s">
        <v>25</v>
      </c>
      <c r="D535" s="1" t="s">
        <v>16</v>
      </c>
      <c r="E535" s="35">
        <v>45096</v>
      </c>
      <c r="F535" s="1">
        <v>49746</v>
      </c>
      <c r="G535" s="1">
        <v>423485</v>
      </c>
      <c r="H535" s="3">
        <v>1823</v>
      </c>
      <c r="I535" s="1">
        <f>Table1[[#This Row],[end_date]]-Table1[[#This Row],[start_date]]</f>
        <v>27</v>
      </c>
      <c r="J535" s="2">
        <v>45123</v>
      </c>
      <c r="K535" s="8">
        <f>(F535/G535)*100</f>
        <v>11.746815117418564</v>
      </c>
      <c r="L535" s="8">
        <f>(H535/G535)*100</f>
        <v>0.43047569571531458</v>
      </c>
    </row>
    <row r="536" spans="1:12" x14ac:dyDescent="0.3">
      <c r="A536" s="1" t="s">
        <v>545</v>
      </c>
      <c r="B536" s="1" t="s">
        <v>22</v>
      </c>
      <c r="C536" s="1" t="s">
        <v>11</v>
      </c>
      <c r="D536" s="1" t="s">
        <v>32</v>
      </c>
      <c r="E536" s="35">
        <v>45097</v>
      </c>
      <c r="F536" s="1">
        <v>82615</v>
      </c>
      <c r="G536" s="1">
        <v>371269</v>
      </c>
      <c r="H536" s="3">
        <v>1609</v>
      </c>
      <c r="I536" s="1">
        <f>Table1[[#This Row],[end_date]]-Table1[[#This Row],[start_date]]</f>
        <v>5</v>
      </c>
      <c r="J536" s="2">
        <v>45102</v>
      </c>
      <c r="K536" s="8">
        <f>(F536/G536)*100</f>
        <v>22.252059827241162</v>
      </c>
      <c r="L536" s="8">
        <f>(H536/G536)*100</f>
        <v>0.43337849376058862</v>
      </c>
    </row>
    <row r="537" spans="1:12" x14ac:dyDescent="0.3">
      <c r="A537" s="1" t="s">
        <v>546</v>
      </c>
      <c r="B537" s="1" t="s">
        <v>14</v>
      </c>
      <c r="C537" s="1" t="s">
        <v>27</v>
      </c>
      <c r="D537" s="1" t="s">
        <v>12</v>
      </c>
      <c r="E537" s="35">
        <v>45098</v>
      </c>
      <c r="F537" s="1">
        <v>69314</v>
      </c>
      <c r="G537" s="1">
        <v>447295</v>
      </c>
      <c r="H537" s="3">
        <v>2031</v>
      </c>
      <c r="I537" s="1">
        <f>Table1[[#This Row],[end_date]]-Table1[[#This Row],[start_date]]</f>
        <v>22</v>
      </c>
      <c r="J537" s="2">
        <v>45120</v>
      </c>
      <c r="K537" s="8">
        <f>(F537/G537)*100</f>
        <v>15.496260856928872</v>
      </c>
      <c r="L537" s="8">
        <f>(H537/G537)*100</f>
        <v>0.45406275500508608</v>
      </c>
    </row>
    <row r="538" spans="1:12" x14ac:dyDescent="0.3">
      <c r="A538" s="1" t="s">
        <v>547</v>
      </c>
      <c r="B538" s="1" t="s">
        <v>22</v>
      </c>
      <c r="C538" s="1" t="s">
        <v>37</v>
      </c>
      <c r="D538" s="1" t="s">
        <v>19</v>
      </c>
      <c r="E538" s="35">
        <v>45099</v>
      </c>
      <c r="F538" s="1">
        <v>38106</v>
      </c>
      <c r="G538" s="1">
        <v>867764</v>
      </c>
      <c r="H538" s="3">
        <v>2426</v>
      </c>
      <c r="I538" s="1">
        <f>Table1[[#This Row],[end_date]]-Table1[[#This Row],[start_date]]</f>
        <v>28</v>
      </c>
      <c r="J538" s="2">
        <v>45127</v>
      </c>
      <c r="K538" s="8">
        <f>(F538/G538)*100</f>
        <v>4.3912861100483545</v>
      </c>
      <c r="L538" s="8">
        <f>(H538/G538)*100</f>
        <v>0.27956909943256458</v>
      </c>
    </row>
    <row r="539" spans="1:12" x14ac:dyDescent="0.3">
      <c r="A539" s="1" t="s">
        <v>548</v>
      </c>
      <c r="B539" s="1" t="s">
        <v>22</v>
      </c>
      <c r="C539" s="1" t="s">
        <v>27</v>
      </c>
      <c r="D539" s="1" t="s">
        <v>12</v>
      </c>
      <c r="E539" s="35">
        <v>45100</v>
      </c>
      <c r="F539" s="1">
        <v>95705</v>
      </c>
      <c r="G539" s="1">
        <v>523460</v>
      </c>
      <c r="H539" s="3">
        <v>3704</v>
      </c>
      <c r="I539" s="1">
        <f>Table1[[#This Row],[end_date]]-Table1[[#This Row],[start_date]]</f>
        <v>10</v>
      </c>
      <c r="J539" s="2">
        <v>45110</v>
      </c>
      <c r="K539" s="8">
        <f>(F539/G539)*100</f>
        <v>18.283154395751346</v>
      </c>
      <c r="L539" s="8">
        <f>(H539/G539)*100</f>
        <v>0.70759943453176943</v>
      </c>
    </row>
    <row r="540" spans="1:12" x14ac:dyDescent="0.3">
      <c r="A540" s="1" t="s">
        <v>549</v>
      </c>
      <c r="B540" s="1" t="s">
        <v>10</v>
      </c>
      <c r="C540" s="1" t="s">
        <v>11</v>
      </c>
      <c r="D540" s="1" t="s">
        <v>16</v>
      </c>
      <c r="E540" s="35">
        <v>45101</v>
      </c>
      <c r="F540" s="1">
        <v>78571</v>
      </c>
      <c r="G540" s="1">
        <v>780730</v>
      </c>
      <c r="H540" s="3">
        <v>928</v>
      </c>
      <c r="I540" s="1">
        <f>Table1[[#This Row],[end_date]]-Table1[[#This Row],[start_date]]</f>
        <v>6</v>
      </c>
      <c r="J540" s="2">
        <v>45107</v>
      </c>
      <c r="K540" s="8">
        <f>(F540/G540)*100</f>
        <v>10.063786456265291</v>
      </c>
      <c r="L540" s="8">
        <f>(H540/G540)*100</f>
        <v>0.11886311528953672</v>
      </c>
    </row>
    <row r="541" spans="1:12" x14ac:dyDescent="0.3">
      <c r="A541" s="1" t="s">
        <v>550</v>
      </c>
      <c r="B541" s="1" t="s">
        <v>24</v>
      </c>
      <c r="C541" s="1" t="s">
        <v>30</v>
      </c>
      <c r="D541" s="1" t="s">
        <v>32</v>
      </c>
      <c r="E541" s="35">
        <v>45102</v>
      </c>
      <c r="F541" s="1">
        <v>1373</v>
      </c>
      <c r="G541" s="1">
        <v>6525</v>
      </c>
      <c r="H541" s="3">
        <v>2752</v>
      </c>
      <c r="I541" s="1">
        <f>Table1[[#This Row],[end_date]]-Table1[[#This Row],[start_date]]</f>
        <v>23</v>
      </c>
      <c r="J541" s="2">
        <v>45125</v>
      </c>
      <c r="K541" s="8">
        <f>(F541/G541)*100</f>
        <v>21.042145593869733</v>
      </c>
      <c r="L541" s="8">
        <f>(H541/G541)*100</f>
        <v>42.17624521072797</v>
      </c>
    </row>
    <row r="542" spans="1:12" x14ac:dyDescent="0.3">
      <c r="A542" s="1" t="s">
        <v>551</v>
      </c>
      <c r="B542" s="1" t="s">
        <v>14</v>
      </c>
      <c r="C542" s="1" t="s">
        <v>18</v>
      </c>
      <c r="D542" s="1" t="s">
        <v>12</v>
      </c>
      <c r="E542" s="35">
        <v>45103</v>
      </c>
      <c r="F542" s="1">
        <v>80337</v>
      </c>
      <c r="G542" s="1">
        <v>708936</v>
      </c>
      <c r="H542" s="3">
        <v>945</v>
      </c>
      <c r="I542" s="1">
        <f>Table1[[#This Row],[end_date]]-Table1[[#This Row],[start_date]]</f>
        <v>25</v>
      </c>
      <c r="J542" s="2">
        <v>45128</v>
      </c>
      <c r="K542" s="8">
        <f>(F542/G542)*100</f>
        <v>11.332052540708894</v>
      </c>
      <c r="L542" s="8">
        <f>(H542/G542)*100</f>
        <v>0.13329835133213719</v>
      </c>
    </row>
    <row r="543" spans="1:12" x14ac:dyDescent="0.3">
      <c r="A543" s="1" t="s">
        <v>552</v>
      </c>
      <c r="B543" s="1" t="s">
        <v>10</v>
      </c>
      <c r="C543" s="1" t="s">
        <v>37</v>
      </c>
      <c r="D543" s="1" t="s">
        <v>28</v>
      </c>
      <c r="E543" s="35">
        <v>45104</v>
      </c>
      <c r="F543" s="1">
        <v>8840</v>
      </c>
      <c r="G543" s="1">
        <v>532195</v>
      </c>
      <c r="H543" s="3">
        <v>663</v>
      </c>
      <c r="I543" s="1">
        <f>Table1[[#This Row],[end_date]]-Table1[[#This Row],[start_date]]</f>
        <v>6</v>
      </c>
      <c r="J543" s="2">
        <v>45110</v>
      </c>
      <c r="K543" s="8">
        <f>(F543/G543)*100</f>
        <v>1.6610452935484175</v>
      </c>
      <c r="L543" s="8">
        <f>(H543/G543)*100</f>
        <v>0.12457839701613131</v>
      </c>
    </row>
    <row r="544" spans="1:12" x14ac:dyDescent="0.3">
      <c r="A544" s="1" t="s">
        <v>553</v>
      </c>
      <c r="B544" s="1" t="s">
        <v>24</v>
      </c>
      <c r="C544" s="1" t="s">
        <v>18</v>
      </c>
      <c r="D544" s="1" t="s">
        <v>19</v>
      </c>
      <c r="E544" s="35">
        <v>45105</v>
      </c>
      <c r="F544" s="1">
        <v>27429</v>
      </c>
      <c r="G544" s="1">
        <v>750342</v>
      </c>
      <c r="H544" s="3">
        <v>4696</v>
      </c>
      <c r="I544" s="1">
        <f>Table1[[#This Row],[end_date]]-Table1[[#This Row],[start_date]]</f>
        <v>26</v>
      </c>
      <c r="J544" s="2">
        <v>45131</v>
      </c>
      <c r="K544" s="8">
        <f>(F544/G544)*100</f>
        <v>3.6555330769169259</v>
      </c>
      <c r="L544" s="8">
        <f>(H544/G544)*100</f>
        <v>0.62584794666965204</v>
      </c>
    </row>
    <row r="545" spans="1:12" x14ac:dyDescent="0.3">
      <c r="A545" s="1" t="s">
        <v>554</v>
      </c>
      <c r="B545" s="1" t="s">
        <v>22</v>
      </c>
      <c r="C545" s="1" t="s">
        <v>15</v>
      </c>
      <c r="D545" s="1" t="s">
        <v>19</v>
      </c>
      <c r="E545" s="35">
        <v>45106</v>
      </c>
      <c r="F545" s="1">
        <v>8827</v>
      </c>
      <c r="G545" s="1">
        <v>122640</v>
      </c>
      <c r="H545" s="3">
        <v>3003</v>
      </c>
      <c r="I545" s="1">
        <v>28</v>
      </c>
      <c r="J545" s="2">
        <v>45134</v>
      </c>
      <c r="K545" s="8">
        <f>(F545/G545)*100</f>
        <v>7.1974885844748853</v>
      </c>
      <c r="L545" s="8">
        <f>(H545/G545)*100</f>
        <v>2.4486301369863015</v>
      </c>
    </row>
    <row r="546" spans="1:12" x14ac:dyDescent="0.3">
      <c r="A546" s="1" t="s">
        <v>555</v>
      </c>
      <c r="B546" s="1" t="s">
        <v>14</v>
      </c>
      <c r="C546" s="1" t="s">
        <v>37</v>
      </c>
      <c r="D546" s="1" t="s">
        <v>12</v>
      </c>
      <c r="E546" s="35">
        <v>45107</v>
      </c>
      <c r="F546" s="1">
        <v>81296</v>
      </c>
      <c r="G546" s="1">
        <v>405119</v>
      </c>
      <c r="H546" s="3">
        <v>3898</v>
      </c>
      <c r="I546" s="1">
        <v>7</v>
      </c>
      <c r="J546" s="2">
        <v>45114</v>
      </c>
      <c r="K546" s="8">
        <f>(F546/G546)*100</f>
        <v>20.067190134256848</v>
      </c>
      <c r="L546" s="8">
        <f>(H546/G546)*100</f>
        <v>0.96218641929902082</v>
      </c>
    </row>
    <row r="547" spans="1:12" x14ac:dyDescent="0.3">
      <c r="A547" s="1" t="s">
        <v>556</v>
      </c>
      <c r="B547" s="1" t="s">
        <v>22</v>
      </c>
      <c r="C547" s="1" t="s">
        <v>11</v>
      </c>
      <c r="D547" s="1" t="s">
        <v>16</v>
      </c>
      <c r="E547" s="35">
        <v>45108</v>
      </c>
      <c r="F547" s="1">
        <v>12265</v>
      </c>
      <c r="G547" s="1">
        <v>775132</v>
      </c>
      <c r="H547" s="3">
        <v>1821</v>
      </c>
      <c r="I547" s="1">
        <v>6</v>
      </c>
      <c r="J547" s="2">
        <v>45114</v>
      </c>
      <c r="K547" s="8">
        <f>(F547/G547)*100</f>
        <v>1.5823111418442277</v>
      </c>
      <c r="L547" s="8">
        <f>(H547/G547)*100</f>
        <v>0.23492772843851112</v>
      </c>
    </row>
    <row r="548" spans="1:12" x14ac:dyDescent="0.3">
      <c r="A548" s="1" t="s">
        <v>557</v>
      </c>
      <c r="B548" s="1" t="s">
        <v>22</v>
      </c>
      <c r="C548" s="1" t="s">
        <v>15</v>
      </c>
      <c r="D548" s="1" t="s">
        <v>16</v>
      </c>
      <c r="E548" s="35">
        <v>45109</v>
      </c>
      <c r="F548" s="1">
        <v>47808</v>
      </c>
      <c r="G548" s="1">
        <v>48241</v>
      </c>
      <c r="H548" s="3">
        <v>4542</v>
      </c>
      <c r="I548" s="1">
        <v>22</v>
      </c>
      <c r="J548" s="2">
        <v>45131</v>
      </c>
      <c r="K548" s="8">
        <f>(F548/G548)*100</f>
        <v>99.102423249932627</v>
      </c>
      <c r="L548" s="8">
        <f>(H548/G548)*100</f>
        <v>9.4152277108683489</v>
      </c>
    </row>
    <row r="549" spans="1:12" x14ac:dyDescent="0.3">
      <c r="A549" s="1" t="s">
        <v>558</v>
      </c>
      <c r="B549" s="1" t="s">
        <v>10</v>
      </c>
      <c r="C549" s="1" t="s">
        <v>37</v>
      </c>
      <c r="D549" s="1" t="s">
        <v>12</v>
      </c>
      <c r="E549" s="35">
        <v>45110</v>
      </c>
      <c r="F549" s="1">
        <v>59643</v>
      </c>
      <c r="G549" s="1">
        <v>343979</v>
      </c>
      <c r="H549" s="3">
        <v>2336</v>
      </c>
      <c r="I549" s="1">
        <v>13</v>
      </c>
      <c r="J549" s="2">
        <v>45123</v>
      </c>
      <c r="K549" s="8">
        <f>(F549/G549)*100</f>
        <v>17.33913988935371</v>
      </c>
      <c r="L549" s="8">
        <f>(H549/G549)*100</f>
        <v>0.67911122481314268</v>
      </c>
    </row>
    <row r="550" spans="1:12" x14ac:dyDescent="0.3">
      <c r="A550" s="1" t="s">
        <v>559</v>
      </c>
      <c r="B550" s="1" t="s">
        <v>14</v>
      </c>
      <c r="C550" s="1" t="s">
        <v>27</v>
      </c>
      <c r="D550" s="1" t="s">
        <v>28</v>
      </c>
      <c r="E550" s="35">
        <v>45111</v>
      </c>
      <c r="F550" s="1">
        <v>48060</v>
      </c>
      <c r="G550" s="1">
        <v>278490</v>
      </c>
      <c r="H550" s="3">
        <v>3316</v>
      </c>
      <c r="I550" s="1">
        <v>13</v>
      </c>
      <c r="J550" s="2">
        <v>45124</v>
      </c>
      <c r="K550" s="8">
        <f>(F550/G550)*100</f>
        <v>17.257352149089733</v>
      </c>
      <c r="L550" s="8">
        <f>(H550/G550)*100</f>
        <v>1.1907070271823046</v>
      </c>
    </row>
    <row r="551" spans="1:12" x14ac:dyDescent="0.3">
      <c r="A551" s="1" t="s">
        <v>560</v>
      </c>
      <c r="B551" s="1" t="s">
        <v>14</v>
      </c>
      <c r="C551" s="1" t="s">
        <v>27</v>
      </c>
      <c r="D551" s="1" t="s">
        <v>32</v>
      </c>
      <c r="E551" s="35">
        <v>45112</v>
      </c>
      <c r="F551" s="1">
        <v>74846</v>
      </c>
      <c r="G551" s="1">
        <v>557250</v>
      </c>
      <c r="H551" s="3">
        <v>2218</v>
      </c>
      <c r="I551" s="1">
        <v>16</v>
      </c>
      <c r="J551" s="2">
        <v>45128</v>
      </c>
      <c r="K551" s="8">
        <f>(F551/G551)*100</f>
        <v>13.43131449080305</v>
      </c>
      <c r="L551" s="8">
        <f>(H551/G551)*100</f>
        <v>0.398026020637057</v>
      </c>
    </row>
    <row r="552" spans="1:12" x14ac:dyDescent="0.3">
      <c r="A552" s="1" t="s">
        <v>561</v>
      </c>
      <c r="B552" s="1" t="s">
        <v>22</v>
      </c>
      <c r="C552" s="1" t="s">
        <v>11</v>
      </c>
      <c r="D552" s="1" t="s">
        <v>16</v>
      </c>
      <c r="E552" s="35">
        <v>45113</v>
      </c>
      <c r="F552" s="1">
        <v>71839</v>
      </c>
      <c r="G552" s="1">
        <v>567814</v>
      </c>
      <c r="H552" s="3">
        <v>1674</v>
      </c>
      <c r="I552" s="1">
        <v>18</v>
      </c>
      <c r="J552" s="2">
        <v>45131</v>
      </c>
      <c r="K552" s="8">
        <f>(F552/G552)*100</f>
        <v>12.651854304402498</v>
      </c>
      <c r="L552" s="8">
        <f>(H552/G552)*100</f>
        <v>0.2948148513421649</v>
      </c>
    </row>
    <row r="553" spans="1:12" x14ac:dyDescent="0.3">
      <c r="A553" s="1" t="s">
        <v>562</v>
      </c>
      <c r="B553" s="1" t="s">
        <v>22</v>
      </c>
      <c r="C553" s="1" t="s">
        <v>30</v>
      </c>
      <c r="D553" s="1" t="s">
        <v>19</v>
      </c>
      <c r="E553" s="35">
        <v>45114</v>
      </c>
      <c r="F553" s="1">
        <v>98843</v>
      </c>
      <c r="G553" s="1">
        <v>393759</v>
      </c>
      <c r="H553" s="3">
        <v>4625</v>
      </c>
      <c r="I553" s="1">
        <v>21</v>
      </c>
      <c r="J553" s="2">
        <v>45135</v>
      </c>
      <c r="K553" s="8">
        <f>(F553/G553)*100</f>
        <v>25.102410357604526</v>
      </c>
      <c r="L553" s="8">
        <f>(H553/G553)*100</f>
        <v>1.1745763271442684</v>
      </c>
    </row>
    <row r="554" spans="1:12" x14ac:dyDescent="0.3">
      <c r="A554" s="1" t="s">
        <v>563</v>
      </c>
      <c r="B554" s="1" t="s">
        <v>24</v>
      </c>
      <c r="C554" s="1" t="s">
        <v>30</v>
      </c>
      <c r="D554" s="1" t="s">
        <v>19</v>
      </c>
      <c r="E554" s="35">
        <v>45115</v>
      </c>
      <c r="F554" s="1">
        <v>41243</v>
      </c>
      <c r="G554" s="1">
        <v>281866</v>
      </c>
      <c r="H554" s="3">
        <v>1808</v>
      </c>
      <c r="I554" s="1">
        <v>16</v>
      </c>
      <c r="J554" s="2">
        <v>45131</v>
      </c>
      <c r="K554" s="8">
        <f>(F554/G554)*100</f>
        <v>14.632130161140399</v>
      </c>
      <c r="L554" s="8">
        <f>(H554/G554)*100</f>
        <v>0.64143954928937863</v>
      </c>
    </row>
    <row r="555" spans="1:12" x14ac:dyDescent="0.3">
      <c r="A555" s="1" t="s">
        <v>564</v>
      </c>
      <c r="B555" s="1" t="s">
        <v>22</v>
      </c>
      <c r="C555" s="1" t="s">
        <v>15</v>
      </c>
      <c r="D555" s="1" t="s">
        <v>28</v>
      </c>
      <c r="E555" s="35">
        <v>45116</v>
      </c>
      <c r="F555" s="1">
        <v>19255</v>
      </c>
      <c r="G555" s="1">
        <v>517762</v>
      </c>
      <c r="H555" s="3">
        <v>1941</v>
      </c>
      <c r="I555" s="1">
        <v>10</v>
      </c>
      <c r="J555" s="2">
        <v>45126</v>
      </c>
      <c r="K555" s="8">
        <f>(F555/G555)*100</f>
        <v>3.7188901464379387</v>
      </c>
      <c r="L555" s="8">
        <f>(H555/G555)*100</f>
        <v>0.37488266809846993</v>
      </c>
    </row>
    <row r="556" spans="1:12" x14ac:dyDescent="0.3">
      <c r="A556" s="1" t="s">
        <v>565</v>
      </c>
      <c r="B556" s="1" t="s">
        <v>22</v>
      </c>
      <c r="C556" s="1" t="s">
        <v>18</v>
      </c>
      <c r="D556" s="1" t="s">
        <v>32</v>
      </c>
      <c r="E556" s="35">
        <v>45117</v>
      </c>
      <c r="F556" s="1">
        <v>1538</v>
      </c>
      <c r="G556" s="1">
        <v>726968</v>
      </c>
      <c r="H556" s="3">
        <v>2889</v>
      </c>
      <c r="I556" s="1">
        <v>23</v>
      </c>
      <c r="J556" s="2">
        <v>45140</v>
      </c>
      <c r="K556" s="8">
        <f>(F556/G556)*100</f>
        <v>0.21156364516732509</v>
      </c>
      <c r="L556" s="8">
        <f>(H556/G556)*100</f>
        <v>0.3974040122811458</v>
      </c>
    </row>
    <row r="557" spans="1:12" x14ac:dyDescent="0.3">
      <c r="A557" s="1" t="s">
        <v>566</v>
      </c>
      <c r="B557" s="1" t="s">
        <v>22</v>
      </c>
      <c r="C557" s="1" t="s">
        <v>25</v>
      </c>
      <c r="D557" s="1" t="s">
        <v>16</v>
      </c>
      <c r="E557" s="35">
        <v>45118</v>
      </c>
      <c r="F557" s="1">
        <v>93674</v>
      </c>
      <c r="G557" s="1">
        <v>965075</v>
      </c>
      <c r="H557" s="3">
        <v>1279</v>
      </c>
      <c r="I557" s="1">
        <v>28</v>
      </c>
      <c r="J557" s="2">
        <v>45146</v>
      </c>
      <c r="K557" s="8">
        <f>(F557/G557)*100</f>
        <v>9.7063958759681892</v>
      </c>
      <c r="L557" s="8">
        <f>(H557/G557)*100</f>
        <v>0.13252855995648005</v>
      </c>
    </row>
    <row r="558" spans="1:12" x14ac:dyDescent="0.3">
      <c r="A558" s="1" t="s">
        <v>567</v>
      </c>
      <c r="B558" s="1" t="s">
        <v>14</v>
      </c>
      <c r="C558" s="1" t="s">
        <v>18</v>
      </c>
      <c r="D558" s="1" t="s">
        <v>12</v>
      </c>
      <c r="E558" s="35">
        <v>45119</v>
      </c>
      <c r="F558" s="1">
        <v>58114</v>
      </c>
      <c r="G558" s="1">
        <v>375685</v>
      </c>
      <c r="H558" s="3">
        <v>877</v>
      </c>
      <c r="I558" s="1">
        <v>14</v>
      </c>
      <c r="J558" s="2">
        <v>45133</v>
      </c>
      <c r="K558" s="8">
        <f>(F558/G558)*100</f>
        <v>15.46881030650678</v>
      </c>
      <c r="L558" s="8">
        <f>(H558/G558)*100</f>
        <v>0.23344024914489533</v>
      </c>
    </row>
    <row r="559" spans="1:12" x14ac:dyDescent="0.3">
      <c r="A559" s="1" t="s">
        <v>1362</v>
      </c>
      <c r="B559" s="1" t="s">
        <v>14</v>
      </c>
      <c r="C559" s="1" t="s">
        <v>37</v>
      </c>
      <c r="D559" s="1" t="s">
        <v>32</v>
      </c>
      <c r="E559" s="35">
        <v>45120</v>
      </c>
      <c r="F559" s="1">
        <v>14930</v>
      </c>
      <c r="G559" s="1">
        <v>876432</v>
      </c>
      <c r="H559" s="3">
        <v>3656</v>
      </c>
      <c r="I559" s="1">
        <v>22</v>
      </c>
      <c r="J559" s="2">
        <v>45142</v>
      </c>
      <c r="K559" s="8">
        <f>(F559/G559)*100</f>
        <v>1.7034978184274421</v>
      </c>
      <c r="L559" s="8">
        <f>(H559/G559)*100</f>
        <v>0.41714588239589612</v>
      </c>
    </row>
    <row r="560" spans="1:12" x14ac:dyDescent="0.3">
      <c r="A560" s="1" t="s">
        <v>568</v>
      </c>
      <c r="B560" s="1" t="s">
        <v>14</v>
      </c>
      <c r="C560" s="1" t="s">
        <v>25</v>
      </c>
      <c r="D560" s="1" t="s">
        <v>12</v>
      </c>
      <c r="E560" s="35">
        <v>45121</v>
      </c>
      <c r="F560" s="1">
        <v>19224</v>
      </c>
      <c r="G560" s="1">
        <v>768805</v>
      </c>
      <c r="H560" s="3">
        <v>4410</v>
      </c>
      <c r="I560" s="1">
        <v>20</v>
      </c>
      <c r="J560" s="2">
        <v>45141</v>
      </c>
      <c r="K560" s="8">
        <f>(F560/G560)*100</f>
        <v>2.5005040289800404</v>
      </c>
      <c r="L560" s="8">
        <f>(H560/G560)*100</f>
        <v>0.57361749728474709</v>
      </c>
    </row>
    <row r="561" spans="1:12" x14ac:dyDescent="0.3">
      <c r="A561" s="1" t="s">
        <v>569</v>
      </c>
      <c r="B561" s="1" t="s">
        <v>22</v>
      </c>
      <c r="C561" s="1" t="s">
        <v>25</v>
      </c>
      <c r="D561" s="1" t="s">
        <v>12</v>
      </c>
      <c r="E561" s="35">
        <v>45122</v>
      </c>
      <c r="F561" s="1">
        <v>13967</v>
      </c>
      <c r="G561" s="1">
        <v>629165</v>
      </c>
      <c r="H561" s="3">
        <v>2362</v>
      </c>
      <c r="I561" s="1">
        <v>20</v>
      </c>
      <c r="J561" s="2">
        <v>45142</v>
      </c>
      <c r="K561" s="8">
        <f>(F561/G561)*100</f>
        <v>2.2199264104010874</v>
      </c>
      <c r="L561" s="8">
        <f>(H561/G561)*100</f>
        <v>0.37541821302837891</v>
      </c>
    </row>
    <row r="562" spans="1:12" x14ac:dyDescent="0.3">
      <c r="A562" s="1" t="s">
        <v>570</v>
      </c>
      <c r="B562" s="1" t="s">
        <v>22</v>
      </c>
      <c r="C562" s="1" t="s">
        <v>18</v>
      </c>
      <c r="D562" s="1" t="s">
        <v>28</v>
      </c>
      <c r="E562" s="35">
        <v>45123</v>
      </c>
      <c r="F562" s="1">
        <v>52507</v>
      </c>
      <c r="G562" s="1">
        <v>140029</v>
      </c>
      <c r="H562" s="3">
        <v>1381</v>
      </c>
      <c r="I562" s="1">
        <v>14</v>
      </c>
      <c r="J562" s="2">
        <v>45137</v>
      </c>
      <c r="K562" s="8">
        <f>(F562/G562)*100</f>
        <v>37.497232716080241</v>
      </c>
      <c r="L562" s="8">
        <f>(H562/G562)*100</f>
        <v>0.98622428211299096</v>
      </c>
    </row>
    <row r="563" spans="1:12" x14ac:dyDescent="0.3">
      <c r="A563" s="1" t="s">
        <v>571</v>
      </c>
      <c r="B563" s="1" t="s">
        <v>10</v>
      </c>
      <c r="C563" s="1" t="s">
        <v>18</v>
      </c>
      <c r="D563" s="1" t="s">
        <v>12</v>
      </c>
      <c r="E563" s="35">
        <v>45124</v>
      </c>
      <c r="F563" s="1">
        <v>23097</v>
      </c>
      <c r="G563" s="1">
        <v>463418</v>
      </c>
      <c r="H563" s="3">
        <v>3544</v>
      </c>
      <c r="I563" s="1">
        <v>20</v>
      </c>
      <c r="J563" s="2">
        <v>45144</v>
      </c>
      <c r="K563" s="8">
        <f>(F563/G563)*100</f>
        <v>4.9840532737183283</v>
      </c>
      <c r="L563" s="8">
        <f>(H563/G563)*100</f>
        <v>0.76475234021984473</v>
      </c>
    </row>
    <row r="564" spans="1:12" x14ac:dyDescent="0.3">
      <c r="A564" s="1" t="s">
        <v>572</v>
      </c>
      <c r="B564" s="1" t="s">
        <v>14</v>
      </c>
      <c r="C564" s="1" t="s">
        <v>25</v>
      </c>
      <c r="D564" s="1" t="s">
        <v>32</v>
      </c>
      <c r="E564" s="35">
        <v>45125</v>
      </c>
      <c r="F564" s="1">
        <v>24382</v>
      </c>
      <c r="G564" s="1">
        <v>813395</v>
      </c>
      <c r="H564" s="3">
        <v>1462</v>
      </c>
      <c r="I564" s="1">
        <v>11</v>
      </c>
      <c r="J564" s="2">
        <v>45136</v>
      </c>
      <c r="K564" s="8">
        <f>(F564/G564)*100</f>
        <v>2.9975596112589824</v>
      </c>
      <c r="L564" s="8">
        <f>(H564/G564)*100</f>
        <v>0.17974047049711395</v>
      </c>
    </row>
    <row r="565" spans="1:12" x14ac:dyDescent="0.3">
      <c r="A565" s="1" t="s">
        <v>573</v>
      </c>
      <c r="B565" s="1" t="s">
        <v>14</v>
      </c>
      <c r="C565" s="1" t="s">
        <v>37</v>
      </c>
      <c r="D565" s="1" t="s">
        <v>12</v>
      </c>
      <c r="E565" s="35">
        <v>45126</v>
      </c>
      <c r="F565" s="1">
        <v>85595</v>
      </c>
      <c r="G565" s="1">
        <v>680655</v>
      </c>
      <c r="H565" s="3">
        <v>1395</v>
      </c>
      <c r="I565" s="1">
        <v>15</v>
      </c>
      <c r="J565" s="2">
        <v>45141</v>
      </c>
      <c r="K565" s="8">
        <f>(F565/G565)*100</f>
        <v>12.575386943458874</v>
      </c>
      <c r="L565" s="8">
        <f>(H565/G565)*100</f>
        <v>0.20494964409282238</v>
      </c>
    </row>
    <row r="566" spans="1:12" x14ac:dyDescent="0.3">
      <c r="A566" s="1" t="s">
        <v>574</v>
      </c>
      <c r="B566" s="1" t="s">
        <v>14</v>
      </c>
      <c r="C566" s="1" t="s">
        <v>11</v>
      </c>
      <c r="D566" s="1" t="s">
        <v>16</v>
      </c>
      <c r="E566" s="35">
        <v>45127</v>
      </c>
      <c r="F566" s="1">
        <v>26693</v>
      </c>
      <c r="G566" s="1">
        <v>88108</v>
      </c>
      <c r="H566" s="3">
        <v>3582</v>
      </c>
      <c r="I566" s="1">
        <v>9</v>
      </c>
      <c r="J566" s="2">
        <v>45136</v>
      </c>
      <c r="K566" s="8">
        <f>(F566/G566)*100</f>
        <v>30.29577336904708</v>
      </c>
      <c r="L566" s="8">
        <f>(H566/G566)*100</f>
        <v>4.0654651110001359</v>
      </c>
    </row>
    <row r="567" spans="1:12" x14ac:dyDescent="0.3">
      <c r="A567" s="1" t="s">
        <v>575</v>
      </c>
      <c r="B567" s="1" t="s">
        <v>10</v>
      </c>
      <c r="C567" s="1" t="s">
        <v>30</v>
      </c>
      <c r="D567" s="1" t="s">
        <v>16</v>
      </c>
      <c r="E567" s="35">
        <v>45128</v>
      </c>
      <c r="F567" s="1">
        <v>95788</v>
      </c>
      <c r="G567" s="1">
        <v>158966</v>
      </c>
      <c r="H567" s="3">
        <v>4773</v>
      </c>
      <c r="I567" s="1">
        <v>2</v>
      </c>
      <c r="J567" s="2">
        <v>45130</v>
      </c>
      <c r="K567" s="8">
        <f>(F567/G567)*100</f>
        <v>60.256910282701959</v>
      </c>
      <c r="L567" s="8">
        <f>(H567/G567)*100</f>
        <v>3.0025288426455972</v>
      </c>
    </row>
    <row r="568" spans="1:12" x14ac:dyDescent="0.3">
      <c r="A568" s="1" t="s">
        <v>576</v>
      </c>
      <c r="B568" s="1" t="s">
        <v>22</v>
      </c>
      <c r="C568" s="1" t="s">
        <v>15</v>
      </c>
      <c r="D568" s="1" t="s">
        <v>16</v>
      </c>
      <c r="E568" s="35">
        <v>45129</v>
      </c>
      <c r="F568" s="1">
        <v>45820</v>
      </c>
      <c r="G568" s="1">
        <v>91064</v>
      </c>
      <c r="H568" s="3">
        <v>2279</v>
      </c>
      <c r="I568" s="1">
        <v>23</v>
      </c>
      <c r="J568" s="2">
        <v>45152</v>
      </c>
      <c r="K568" s="8">
        <f>(F568/G568)*100</f>
        <v>50.31626109110077</v>
      </c>
      <c r="L568" s="8">
        <f>(H568/G568)*100</f>
        <v>2.5026355090925061</v>
      </c>
    </row>
    <row r="569" spans="1:12" x14ac:dyDescent="0.3">
      <c r="A569" s="1" t="s">
        <v>577</v>
      </c>
      <c r="B569" s="1" t="s">
        <v>22</v>
      </c>
      <c r="C569" s="1" t="s">
        <v>30</v>
      </c>
      <c r="D569" s="1" t="s">
        <v>28</v>
      </c>
      <c r="E569" s="35">
        <v>45130</v>
      </c>
      <c r="F569" s="1">
        <v>41265</v>
      </c>
      <c r="G569" s="1">
        <v>895941</v>
      </c>
      <c r="H569" s="3">
        <v>3157</v>
      </c>
      <c r="I569" s="1">
        <v>21</v>
      </c>
      <c r="J569" s="2">
        <v>45151</v>
      </c>
      <c r="K569" s="8">
        <f>(F569/G569)*100</f>
        <v>4.6057720318637054</v>
      </c>
      <c r="L569" s="8">
        <f>(H569/G569)*100</f>
        <v>0.35236695273461088</v>
      </c>
    </row>
    <row r="570" spans="1:12" x14ac:dyDescent="0.3">
      <c r="A570" s="1" t="s">
        <v>578</v>
      </c>
      <c r="B570" s="1" t="s">
        <v>14</v>
      </c>
      <c r="C570" s="1" t="s">
        <v>15</v>
      </c>
      <c r="D570" s="1" t="s">
        <v>28</v>
      </c>
      <c r="E570" s="35">
        <v>45131</v>
      </c>
      <c r="F570" s="1">
        <v>51558</v>
      </c>
      <c r="G570" s="1">
        <v>191328</v>
      </c>
      <c r="H570" s="3">
        <v>169</v>
      </c>
      <c r="I570" s="1">
        <v>10</v>
      </c>
      <c r="J570" s="2">
        <v>45141</v>
      </c>
      <c r="K570" s="8">
        <f>(F570/G570)*100</f>
        <v>26.947441043652788</v>
      </c>
      <c r="L570" s="8">
        <f>(H570/G570)*100</f>
        <v>8.8329988292356582E-2</v>
      </c>
    </row>
    <row r="571" spans="1:12" x14ac:dyDescent="0.3">
      <c r="A571" s="1" t="s">
        <v>579</v>
      </c>
      <c r="B571" s="1" t="s">
        <v>22</v>
      </c>
      <c r="C571" s="1" t="s">
        <v>18</v>
      </c>
      <c r="D571" s="1" t="s">
        <v>16</v>
      </c>
      <c r="E571" s="35">
        <v>45132</v>
      </c>
      <c r="F571" s="1">
        <v>17160</v>
      </c>
      <c r="G571" s="1">
        <v>547473</v>
      </c>
      <c r="H571" s="3">
        <v>3143</v>
      </c>
      <c r="I571" s="1">
        <v>8</v>
      </c>
      <c r="J571" s="2">
        <v>45140</v>
      </c>
      <c r="K571" s="8">
        <f>(F571/G571)*100</f>
        <v>3.1344011485497916</v>
      </c>
      <c r="L571" s="8">
        <f>(H571/G571)*100</f>
        <v>0.57409223833869438</v>
      </c>
    </row>
    <row r="572" spans="1:12" x14ac:dyDescent="0.3">
      <c r="A572" s="1" t="s">
        <v>580</v>
      </c>
      <c r="B572" s="1" t="s">
        <v>10</v>
      </c>
      <c r="C572" s="1" t="s">
        <v>18</v>
      </c>
      <c r="D572" s="1" t="s">
        <v>32</v>
      </c>
      <c r="E572" s="35">
        <v>45133</v>
      </c>
      <c r="F572" s="1">
        <v>64897</v>
      </c>
      <c r="G572" s="1">
        <v>420593</v>
      </c>
      <c r="H572" s="3">
        <v>542</v>
      </c>
      <c r="I572" s="1">
        <v>11</v>
      </c>
      <c r="J572" s="2">
        <v>45144</v>
      </c>
      <c r="K572" s="8">
        <f>(F572/G572)*100</f>
        <v>15.429881144003824</v>
      </c>
      <c r="L572" s="8">
        <f>(H572/G572)*100</f>
        <v>0.12886567299027801</v>
      </c>
    </row>
    <row r="573" spans="1:12" x14ac:dyDescent="0.3">
      <c r="A573" s="1" t="s">
        <v>581</v>
      </c>
      <c r="B573" s="1" t="s">
        <v>14</v>
      </c>
      <c r="C573" s="1" t="s">
        <v>18</v>
      </c>
      <c r="D573" s="1" t="s">
        <v>12</v>
      </c>
      <c r="E573" s="35">
        <v>45134</v>
      </c>
      <c r="F573" s="1">
        <v>53108</v>
      </c>
      <c r="G573" s="1">
        <v>954736</v>
      </c>
      <c r="H573" s="3">
        <v>4018</v>
      </c>
      <c r="I573" s="1">
        <v>9</v>
      </c>
      <c r="J573" s="2">
        <v>45143</v>
      </c>
      <c r="K573" s="8">
        <f>(F573/G573)*100</f>
        <v>5.5625848402071361</v>
      </c>
      <c r="L573" s="8">
        <f>(H573/G573)*100</f>
        <v>0.42084932379212686</v>
      </c>
    </row>
    <row r="574" spans="1:12" x14ac:dyDescent="0.3">
      <c r="A574" s="1" t="s">
        <v>582</v>
      </c>
      <c r="B574" s="1" t="s">
        <v>10</v>
      </c>
      <c r="C574" s="1" t="s">
        <v>18</v>
      </c>
      <c r="D574" s="1" t="s">
        <v>32</v>
      </c>
      <c r="E574" s="35">
        <v>45135</v>
      </c>
      <c r="F574" s="1">
        <v>41427</v>
      </c>
      <c r="G574" s="1">
        <v>12771</v>
      </c>
      <c r="H574" s="3">
        <v>309</v>
      </c>
      <c r="I574" s="1">
        <v>2</v>
      </c>
      <c r="J574" s="2">
        <v>45137</v>
      </c>
      <c r="K574" s="8">
        <f>(F574/G574)*100</f>
        <v>324.3833685694151</v>
      </c>
      <c r="L574" s="8">
        <f>(H574/G574)*100</f>
        <v>2.4195442800093963</v>
      </c>
    </row>
    <row r="575" spans="1:12" x14ac:dyDescent="0.3">
      <c r="A575" s="1" t="s">
        <v>583</v>
      </c>
      <c r="B575" s="1" t="s">
        <v>10</v>
      </c>
      <c r="C575" s="1" t="s">
        <v>11</v>
      </c>
      <c r="D575" s="1" t="s">
        <v>16</v>
      </c>
      <c r="E575" s="35">
        <v>45136</v>
      </c>
      <c r="F575" s="1">
        <v>27217</v>
      </c>
      <c r="G575" s="1">
        <v>619080</v>
      </c>
      <c r="H575" s="3">
        <v>4246</v>
      </c>
      <c r="I575" s="1">
        <v>12</v>
      </c>
      <c r="J575" s="2">
        <v>45148</v>
      </c>
      <c r="K575" s="8">
        <f>(F575/G575)*100</f>
        <v>4.3963623441235384</v>
      </c>
      <c r="L575" s="8">
        <f>(H575/G575)*100</f>
        <v>0.68585643212508884</v>
      </c>
    </row>
    <row r="576" spans="1:12" x14ac:dyDescent="0.3">
      <c r="A576" s="1" t="s">
        <v>584</v>
      </c>
      <c r="B576" s="1" t="s">
        <v>14</v>
      </c>
      <c r="C576" s="1" t="s">
        <v>15</v>
      </c>
      <c r="D576" s="1" t="s">
        <v>32</v>
      </c>
      <c r="E576" s="35">
        <v>45137</v>
      </c>
      <c r="F576" s="1">
        <v>84439</v>
      </c>
      <c r="G576" s="1">
        <v>446995</v>
      </c>
      <c r="H576" s="3">
        <v>2537</v>
      </c>
      <c r="I576" s="1">
        <v>16</v>
      </c>
      <c r="J576" s="2">
        <v>45153</v>
      </c>
      <c r="K576" s="8">
        <f>(F576/G576)*100</f>
        <v>18.890367901206947</v>
      </c>
      <c r="L576" s="8">
        <f>(H576/G576)*100</f>
        <v>0.56756786988668773</v>
      </c>
    </row>
    <row r="577" spans="1:12" x14ac:dyDescent="0.3">
      <c r="A577" s="1" t="s">
        <v>585</v>
      </c>
      <c r="B577" s="1" t="s">
        <v>24</v>
      </c>
      <c r="C577" s="1" t="s">
        <v>25</v>
      </c>
      <c r="D577" s="1" t="s">
        <v>16</v>
      </c>
      <c r="E577" s="35">
        <v>45138</v>
      </c>
      <c r="F577" s="1">
        <v>13904</v>
      </c>
      <c r="G577" s="1">
        <v>383373</v>
      </c>
      <c r="H577" s="3">
        <v>1666</v>
      </c>
      <c r="I577" s="1">
        <v>13</v>
      </c>
      <c r="J577" s="2">
        <v>45151</v>
      </c>
      <c r="K577" s="8">
        <f>(F577/G577)*100</f>
        <v>3.6267551444676598</v>
      </c>
      <c r="L577" s="8">
        <f>(H577/G577)*100</f>
        <v>0.43456372775338903</v>
      </c>
    </row>
    <row r="578" spans="1:12" x14ac:dyDescent="0.3">
      <c r="A578" s="1" t="s">
        <v>586</v>
      </c>
      <c r="B578" s="1" t="s">
        <v>14</v>
      </c>
      <c r="C578" s="1" t="s">
        <v>11</v>
      </c>
      <c r="D578" s="1" t="s">
        <v>12</v>
      </c>
      <c r="E578" s="35">
        <v>45139</v>
      </c>
      <c r="F578" s="1">
        <v>153</v>
      </c>
      <c r="G578" s="1">
        <v>506457</v>
      </c>
      <c r="H578" s="3">
        <v>1048</v>
      </c>
      <c r="I578" s="1">
        <v>3</v>
      </c>
      <c r="J578" s="2">
        <v>45142</v>
      </c>
      <c r="K578" s="8">
        <f>(F578/G578)*100</f>
        <v>3.0209869742149873E-2</v>
      </c>
      <c r="L578" s="8">
        <f>(H578/G578)*100</f>
        <v>0.20692773522727495</v>
      </c>
    </row>
    <row r="579" spans="1:12" x14ac:dyDescent="0.3">
      <c r="A579" s="1" t="s">
        <v>587</v>
      </c>
      <c r="B579" s="1" t="s">
        <v>10</v>
      </c>
      <c r="C579" s="1" t="s">
        <v>25</v>
      </c>
      <c r="D579" s="1" t="s">
        <v>28</v>
      </c>
      <c r="E579" s="35">
        <v>45140</v>
      </c>
      <c r="F579" s="1">
        <v>74783</v>
      </c>
      <c r="G579" s="1">
        <v>561448</v>
      </c>
      <c r="H579" s="3">
        <v>24</v>
      </c>
      <c r="I579" s="1">
        <v>12</v>
      </c>
      <c r="J579" s="2">
        <v>45152</v>
      </c>
      <c r="K579" s="8">
        <f>(F579/G579)*100</f>
        <v>13.319666291446403</v>
      </c>
      <c r="L579" s="8">
        <f>(H579/G579)*100</f>
        <v>4.2746612330972775E-3</v>
      </c>
    </row>
    <row r="580" spans="1:12" x14ac:dyDescent="0.3">
      <c r="A580" s="1" t="s">
        <v>588</v>
      </c>
      <c r="B580" s="1" t="s">
        <v>22</v>
      </c>
      <c r="C580" s="1" t="s">
        <v>11</v>
      </c>
      <c r="D580" s="1" t="s">
        <v>19</v>
      </c>
      <c r="E580" s="35">
        <v>45141</v>
      </c>
      <c r="F580" s="1">
        <v>22924</v>
      </c>
      <c r="G580" s="1">
        <v>24419</v>
      </c>
      <c r="H580" s="3">
        <v>2149</v>
      </c>
      <c r="I580" s="1">
        <v>3</v>
      </c>
      <c r="J580" s="2">
        <v>45144</v>
      </c>
      <c r="K580" s="8">
        <f>(F580/G580)*100</f>
        <v>93.877718170277248</v>
      </c>
      <c r="L580" s="8">
        <f>(H580/G580)*100</f>
        <v>8.8005241819894344</v>
      </c>
    </row>
    <row r="581" spans="1:12" x14ac:dyDescent="0.3">
      <c r="A581" s="1" t="s">
        <v>589</v>
      </c>
      <c r="B581" s="1" t="s">
        <v>14</v>
      </c>
      <c r="C581" s="1" t="s">
        <v>11</v>
      </c>
      <c r="D581" s="1" t="s">
        <v>19</v>
      </c>
      <c r="E581" s="35">
        <v>45142</v>
      </c>
      <c r="F581" s="1">
        <v>53892</v>
      </c>
      <c r="G581" s="1">
        <v>202663</v>
      </c>
      <c r="H581" s="3">
        <v>3332</v>
      </c>
      <c r="I581" s="1">
        <v>2</v>
      </c>
      <c r="J581" s="2">
        <v>45144</v>
      </c>
      <c r="K581" s="8">
        <f>(F581/G581)*100</f>
        <v>26.591928472390126</v>
      </c>
      <c r="L581" s="8">
        <f>(H581/G581)*100</f>
        <v>1.6441086927559543</v>
      </c>
    </row>
    <row r="582" spans="1:12" x14ac:dyDescent="0.3">
      <c r="A582" s="1" t="s">
        <v>590</v>
      </c>
      <c r="B582" s="1" t="s">
        <v>14</v>
      </c>
      <c r="C582" s="1" t="s">
        <v>30</v>
      </c>
      <c r="D582" s="1" t="s">
        <v>32</v>
      </c>
      <c r="E582" s="35">
        <v>45143</v>
      </c>
      <c r="F582" s="1">
        <v>73336</v>
      </c>
      <c r="G582" s="1">
        <v>209720</v>
      </c>
      <c r="H582" s="3">
        <v>207</v>
      </c>
      <c r="I582" s="1">
        <v>12</v>
      </c>
      <c r="J582" s="2">
        <v>45155</v>
      </c>
      <c r="K582" s="8">
        <f>(F582/G582)*100</f>
        <v>34.968529467861906</v>
      </c>
      <c r="L582" s="8">
        <f>(H582/G582)*100</f>
        <v>9.8703032614915115E-2</v>
      </c>
    </row>
    <row r="583" spans="1:12" x14ac:dyDescent="0.3">
      <c r="A583" s="1" t="s">
        <v>591</v>
      </c>
      <c r="B583" s="1" t="s">
        <v>22</v>
      </c>
      <c r="C583" s="1" t="s">
        <v>30</v>
      </c>
      <c r="D583" s="1" t="s">
        <v>28</v>
      </c>
      <c r="E583" s="35">
        <v>45144</v>
      </c>
      <c r="F583" s="1">
        <v>4657</v>
      </c>
      <c r="G583" s="1">
        <v>422505</v>
      </c>
      <c r="H583" s="3">
        <v>1291</v>
      </c>
      <c r="I583" s="1">
        <v>26</v>
      </c>
      <c r="J583" s="2">
        <v>45170</v>
      </c>
      <c r="K583" s="8">
        <f>(F583/G583)*100</f>
        <v>1.1022354765032367</v>
      </c>
      <c r="L583" s="8">
        <f>(H583/G583)*100</f>
        <v>0.30555851410042484</v>
      </c>
    </row>
    <row r="584" spans="1:12" x14ac:dyDescent="0.3">
      <c r="A584" s="1" t="s">
        <v>592</v>
      </c>
      <c r="B584" s="1" t="s">
        <v>22</v>
      </c>
      <c r="C584" s="1" t="s">
        <v>18</v>
      </c>
      <c r="D584" s="1" t="s">
        <v>32</v>
      </c>
      <c r="E584" s="35">
        <v>45145</v>
      </c>
      <c r="F584" s="1">
        <v>47711</v>
      </c>
      <c r="G584" s="1">
        <v>841745</v>
      </c>
      <c r="H584" s="3">
        <v>4000</v>
      </c>
      <c r="I584" s="1">
        <v>29</v>
      </c>
      <c r="J584" s="2">
        <v>45174</v>
      </c>
      <c r="K584" s="8">
        <f>(F584/G584)*100</f>
        <v>5.668106136656589</v>
      </c>
      <c r="L584" s="8">
        <f>(H584/G584)*100</f>
        <v>0.47520329791088756</v>
      </c>
    </row>
    <row r="585" spans="1:12" x14ac:dyDescent="0.3">
      <c r="A585" s="1" t="s">
        <v>593</v>
      </c>
      <c r="B585" s="1" t="s">
        <v>24</v>
      </c>
      <c r="C585" s="1" t="s">
        <v>15</v>
      </c>
      <c r="D585" s="1" t="s">
        <v>32</v>
      </c>
      <c r="E585" s="35">
        <v>45146</v>
      </c>
      <c r="F585" s="1">
        <v>70975</v>
      </c>
      <c r="G585" s="1">
        <v>217743</v>
      </c>
      <c r="H585" s="3">
        <v>1291</v>
      </c>
      <c r="I585" s="1">
        <v>29</v>
      </c>
      <c r="J585" s="2">
        <v>45175</v>
      </c>
      <c r="K585" s="8">
        <f>(F585/G585)*100</f>
        <v>32.595766568844923</v>
      </c>
      <c r="L585" s="8">
        <f>(H585/G585)*100</f>
        <v>0.5929008050775455</v>
      </c>
    </row>
    <row r="586" spans="1:12" x14ac:dyDescent="0.3">
      <c r="A586" s="1" t="s">
        <v>594</v>
      </c>
      <c r="B586" s="1" t="s">
        <v>14</v>
      </c>
      <c r="C586" s="1" t="s">
        <v>30</v>
      </c>
      <c r="D586" s="1" t="s">
        <v>16</v>
      </c>
      <c r="E586" s="35">
        <v>45147</v>
      </c>
      <c r="F586" s="1">
        <v>65944</v>
      </c>
      <c r="G586" s="1">
        <v>306650</v>
      </c>
      <c r="H586" s="3">
        <v>4502</v>
      </c>
      <c r="I586" s="1">
        <v>19</v>
      </c>
      <c r="J586" s="2">
        <v>45166</v>
      </c>
      <c r="K586" s="8">
        <f>(F586/G586)*100</f>
        <v>21.504646991684332</v>
      </c>
      <c r="L586" s="8">
        <f>(H586/G586)*100</f>
        <v>1.4681232675688896</v>
      </c>
    </row>
    <row r="587" spans="1:12" x14ac:dyDescent="0.3">
      <c r="A587" s="1" t="s">
        <v>595</v>
      </c>
      <c r="B587" s="1" t="s">
        <v>22</v>
      </c>
      <c r="C587" s="1" t="s">
        <v>15</v>
      </c>
      <c r="D587" s="1" t="s">
        <v>16</v>
      </c>
      <c r="E587" s="35">
        <v>45148</v>
      </c>
      <c r="F587" s="1">
        <v>13536</v>
      </c>
      <c r="G587" s="1">
        <v>756349</v>
      </c>
      <c r="H587" s="3">
        <v>4045</v>
      </c>
      <c r="I587" s="1">
        <v>8</v>
      </c>
      <c r="J587" s="2">
        <v>45156</v>
      </c>
      <c r="K587" s="8">
        <f>(F587/G587)*100</f>
        <v>1.789650016064013</v>
      </c>
      <c r="L587" s="8">
        <f>(H587/G587)*100</f>
        <v>0.53480602208768702</v>
      </c>
    </row>
    <row r="588" spans="1:12" x14ac:dyDescent="0.3">
      <c r="A588" s="1" t="s">
        <v>596</v>
      </c>
      <c r="B588" s="1" t="s">
        <v>22</v>
      </c>
      <c r="C588" s="1" t="s">
        <v>37</v>
      </c>
      <c r="D588" s="1" t="s">
        <v>12</v>
      </c>
      <c r="E588" s="35">
        <v>45149</v>
      </c>
      <c r="F588" s="1">
        <v>33537</v>
      </c>
      <c r="G588" s="1">
        <v>351361</v>
      </c>
      <c r="H588" s="3">
        <v>2894</v>
      </c>
      <c r="I588" s="1">
        <v>19</v>
      </c>
      <c r="J588" s="2">
        <v>45168</v>
      </c>
      <c r="K588" s="8">
        <f>(F588/G588)*100</f>
        <v>9.5448840366460708</v>
      </c>
      <c r="L588" s="8">
        <f>(H588/G588)*100</f>
        <v>0.82365430426256758</v>
      </c>
    </row>
    <row r="589" spans="1:12" x14ac:dyDescent="0.3">
      <c r="A589" s="1" t="s">
        <v>597</v>
      </c>
      <c r="B589" s="1" t="s">
        <v>22</v>
      </c>
      <c r="C589" s="1" t="s">
        <v>18</v>
      </c>
      <c r="D589" s="1" t="s">
        <v>16</v>
      </c>
      <c r="E589" s="35">
        <v>45150</v>
      </c>
      <c r="F589" s="1">
        <v>42417</v>
      </c>
      <c r="G589" s="1">
        <v>593222</v>
      </c>
      <c r="H589" s="3">
        <v>854</v>
      </c>
      <c r="I589" s="1">
        <v>16</v>
      </c>
      <c r="J589" s="2">
        <v>45166</v>
      </c>
      <c r="K589" s="8">
        <f>(F589/G589)*100</f>
        <v>7.1502742649463435</v>
      </c>
      <c r="L589" s="8">
        <f>(H589/G589)*100</f>
        <v>0.14395959691312865</v>
      </c>
    </row>
    <row r="590" spans="1:12" x14ac:dyDescent="0.3">
      <c r="A590" s="1" t="s">
        <v>598</v>
      </c>
      <c r="B590" s="1" t="s">
        <v>22</v>
      </c>
      <c r="C590" s="1" t="s">
        <v>30</v>
      </c>
      <c r="D590" s="1" t="s">
        <v>12</v>
      </c>
      <c r="E590" s="35">
        <v>45151</v>
      </c>
      <c r="F590" s="1">
        <v>49724</v>
      </c>
      <c r="G590" s="1">
        <v>369358</v>
      </c>
      <c r="H590" s="3">
        <v>2114</v>
      </c>
      <c r="I590" s="1">
        <v>27</v>
      </c>
      <c r="J590" s="2">
        <v>45178</v>
      </c>
      <c r="K590" s="8">
        <f>(F590/G590)*100</f>
        <v>13.462277790111491</v>
      </c>
      <c r="L590" s="8">
        <f>(H590/G590)*100</f>
        <v>0.57234444630954251</v>
      </c>
    </row>
    <row r="591" spans="1:12" x14ac:dyDescent="0.3">
      <c r="A591" s="1" t="s">
        <v>599</v>
      </c>
      <c r="B591" s="1" t="s">
        <v>24</v>
      </c>
      <c r="C591" s="1" t="s">
        <v>18</v>
      </c>
      <c r="D591" s="1" t="s">
        <v>12</v>
      </c>
      <c r="E591" s="35">
        <v>45152</v>
      </c>
      <c r="F591" s="1">
        <v>59468</v>
      </c>
      <c r="G591" s="1">
        <v>909729</v>
      </c>
      <c r="H591" s="3">
        <v>1121</v>
      </c>
      <c r="I591" s="1">
        <v>21</v>
      </c>
      <c r="J591" s="2">
        <v>45173</v>
      </c>
      <c r="K591" s="8">
        <f>(F591/G591)*100</f>
        <v>6.5368917556766908</v>
      </c>
      <c r="L591" s="8">
        <f>(H591/G591)*100</f>
        <v>0.12322350941873898</v>
      </c>
    </row>
    <row r="592" spans="1:12" x14ac:dyDescent="0.3">
      <c r="A592" s="1" t="s">
        <v>600</v>
      </c>
      <c r="B592" s="1" t="s">
        <v>14</v>
      </c>
      <c r="C592" s="1" t="s">
        <v>11</v>
      </c>
      <c r="D592" s="1" t="s">
        <v>28</v>
      </c>
      <c r="E592" s="35">
        <v>45153</v>
      </c>
      <c r="F592" s="1">
        <v>91513</v>
      </c>
      <c r="G592" s="1">
        <v>881012</v>
      </c>
      <c r="H592" s="3">
        <v>3435</v>
      </c>
      <c r="I592" s="1">
        <v>6</v>
      </c>
      <c r="J592" s="2">
        <v>45159</v>
      </c>
      <c r="K592" s="8">
        <f>(F592/G592)*100</f>
        <v>10.387259197377562</v>
      </c>
      <c r="L592" s="8">
        <f>(H592/G592)*100</f>
        <v>0.38989253267832902</v>
      </c>
    </row>
    <row r="593" spans="1:12" x14ac:dyDescent="0.3">
      <c r="A593" s="1" t="s">
        <v>601</v>
      </c>
      <c r="B593" s="1" t="s">
        <v>22</v>
      </c>
      <c r="C593" s="1" t="s">
        <v>27</v>
      </c>
      <c r="D593" s="1" t="s">
        <v>28</v>
      </c>
      <c r="E593" s="35">
        <v>45154</v>
      </c>
      <c r="F593" s="1">
        <v>7211</v>
      </c>
      <c r="G593" s="1">
        <v>322915</v>
      </c>
      <c r="H593" s="3">
        <v>4637</v>
      </c>
      <c r="I593" s="1">
        <v>24</v>
      </c>
      <c r="J593" s="2">
        <v>45178</v>
      </c>
      <c r="K593" s="8">
        <f>(F593/G593)*100</f>
        <v>2.233095396621402</v>
      </c>
      <c r="L593" s="8">
        <f>(H593/G593)*100</f>
        <v>1.4359816050663488</v>
      </c>
    </row>
    <row r="594" spans="1:12" x14ac:dyDescent="0.3">
      <c r="A594" s="1" t="s">
        <v>602</v>
      </c>
      <c r="B594" s="1" t="s">
        <v>14</v>
      </c>
      <c r="C594" s="1" t="s">
        <v>18</v>
      </c>
      <c r="D594" s="1" t="s">
        <v>16</v>
      </c>
      <c r="E594" s="35">
        <v>45155</v>
      </c>
      <c r="F594" s="1">
        <v>38968</v>
      </c>
      <c r="G594" s="1">
        <v>571747</v>
      </c>
      <c r="H594" s="3">
        <v>2641</v>
      </c>
      <c r="I594" s="1">
        <v>7</v>
      </c>
      <c r="J594" s="2">
        <v>45162</v>
      </c>
      <c r="K594" s="8">
        <f>(F594/G594)*100</f>
        <v>6.815602005782277</v>
      </c>
      <c r="L594" s="8">
        <f>(H594/G594)*100</f>
        <v>0.46191759641939528</v>
      </c>
    </row>
    <row r="595" spans="1:12" x14ac:dyDescent="0.3">
      <c r="A595" s="1" t="s">
        <v>603</v>
      </c>
      <c r="B595" s="1" t="s">
        <v>22</v>
      </c>
      <c r="C595" s="1" t="s">
        <v>27</v>
      </c>
      <c r="D595" s="1" t="s">
        <v>28</v>
      </c>
      <c r="E595" s="35">
        <v>45156</v>
      </c>
      <c r="F595" s="1">
        <v>16378</v>
      </c>
      <c r="G595" s="1">
        <v>710558</v>
      </c>
      <c r="H595" s="3">
        <v>960</v>
      </c>
      <c r="I595" s="1">
        <v>26</v>
      </c>
      <c r="J595" s="2">
        <v>45182</v>
      </c>
      <c r="K595" s="8">
        <f>(F595/G595)*100</f>
        <v>2.3049490681971072</v>
      </c>
      <c r="L595" s="8">
        <f>(H595/G595)*100</f>
        <v>0.13510508642503499</v>
      </c>
    </row>
    <row r="596" spans="1:12" x14ac:dyDescent="0.3">
      <c r="A596" s="1" t="s">
        <v>604</v>
      </c>
      <c r="B596" s="1" t="s">
        <v>22</v>
      </c>
      <c r="C596" s="1" t="s">
        <v>18</v>
      </c>
      <c r="D596" s="1" t="s">
        <v>16</v>
      </c>
      <c r="E596" s="35">
        <v>45157</v>
      </c>
      <c r="F596" s="1">
        <v>26266</v>
      </c>
      <c r="G596" s="1">
        <v>276461</v>
      </c>
      <c r="H596" s="3">
        <v>459</v>
      </c>
      <c r="I596" s="1">
        <v>22</v>
      </c>
      <c r="J596" s="2">
        <v>45179</v>
      </c>
      <c r="K596" s="8">
        <f>(F596/G596)*100</f>
        <v>9.5007975808522716</v>
      </c>
      <c r="L596" s="8">
        <f>(H596/G596)*100</f>
        <v>0.16602703455460263</v>
      </c>
    </row>
    <row r="597" spans="1:12" x14ac:dyDescent="0.3">
      <c r="A597" s="1" t="s">
        <v>605</v>
      </c>
      <c r="B597" s="1" t="s">
        <v>10</v>
      </c>
      <c r="C597" s="1" t="s">
        <v>27</v>
      </c>
      <c r="D597" s="1" t="s">
        <v>12</v>
      </c>
      <c r="E597" s="35">
        <v>45158</v>
      </c>
      <c r="F597" s="1">
        <v>77518</v>
      </c>
      <c r="G597" s="1">
        <v>116965</v>
      </c>
      <c r="H597" s="3">
        <v>3710</v>
      </c>
      <c r="I597" s="1">
        <v>7</v>
      </c>
      <c r="J597" s="2">
        <v>45165</v>
      </c>
      <c r="K597" s="8">
        <f>(F597/G597)*100</f>
        <v>66.274526567776675</v>
      </c>
      <c r="L597" s="8">
        <f>(H597/G597)*100</f>
        <v>3.1718890266318986</v>
      </c>
    </row>
    <row r="598" spans="1:12" x14ac:dyDescent="0.3">
      <c r="A598" s="1" t="s">
        <v>606</v>
      </c>
      <c r="B598" s="1" t="s">
        <v>14</v>
      </c>
      <c r="C598" s="1" t="s">
        <v>25</v>
      </c>
      <c r="D598" s="1" t="s">
        <v>12</v>
      </c>
      <c r="E598" s="35">
        <v>45159</v>
      </c>
      <c r="F598" s="1">
        <v>1668</v>
      </c>
      <c r="G598" s="1">
        <v>651616</v>
      </c>
      <c r="H598" s="3">
        <v>196</v>
      </c>
      <c r="I598" s="1">
        <v>12</v>
      </c>
      <c r="J598" s="2">
        <v>45171</v>
      </c>
      <c r="K598" s="8">
        <f>(F598/G598)*100</f>
        <v>0.2559789814860286</v>
      </c>
      <c r="L598" s="8">
        <f>(H598/G598)*100</f>
        <v>3.0079064970780334E-2</v>
      </c>
    </row>
    <row r="599" spans="1:12" x14ac:dyDescent="0.3">
      <c r="A599" s="1" t="s">
        <v>607</v>
      </c>
      <c r="B599" s="1" t="s">
        <v>24</v>
      </c>
      <c r="C599" s="1" t="s">
        <v>15</v>
      </c>
      <c r="D599" s="1" t="s">
        <v>19</v>
      </c>
      <c r="E599" s="35">
        <v>45160</v>
      </c>
      <c r="F599" s="1">
        <v>49058</v>
      </c>
      <c r="G599" s="1">
        <v>480171</v>
      </c>
      <c r="H599" s="3">
        <v>4272</v>
      </c>
      <c r="I599" s="1">
        <v>20</v>
      </c>
      <c r="J599" s="2">
        <v>45180</v>
      </c>
      <c r="K599" s="8">
        <f>(F599/G599)*100</f>
        <v>10.216776939881832</v>
      </c>
      <c r="L599" s="8">
        <f>(H599/G599)*100</f>
        <v>0.88968305041329032</v>
      </c>
    </row>
    <row r="600" spans="1:12" x14ac:dyDescent="0.3">
      <c r="A600" s="1" t="s">
        <v>608</v>
      </c>
      <c r="B600" s="1" t="s">
        <v>14</v>
      </c>
      <c r="C600" s="1" t="s">
        <v>37</v>
      </c>
      <c r="D600" s="1" t="s">
        <v>16</v>
      </c>
      <c r="E600" s="35">
        <v>45161</v>
      </c>
      <c r="F600" s="1">
        <v>93067</v>
      </c>
      <c r="G600" s="1">
        <v>113157</v>
      </c>
      <c r="H600" s="3">
        <v>4773</v>
      </c>
      <c r="I600" s="1">
        <v>3</v>
      </c>
      <c r="J600" s="2">
        <v>45164</v>
      </c>
      <c r="K600" s="8">
        <f>(F600/G600)*100</f>
        <v>82.245906130420565</v>
      </c>
      <c r="L600" s="8">
        <f>(H600/G600)*100</f>
        <v>4.2180333518916191</v>
      </c>
    </row>
    <row r="601" spans="1:12" x14ac:dyDescent="0.3">
      <c r="A601" s="1" t="s">
        <v>609</v>
      </c>
      <c r="B601" s="1" t="s">
        <v>14</v>
      </c>
      <c r="C601" s="1" t="s">
        <v>25</v>
      </c>
      <c r="D601" s="1" t="s">
        <v>19</v>
      </c>
      <c r="E601" s="35">
        <v>45162</v>
      </c>
      <c r="F601" s="1">
        <v>21385</v>
      </c>
      <c r="G601" s="1">
        <v>322673</v>
      </c>
      <c r="H601" s="3">
        <v>1058</v>
      </c>
      <c r="I601" s="1">
        <v>23</v>
      </c>
      <c r="J601" s="2">
        <v>45185</v>
      </c>
      <c r="K601" s="8">
        <f>(F601/G601)*100</f>
        <v>6.6274525603319772</v>
      </c>
      <c r="L601" s="8">
        <f>(H601/G601)*100</f>
        <v>0.32788612620206836</v>
      </c>
    </row>
    <row r="602" spans="1:12" x14ac:dyDescent="0.3">
      <c r="A602" s="1" t="s">
        <v>610</v>
      </c>
      <c r="B602" s="1" t="s">
        <v>10</v>
      </c>
      <c r="C602" s="1" t="s">
        <v>18</v>
      </c>
      <c r="D602" s="1" t="s">
        <v>12</v>
      </c>
      <c r="E602" s="35">
        <v>45163</v>
      </c>
      <c r="F602" s="1">
        <v>22603</v>
      </c>
      <c r="G602" s="1">
        <v>205940</v>
      </c>
      <c r="H602" s="3">
        <v>372</v>
      </c>
      <c r="I602" s="1">
        <v>29</v>
      </c>
      <c r="J602" s="2">
        <v>45192</v>
      </c>
      <c r="K602" s="8">
        <f>(F602/G602)*100</f>
        <v>10.975526852481305</v>
      </c>
      <c r="L602" s="8">
        <f>(H602/G602)*100</f>
        <v>0.18063513644750898</v>
      </c>
    </row>
    <row r="603" spans="1:12" x14ac:dyDescent="0.3">
      <c r="A603" s="1" t="s">
        <v>611</v>
      </c>
      <c r="B603" s="1" t="s">
        <v>24</v>
      </c>
      <c r="C603" s="1" t="s">
        <v>37</v>
      </c>
      <c r="D603" s="1" t="s">
        <v>16</v>
      </c>
      <c r="E603" s="35">
        <v>45164</v>
      </c>
      <c r="F603" s="1">
        <v>62189</v>
      </c>
      <c r="G603" s="1">
        <v>950443</v>
      </c>
      <c r="H603" s="3">
        <v>2657</v>
      </c>
      <c r="I603" s="1">
        <v>24</v>
      </c>
      <c r="J603" s="2">
        <v>45188</v>
      </c>
      <c r="K603" s="8">
        <f>(F603/G603)*100</f>
        <v>6.543159347798869</v>
      </c>
      <c r="L603" s="8">
        <f>(H603/G603)*100</f>
        <v>0.27955385015198175</v>
      </c>
    </row>
    <row r="604" spans="1:12" x14ac:dyDescent="0.3">
      <c r="A604" s="1" t="s">
        <v>612</v>
      </c>
      <c r="B604" s="1" t="s">
        <v>10</v>
      </c>
      <c r="C604" s="1" t="s">
        <v>15</v>
      </c>
      <c r="D604" s="1" t="s">
        <v>12</v>
      </c>
      <c r="E604" s="35">
        <v>45165</v>
      </c>
      <c r="F604" s="1">
        <v>81546</v>
      </c>
      <c r="G604" s="1">
        <v>60051</v>
      </c>
      <c r="H604" s="3">
        <v>4959</v>
      </c>
      <c r="I604" s="1">
        <v>2</v>
      </c>
      <c r="J604" s="2">
        <v>45167</v>
      </c>
      <c r="K604" s="8">
        <f>(F604/G604)*100</f>
        <v>135.79457461158015</v>
      </c>
      <c r="L604" s="8">
        <f>(H604/G604)*100</f>
        <v>8.257980716391069</v>
      </c>
    </row>
    <row r="605" spans="1:12" x14ac:dyDescent="0.3">
      <c r="A605" s="1" t="s">
        <v>613</v>
      </c>
      <c r="B605" s="1" t="s">
        <v>24</v>
      </c>
      <c r="C605" s="1" t="s">
        <v>30</v>
      </c>
      <c r="D605" s="1" t="s">
        <v>12</v>
      </c>
      <c r="E605" s="35">
        <v>45166</v>
      </c>
      <c r="F605" s="1">
        <v>91088</v>
      </c>
      <c r="G605" s="1">
        <v>801725</v>
      </c>
      <c r="H605" s="3">
        <v>1527</v>
      </c>
      <c r="I605" s="1">
        <v>1</v>
      </c>
      <c r="J605" s="2">
        <v>45167</v>
      </c>
      <c r="K605" s="8">
        <f>(F605/G605)*100</f>
        <v>11.361501761826062</v>
      </c>
      <c r="L605" s="8">
        <f>(H605/G605)*100</f>
        <v>0.19046431132869751</v>
      </c>
    </row>
    <row r="606" spans="1:12" x14ac:dyDescent="0.3">
      <c r="A606" s="1" t="s">
        <v>614</v>
      </c>
      <c r="B606" s="1" t="s">
        <v>10</v>
      </c>
      <c r="C606" s="1" t="s">
        <v>11</v>
      </c>
      <c r="D606" s="1" t="s">
        <v>19</v>
      </c>
      <c r="E606" s="35">
        <v>45167</v>
      </c>
      <c r="F606" s="1">
        <v>47421</v>
      </c>
      <c r="G606" s="1">
        <v>744351</v>
      </c>
      <c r="H606" s="3">
        <v>1354</v>
      </c>
      <c r="I606" s="1">
        <v>25</v>
      </c>
      <c r="J606" s="2">
        <v>45192</v>
      </c>
      <c r="K606" s="8">
        <f>(F606/G606)*100</f>
        <v>6.370784750742593</v>
      </c>
      <c r="L606" s="8">
        <f>(H606/G606)*100</f>
        <v>0.18190342996785119</v>
      </c>
    </row>
    <row r="607" spans="1:12" x14ac:dyDescent="0.3">
      <c r="A607" s="1" t="s">
        <v>615</v>
      </c>
      <c r="B607" s="1" t="s">
        <v>10</v>
      </c>
      <c r="C607" s="1" t="s">
        <v>27</v>
      </c>
      <c r="D607" s="1" t="s">
        <v>32</v>
      </c>
      <c r="E607" s="35">
        <v>45168</v>
      </c>
      <c r="F607" s="1">
        <v>88221</v>
      </c>
      <c r="G607" s="1">
        <v>13647</v>
      </c>
      <c r="H607" s="3">
        <v>4597</v>
      </c>
      <c r="I607" s="1">
        <v>23</v>
      </c>
      <c r="J607" s="2">
        <v>45191</v>
      </c>
      <c r="K607" s="8">
        <f>(F607/G607)*100</f>
        <v>646.44976918003954</v>
      </c>
      <c r="L607" s="8">
        <f>(H607/G607)*100</f>
        <v>33.685058987323217</v>
      </c>
    </row>
    <row r="608" spans="1:12" x14ac:dyDescent="0.3">
      <c r="A608" s="1" t="s">
        <v>616</v>
      </c>
      <c r="B608" s="1" t="s">
        <v>22</v>
      </c>
      <c r="C608" s="1" t="s">
        <v>18</v>
      </c>
      <c r="D608" s="1" t="s">
        <v>16</v>
      </c>
      <c r="E608" s="35">
        <v>45169</v>
      </c>
      <c r="F608" s="1">
        <v>71620</v>
      </c>
      <c r="G608" s="1">
        <v>94916</v>
      </c>
      <c r="H608" s="3">
        <v>3483</v>
      </c>
      <c r="I608" s="1">
        <v>18</v>
      </c>
      <c r="J608" s="2">
        <v>45187</v>
      </c>
      <c r="K608" s="8">
        <f>(F608/G608)*100</f>
        <v>75.45619284419908</v>
      </c>
      <c r="L608" s="8">
        <f>(H608/G608)*100</f>
        <v>3.6695604534535797</v>
      </c>
    </row>
    <row r="609" spans="1:12" x14ac:dyDescent="0.3">
      <c r="A609" s="1" t="s">
        <v>617</v>
      </c>
      <c r="B609" s="1" t="s">
        <v>10</v>
      </c>
      <c r="C609" s="1" t="s">
        <v>11</v>
      </c>
      <c r="D609" s="1" t="s">
        <v>12</v>
      </c>
      <c r="E609" s="35">
        <v>45170</v>
      </c>
      <c r="F609" s="1">
        <v>92814</v>
      </c>
      <c r="G609" s="1">
        <v>80471</v>
      </c>
      <c r="H609" s="3">
        <v>262</v>
      </c>
      <c r="I609" s="1">
        <v>25</v>
      </c>
      <c r="J609" s="2">
        <v>45195</v>
      </c>
      <c r="K609" s="8">
        <f>(F609/G609)*100</f>
        <v>115.33844490561818</v>
      </c>
      <c r="L609" s="8">
        <f>(H609/G609)*100</f>
        <v>0.32558312932609262</v>
      </c>
    </row>
    <row r="610" spans="1:12" x14ac:dyDescent="0.3">
      <c r="A610" s="1" t="s">
        <v>618</v>
      </c>
      <c r="B610" s="1" t="s">
        <v>14</v>
      </c>
      <c r="C610" s="1" t="s">
        <v>18</v>
      </c>
      <c r="D610" s="1" t="s">
        <v>19</v>
      </c>
      <c r="E610" s="35">
        <v>45171</v>
      </c>
      <c r="F610" s="1">
        <v>79868</v>
      </c>
      <c r="G610" s="1">
        <v>757159</v>
      </c>
      <c r="H610" s="3">
        <v>2806</v>
      </c>
      <c r="I610" s="1">
        <v>13</v>
      </c>
      <c r="J610" s="2">
        <v>45184</v>
      </c>
      <c r="K610" s="8">
        <f>(F610/G610)*100</f>
        <v>10.548378874186268</v>
      </c>
      <c r="L610" s="8">
        <f>(H610/G610)*100</f>
        <v>0.37059587220121532</v>
      </c>
    </row>
    <row r="611" spans="1:12" x14ac:dyDescent="0.3">
      <c r="A611" s="1" t="s">
        <v>619</v>
      </c>
      <c r="B611" s="1" t="s">
        <v>14</v>
      </c>
      <c r="C611" s="1" t="s">
        <v>25</v>
      </c>
      <c r="D611" s="1" t="s">
        <v>32</v>
      </c>
      <c r="E611" s="35">
        <v>45172</v>
      </c>
      <c r="F611" s="1">
        <v>13835</v>
      </c>
      <c r="G611" s="1">
        <v>209239</v>
      </c>
      <c r="H611" s="3">
        <v>2119</v>
      </c>
      <c r="I611" s="1">
        <v>19</v>
      </c>
      <c r="J611" s="2">
        <v>45191</v>
      </c>
      <c r="K611" s="8">
        <f>(F611/G611)*100</f>
        <v>6.6120560698531339</v>
      </c>
      <c r="L611" s="8">
        <f>(H611/G611)*100</f>
        <v>1.0127175144213079</v>
      </c>
    </row>
    <row r="612" spans="1:12" x14ac:dyDescent="0.3">
      <c r="A612" s="1" t="s">
        <v>620</v>
      </c>
      <c r="B612" s="1" t="s">
        <v>14</v>
      </c>
      <c r="C612" s="1" t="s">
        <v>15</v>
      </c>
      <c r="D612" s="1" t="s">
        <v>12</v>
      </c>
      <c r="E612" s="35">
        <v>45173</v>
      </c>
      <c r="F612" s="1">
        <v>38054</v>
      </c>
      <c r="G612" s="1">
        <v>749124</v>
      </c>
      <c r="H612" s="3">
        <v>770</v>
      </c>
      <c r="I612" s="1">
        <v>28</v>
      </c>
      <c r="J612" s="2">
        <v>45201</v>
      </c>
      <c r="K612" s="8">
        <f>(F612/G612)*100</f>
        <v>5.079799872918235</v>
      </c>
      <c r="L612" s="8">
        <f>(H612/G612)*100</f>
        <v>0.10278672155744575</v>
      </c>
    </row>
    <row r="613" spans="1:12" x14ac:dyDescent="0.3">
      <c r="A613" s="1" t="s">
        <v>621</v>
      </c>
      <c r="B613" s="1" t="s">
        <v>24</v>
      </c>
      <c r="C613" s="1" t="s">
        <v>27</v>
      </c>
      <c r="D613" s="1" t="s">
        <v>19</v>
      </c>
      <c r="E613" s="35">
        <v>45174</v>
      </c>
      <c r="F613" s="1">
        <v>86102</v>
      </c>
      <c r="G613" s="1">
        <v>372591</v>
      </c>
      <c r="H613" s="3">
        <v>2613</v>
      </c>
      <c r="I613" s="1">
        <v>25</v>
      </c>
      <c r="J613" s="2">
        <v>45199</v>
      </c>
      <c r="K613" s="8">
        <f>(F613/G613)*100</f>
        <v>23.108985455902047</v>
      </c>
      <c r="L613" s="8">
        <f>(H613/G613)*100</f>
        <v>0.7013051845052618</v>
      </c>
    </row>
    <row r="614" spans="1:12" x14ac:dyDescent="0.3">
      <c r="A614" s="1" t="s">
        <v>622</v>
      </c>
      <c r="B614" s="1" t="s">
        <v>24</v>
      </c>
      <c r="C614" s="1" t="s">
        <v>11</v>
      </c>
      <c r="D614" s="1" t="s">
        <v>32</v>
      </c>
      <c r="E614" s="35">
        <v>45175</v>
      </c>
      <c r="F614" s="1">
        <v>95974</v>
      </c>
      <c r="G614" s="1">
        <v>713139</v>
      </c>
      <c r="H614" s="3">
        <v>4106</v>
      </c>
      <c r="I614" s="1">
        <v>13</v>
      </c>
      <c r="J614" s="2">
        <v>45188</v>
      </c>
      <c r="K614" s="8">
        <f>(F614/G614)*100</f>
        <v>13.457965417681548</v>
      </c>
      <c r="L614" s="8">
        <f>(H614/G614)*100</f>
        <v>0.57576433205868705</v>
      </c>
    </row>
    <row r="615" spans="1:12" x14ac:dyDescent="0.3">
      <c r="A615" s="1" t="s">
        <v>623</v>
      </c>
      <c r="B615" s="1" t="s">
        <v>22</v>
      </c>
      <c r="C615" s="1" t="s">
        <v>25</v>
      </c>
      <c r="D615" s="1" t="s">
        <v>16</v>
      </c>
      <c r="E615" s="35">
        <v>45176</v>
      </c>
      <c r="F615" s="1">
        <v>71924</v>
      </c>
      <c r="G615" s="1">
        <v>564056</v>
      </c>
      <c r="H615" s="3">
        <v>3335</v>
      </c>
      <c r="I615" s="1">
        <v>5</v>
      </c>
      <c r="J615" s="2">
        <v>45181</v>
      </c>
      <c r="K615" s="8">
        <f>(F615/G615)*100</f>
        <v>12.751216191300156</v>
      </c>
      <c r="L615" s="8">
        <f>(H615/G615)*100</f>
        <v>0.59125335073113316</v>
      </c>
    </row>
    <row r="616" spans="1:12" x14ac:dyDescent="0.3">
      <c r="A616" s="1" t="s">
        <v>624</v>
      </c>
      <c r="B616" s="1" t="s">
        <v>10</v>
      </c>
      <c r="C616" s="1" t="s">
        <v>15</v>
      </c>
      <c r="D616" s="1" t="s">
        <v>19</v>
      </c>
      <c r="E616" s="35">
        <v>45177</v>
      </c>
      <c r="F616" s="1">
        <v>39968</v>
      </c>
      <c r="G616" s="1">
        <v>686234</v>
      </c>
      <c r="H616" s="3">
        <v>2458</v>
      </c>
      <c r="I616" s="1">
        <v>15</v>
      </c>
      <c r="J616" s="2">
        <v>45192</v>
      </c>
      <c r="K616" s="8">
        <f>(F616/G616)*100</f>
        <v>5.8242523687255368</v>
      </c>
      <c r="L616" s="8">
        <f>(H616/G616)*100</f>
        <v>0.35818685754421964</v>
      </c>
    </row>
    <row r="617" spans="1:12" x14ac:dyDescent="0.3">
      <c r="A617" s="1" t="s">
        <v>625</v>
      </c>
      <c r="B617" s="1" t="s">
        <v>10</v>
      </c>
      <c r="C617" s="1" t="s">
        <v>27</v>
      </c>
      <c r="D617" s="1" t="s">
        <v>28</v>
      </c>
      <c r="E617" s="35">
        <v>45178</v>
      </c>
      <c r="F617" s="1">
        <v>63054</v>
      </c>
      <c r="G617" s="1">
        <v>77990</v>
      </c>
      <c r="H617" s="3">
        <v>1806</v>
      </c>
      <c r="I617" s="1">
        <v>27</v>
      </c>
      <c r="J617" s="2">
        <v>45205</v>
      </c>
      <c r="K617" s="8">
        <f>(F617/G617)*100</f>
        <v>80.848826772663159</v>
      </c>
      <c r="L617" s="8">
        <f>(H617/G617)*100</f>
        <v>2.3156814976279012</v>
      </c>
    </row>
    <row r="618" spans="1:12" x14ac:dyDescent="0.3">
      <c r="A618" s="1" t="s">
        <v>626</v>
      </c>
      <c r="B618" s="1" t="s">
        <v>22</v>
      </c>
      <c r="C618" s="1" t="s">
        <v>37</v>
      </c>
      <c r="D618" s="1" t="s">
        <v>16</v>
      </c>
      <c r="E618" s="35">
        <v>45179</v>
      </c>
      <c r="F618" s="1">
        <v>74591</v>
      </c>
      <c r="G618" s="1">
        <v>394714</v>
      </c>
      <c r="H618" s="3">
        <v>821</v>
      </c>
      <c r="I618" s="1">
        <v>18</v>
      </c>
      <c r="J618" s="2">
        <v>45197</v>
      </c>
      <c r="K618" s="8">
        <f>(F618/G618)*100</f>
        <v>18.897480200854289</v>
      </c>
      <c r="L618" s="8">
        <f>(H618/G618)*100</f>
        <v>0.20799870285827204</v>
      </c>
    </row>
    <row r="619" spans="1:12" x14ac:dyDescent="0.3">
      <c r="A619" s="1" t="s">
        <v>627</v>
      </c>
      <c r="B619" s="1" t="s">
        <v>22</v>
      </c>
      <c r="C619" s="1" t="s">
        <v>27</v>
      </c>
      <c r="D619" s="1" t="s">
        <v>28</v>
      </c>
      <c r="E619" s="35">
        <v>45180</v>
      </c>
      <c r="F619" s="1">
        <v>92169</v>
      </c>
      <c r="G619" s="1">
        <v>844230</v>
      </c>
      <c r="H619" s="3">
        <v>2849</v>
      </c>
      <c r="I619" s="1">
        <v>21</v>
      </c>
      <c r="J619" s="2">
        <v>45201</v>
      </c>
      <c r="K619" s="8">
        <f>(F619/G619)*100</f>
        <v>10.917522476102484</v>
      </c>
      <c r="L619" s="8">
        <f>(H619/G619)*100</f>
        <v>0.33746727787451286</v>
      </c>
    </row>
    <row r="620" spans="1:12" x14ac:dyDescent="0.3">
      <c r="A620" s="1" t="s">
        <v>628</v>
      </c>
      <c r="B620" s="1" t="s">
        <v>22</v>
      </c>
      <c r="C620" s="1" t="s">
        <v>11</v>
      </c>
      <c r="D620" s="1" t="s">
        <v>16</v>
      </c>
      <c r="E620" s="35">
        <v>45181</v>
      </c>
      <c r="F620" s="1">
        <v>2255</v>
      </c>
      <c r="G620" s="1">
        <v>496534</v>
      </c>
      <c r="H620" s="3">
        <v>2410</v>
      </c>
      <c r="I620" s="1">
        <v>3</v>
      </c>
      <c r="J620" s="2">
        <v>45184</v>
      </c>
      <c r="K620" s="8">
        <f>(F620/G620)*100</f>
        <v>0.45414815501053302</v>
      </c>
      <c r="L620" s="8">
        <f>(H620/G620)*100</f>
        <v>0.48536454704008181</v>
      </c>
    </row>
    <row r="621" spans="1:12" x14ac:dyDescent="0.3">
      <c r="A621" s="1" t="s">
        <v>629</v>
      </c>
      <c r="B621" s="1" t="s">
        <v>10</v>
      </c>
      <c r="C621" s="1" t="s">
        <v>25</v>
      </c>
      <c r="D621" s="1" t="s">
        <v>19</v>
      </c>
      <c r="E621" s="35">
        <v>45182</v>
      </c>
      <c r="F621" s="1">
        <v>52298</v>
      </c>
      <c r="G621" s="1">
        <v>19409</v>
      </c>
      <c r="H621" s="3">
        <v>4487</v>
      </c>
      <c r="I621" s="1">
        <v>23</v>
      </c>
      <c r="J621" s="2">
        <v>45205</v>
      </c>
      <c r="K621" s="8">
        <f>(F621/G621)*100</f>
        <v>269.45231593590603</v>
      </c>
      <c r="L621" s="8">
        <f>(H621/G621)*100</f>
        <v>23.118141068576435</v>
      </c>
    </row>
    <row r="622" spans="1:12" x14ac:dyDescent="0.3">
      <c r="A622" s="1" t="s">
        <v>630</v>
      </c>
      <c r="B622" s="1" t="s">
        <v>14</v>
      </c>
      <c r="C622" s="1" t="s">
        <v>18</v>
      </c>
      <c r="D622" s="1" t="s">
        <v>19</v>
      </c>
      <c r="E622" s="35">
        <v>45183</v>
      </c>
      <c r="F622" s="1">
        <v>77720</v>
      </c>
      <c r="G622" s="1">
        <v>264319</v>
      </c>
      <c r="H622" s="3">
        <v>3253</v>
      </c>
      <c r="I622" s="1">
        <v>1</v>
      </c>
      <c r="J622" s="2">
        <v>45184</v>
      </c>
      <c r="K622" s="8">
        <f>(F622/G622)*100</f>
        <v>29.403864270067608</v>
      </c>
      <c r="L622" s="8">
        <f>(H622/G622)*100</f>
        <v>1.2307098619471168</v>
      </c>
    </row>
    <row r="623" spans="1:12" x14ac:dyDescent="0.3">
      <c r="A623" s="1" t="s">
        <v>631</v>
      </c>
      <c r="B623" s="1" t="s">
        <v>24</v>
      </c>
      <c r="C623" s="1" t="s">
        <v>30</v>
      </c>
      <c r="D623" s="1" t="s">
        <v>19</v>
      </c>
      <c r="E623" s="35">
        <v>45184</v>
      </c>
      <c r="F623" s="1">
        <v>34160</v>
      </c>
      <c r="G623" s="1">
        <v>176292</v>
      </c>
      <c r="H623" s="3">
        <v>3952</v>
      </c>
      <c r="I623" s="1">
        <v>19</v>
      </c>
      <c r="J623" s="2">
        <v>45203</v>
      </c>
      <c r="K623" s="8">
        <f>(F623/G623)*100</f>
        <v>19.376942799446372</v>
      </c>
      <c r="L623" s="8">
        <f>(H623/G623)*100</f>
        <v>2.2417353027930931</v>
      </c>
    </row>
    <row r="624" spans="1:12" x14ac:dyDescent="0.3">
      <c r="A624" s="1" t="s">
        <v>632</v>
      </c>
      <c r="B624" s="1" t="s">
        <v>14</v>
      </c>
      <c r="C624" s="1" t="s">
        <v>18</v>
      </c>
      <c r="D624" s="1" t="s">
        <v>12</v>
      </c>
      <c r="E624" s="35">
        <v>45185</v>
      </c>
      <c r="F624" s="1">
        <v>43478</v>
      </c>
      <c r="G624" s="1">
        <v>504582</v>
      </c>
      <c r="H624" s="3">
        <v>1074</v>
      </c>
      <c r="I624" s="1">
        <v>20</v>
      </c>
      <c r="J624" s="2">
        <v>45205</v>
      </c>
      <c r="K624" s="8">
        <f>(F624/G624)*100</f>
        <v>8.6166371372740205</v>
      </c>
      <c r="L624" s="8">
        <f>(H624/G624)*100</f>
        <v>0.21284944766162883</v>
      </c>
    </row>
    <row r="625" spans="1:12" x14ac:dyDescent="0.3">
      <c r="A625" s="1" t="s">
        <v>633</v>
      </c>
      <c r="B625" s="1" t="s">
        <v>24</v>
      </c>
      <c r="C625" s="1" t="s">
        <v>37</v>
      </c>
      <c r="D625" s="1" t="s">
        <v>16</v>
      </c>
      <c r="E625" s="35">
        <v>45186</v>
      </c>
      <c r="F625" s="1">
        <v>37204</v>
      </c>
      <c r="G625" s="1">
        <v>438587</v>
      </c>
      <c r="H625" s="3">
        <v>1975</v>
      </c>
      <c r="I625" s="1">
        <v>17</v>
      </c>
      <c r="J625" s="2">
        <v>45203</v>
      </c>
      <c r="K625" s="8">
        <f>(F625/G625)*100</f>
        <v>8.4826955655320369</v>
      </c>
      <c r="L625" s="8">
        <f>(H625/G625)*100</f>
        <v>0.45030974470287538</v>
      </c>
    </row>
    <row r="626" spans="1:12" x14ac:dyDescent="0.3">
      <c r="A626" s="1" t="s">
        <v>634</v>
      </c>
      <c r="B626" s="1" t="s">
        <v>14</v>
      </c>
      <c r="C626" s="1" t="s">
        <v>30</v>
      </c>
      <c r="D626" s="1" t="s">
        <v>12</v>
      </c>
      <c r="E626" s="35">
        <v>45187</v>
      </c>
      <c r="F626" s="1">
        <v>20248</v>
      </c>
      <c r="G626" s="1">
        <v>980619</v>
      </c>
      <c r="H626" s="3">
        <v>4282</v>
      </c>
      <c r="I626" s="1">
        <v>9</v>
      </c>
      <c r="J626" s="2">
        <v>45196</v>
      </c>
      <c r="K626" s="8">
        <f>(F626/G626)*100</f>
        <v>2.0648182423550838</v>
      </c>
      <c r="L626" s="8">
        <f>(H626/G626)*100</f>
        <v>0.43666296492317608</v>
      </c>
    </row>
    <row r="627" spans="1:12" x14ac:dyDescent="0.3">
      <c r="A627" s="1" t="s">
        <v>635</v>
      </c>
      <c r="B627" s="1" t="s">
        <v>10</v>
      </c>
      <c r="C627" s="1" t="s">
        <v>18</v>
      </c>
      <c r="D627" s="1" t="s">
        <v>32</v>
      </c>
      <c r="E627" s="35">
        <v>45188</v>
      </c>
      <c r="F627" s="1">
        <v>83255</v>
      </c>
      <c r="G627" s="1">
        <v>322738</v>
      </c>
      <c r="H627" s="3">
        <v>2473</v>
      </c>
      <c r="I627" s="1">
        <v>19</v>
      </c>
      <c r="J627" s="2">
        <v>45207</v>
      </c>
      <c r="K627" s="8">
        <f>(F627/G627)*100</f>
        <v>25.796466483649276</v>
      </c>
      <c r="L627" s="8">
        <f>(H627/G627)*100</f>
        <v>0.76625622021577877</v>
      </c>
    </row>
    <row r="628" spans="1:12" x14ac:dyDescent="0.3">
      <c r="A628" s="1" t="s">
        <v>636</v>
      </c>
      <c r="B628" s="1" t="s">
        <v>22</v>
      </c>
      <c r="C628" s="1" t="s">
        <v>30</v>
      </c>
      <c r="D628" s="1" t="s">
        <v>16</v>
      </c>
      <c r="E628" s="35">
        <v>45189</v>
      </c>
      <c r="F628" s="1">
        <v>88783</v>
      </c>
      <c r="G628" s="1">
        <v>831942</v>
      </c>
      <c r="H628" s="3">
        <v>1184</v>
      </c>
      <c r="I628" s="1">
        <v>5</v>
      </c>
      <c r="J628" s="2">
        <v>45194</v>
      </c>
      <c r="K628" s="8">
        <f>(F628/G628)*100</f>
        <v>10.671777599880761</v>
      </c>
      <c r="L628" s="8">
        <f>(H628/G628)*100</f>
        <v>0.14231761348747868</v>
      </c>
    </row>
    <row r="629" spans="1:12" x14ac:dyDescent="0.3">
      <c r="A629" s="1" t="s">
        <v>637</v>
      </c>
      <c r="B629" s="1" t="s">
        <v>14</v>
      </c>
      <c r="C629" s="1" t="s">
        <v>25</v>
      </c>
      <c r="D629" s="1" t="s">
        <v>19</v>
      </c>
      <c r="E629" s="35">
        <v>45190</v>
      </c>
      <c r="F629" s="1">
        <v>94692</v>
      </c>
      <c r="G629" s="1">
        <v>548977</v>
      </c>
      <c r="H629" s="3">
        <v>3891</v>
      </c>
      <c r="I629" s="1">
        <v>12</v>
      </c>
      <c r="J629" s="2">
        <v>45202</v>
      </c>
      <c r="K629" s="8">
        <f>(F629/G629)*100</f>
        <v>17.248810059437826</v>
      </c>
      <c r="L629" s="8">
        <f>(H629/G629)*100</f>
        <v>0.70877286297968767</v>
      </c>
    </row>
    <row r="630" spans="1:12" x14ac:dyDescent="0.3">
      <c r="A630" s="1" t="s">
        <v>638</v>
      </c>
      <c r="B630" s="1" t="s">
        <v>10</v>
      </c>
      <c r="C630" s="1" t="s">
        <v>15</v>
      </c>
      <c r="D630" s="1" t="s">
        <v>28</v>
      </c>
      <c r="E630" s="35">
        <v>45191</v>
      </c>
      <c r="F630" s="1">
        <v>67979</v>
      </c>
      <c r="G630" s="1">
        <v>453224</v>
      </c>
      <c r="H630" s="3">
        <v>1425</v>
      </c>
      <c r="I630" s="1">
        <v>28</v>
      </c>
      <c r="J630" s="2">
        <v>45219</v>
      </c>
      <c r="K630" s="8">
        <f>(F630/G630)*100</f>
        <v>14.998985049335428</v>
      </c>
      <c r="L630" s="8">
        <f>(H630/G630)*100</f>
        <v>0.31441406456851356</v>
      </c>
    </row>
    <row r="631" spans="1:12" x14ac:dyDescent="0.3">
      <c r="A631" s="1" t="s">
        <v>639</v>
      </c>
      <c r="B631" s="1" t="s">
        <v>24</v>
      </c>
      <c r="C631" s="1" t="s">
        <v>37</v>
      </c>
      <c r="D631" s="1" t="s">
        <v>28</v>
      </c>
      <c r="E631" s="35">
        <v>45192</v>
      </c>
      <c r="F631" s="1">
        <v>26570</v>
      </c>
      <c r="G631" s="1">
        <v>487527</v>
      </c>
      <c r="H631" s="3">
        <v>1400</v>
      </c>
      <c r="I631" s="1">
        <v>25</v>
      </c>
      <c r="J631" s="2">
        <v>45217</v>
      </c>
      <c r="K631" s="8">
        <f>(F631/G631)*100</f>
        <v>5.4499545666188745</v>
      </c>
      <c r="L631" s="8">
        <f>(H631/G631)*100</f>
        <v>0.28716358273490494</v>
      </c>
    </row>
    <row r="632" spans="1:12" x14ac:dyDescent="0.3">
      <c r="A632" s="1" t="s">
        <v>640</v>
      </c>
      <c r="B632" s="1" t="s">
        <v>10</v>
      </c>
      <c r="C632" s="1" t="s">
        <v>30</v>
      </c>
      <c r="D632" s="1" t="s">
        <v>32</v>
      </c>
      <c r="E632" s="35">
        <v>45193</v>
      </c>
      <c r="F632" s="1">
        <v>39638</v>
      </c>
      <c r="G632" s="1">
        <v>819677</v>
      </c>
      <c r="H632" s="3">
        <v>3096</v>
      </c>
      <c r="I632" s="1">
        <v>8</v>
      </c>
      <c r="J632" s="2">
        <v>45201</v>
      </c>
      <c r="K632" s="8">
        <f>(F632/G632)*100</f>
        <v>4.8358072753047852</v>
      </c>
      <c r="L632" s="8">
        <f>(H632/G632)*100</f>
        <v>0.37770975640404697</v>
      </c>
    </row>
    <row r="633" spans="1:12" x14ac:dyDescent="0.3">
      <c r="A633" s="1" t="s">
        <v>641</v>
      </c>
      <c r="B633" s="1" t="s">
        <v>22</v>
      </c>
      <c r="C633" s="1" t="s">
        <v>25</v>
      </c>
      <c r="D633" s="1" t="s">
        <v>16</v>
      </c>
      <c r="E633" s="35">
        <v>45194</v>
      </c>
      <c r="F633" s="1">
        <v>89865</v>
      </c>
      <c r="G633" s="1">
        <v>378757</v>
      </c>
      <c r="H633" s="3">
        <v>2662</v>
      </c>
      <c r="I633" s="1">
        <v>14</v>
      </c>
      <c r="J633" s="2">
        <v>45208</v>
      </c>
      <c r="K633" s="8">
        <f>(F633/G633)*100</f>
        <v>23.726294167500534</v>
      </c>
      <c r="L633" s="8">
        <f>(H633/G633)*100</f>
        <v>0.70282529431799279</v>
      </c>
    </row>
    <row r="634" spans="1:12" x14ac:dyDescent="0.3">
      <c r="A634" s="1" t="s">
        <v>642</v>
      </c>
      <c r="B634" s="1" t="s">
        <v>22</v>
      </c>
      <c r="C634" s="1" t="s">
        <v>15</v>
      </c>
      <c r="D634" s="1" t="s">
        <v>28</v>
      </c>
      <c r="E634" s="35">
        <v>45195</v>
      </c>
      <c r="F634" s="1">
        <v>63257</v>
      </c>
      <c r="G634" s="1">
        <v>498101</v>
      </c>
      <c r="H634" s="3">
        <v>189</v>
      </c>
      <c r="I634" s="1">
        <v>23</v>
      </c>
      <c r="J634" s="2">
        <v>45218</v>
      </c>
      <c r="K634" s="8">
        <f>(F634/G634)*100</f>
        <v>12.699633206919883</v>
      </c>
      <c r="L634" s="8">
        <f>(H634/G634)*100</f>
        <v>3.7944111736374755E-2</v>
      </c>
    </row>
    <row r="635" spans="1:12" x14ac:dyDescent="0.3">
      <c r="A635" s="1" t="s">
        <v>643</v>
      </c>
      <c r="B635" s="1" t="s">
        <v>22</v>
      </c>
      <c r="C635" s="1" t="s">
        <v>25</v>
      </c>
      <c r="D635" s="1" t="s">
        <v>16</v>
      </c>
      <c r="E635" s="35">
        <v>45196</v>
      </c>
      <c r="F635" s="1">
        <v>84029</v>
      </c>
      <c r="G635" s="1">
        <v>662165</v>
      </c>
      <c r="H635" s="3">
        <v>4681</v>
      </c>
      <c r="I635" s="1">
        <v>1</v>
      </c>
      <c r="J635" s="2">
        <v>45197</v>
      </c>
      <c r="K635" s="8">
        <f>(F635/G635)*100</f>
        <v>12.690039491667484</v>
      </c>
      <c r="L635" s="8">
        <f>(H635/G635)*100</f>
        <v>0.70692350094009804</v>
      </c>
    </row>
    <row r="636" spans="1:12" x14ac:dyDescent="0.3">
      <c r="A636" s="1" t="s">
        <v>644</v>
      </c>
      <c r="B636" s="1" t="s">
        <v>22</v>
      </c>
      <c r="C636" s="1" t="s">
        <v>18</v>
      </c>
      <c r="D636" s="1" t="s">
        <v>19</v>
      </c>
      <c r="E636" s="35">
        <v>45197</v>
      </c>
      <c r="F636" s="1">
        <v>65204</v>
      </c>
      <c r="G636" s="1">
        <v>493613</v>
      </c>
      <c r="H636" s="3">
        <v>2795</v>
      </c>
      <c r="I636" s="1">
        <v>9</v>
      </c>
      <c r="J636" s="2">
        <v>45206</v>
      </c>
      <c r="K636" s="8">
        <f>(F636/G636)*100</f>
        <v>13.209538646672595</v>
      </c>
      <c r="L636" s="8">
        <f>(H636/G636)*100</f>
        <v>0.56623306112278249</v>
      </c>
    </row>
    <row r="637" spans="1:12" x14ac:dyDescent="0.3">
      <c r="A637" s="1" t="s">
        <v>645</v>
      </c>
      <c r="B637" s="1" t="s">
        <v>14</v>
      </c>
      <c r="C637" s="1" t="s">
        <v>25</v>
      </c>
      <c r="D637" s="1" t="s">
        <v>16</v>
      </c>
      <c r="E637" s="35">
        <v>45198</v>
      </c>
      <c r="F637" s="1">
        <v>116</v>
      </c>
      <c r="G637" s="1">
        <v>624967</v>
      </c>
      <c r="H637" s="3">
        <v>4174</v>
      </c>
      <c r="I637" s="1">
        <v>17</v>
      </c>
      <c r="J637" s="2">
        <v>45215</v>
      </c>
      <c r="K637" s="8">
        <f>(F637/G637)*100</f>
        <v>1.8560980019745044E-2</v>
      </c>
      <c r="L637" s="8">
        <f>(H637/G637)*100</f>
        <v>0.66787526381392937</v>
      </c>
    </row>
    <row r="638" spans="1:12" x14ac:dyDescent="0.3">
      <c r="A638" s="1" t="s">
        <v>646</v>
      </c>
      <c r="B638" s="1" t="s">
        <v>10</v>
      </c>
      <c r="C638" s="1" t="s">
        <v>15</v>
      </c>
      <c r="D638" s="1" t="s">
        <v>16</v>
      </c>
      <c r="E638" s="35">
        <v>45199</v>
      </c>
      <c r="F638" s="1">
        <v>53711</v>
      </c>
      <c r="G638" s="1">
        <v>329891</v>
      </c>
      <c r="H638" s="3">
        <v>2371</v>
      </c>
      <c r="I638" s="1">
        <v>15</v>
      </c>
      <c r="J638" s="2">
        <v>45214</v>
      </c>
      <c r="K638" s="8">
        <f>(F638/G638)*100</f>
        <v>16.28143841450661</v>
      </c>
      <c r="L638" s="8">
        <f>(H638/G638)*100</f>
        <v>0.71872224462019274</v>
      </c>
    </row>
    <row r="639" spans="1:12" x14ac:dyDescent="0.3">
      <c r="A639" s="1" t="s">
        <v>647</v>
      </c>
      <c r="B639" s="1" t="s">
        <v>10</v>
      </c>
      <c r="C639" s="1" t="s">
        <v>18</v>
      </c>
      <c r="D639" s="1" t="s">
        <v>28</v>
      </c>
      <c r="E639" s="35">
        <v>45200</v>
      </c>
      <c r="F639" s="1">
        <v>5037</v>
      </c>
      <c r="G639" s="1">
        <v>308413</v>
      </c>
      <c r="H639" s="3">
        <v>2288</v>
      </c>
      <c r="I639" s="1">
        <v>13</v>
      </c>
      <c r="J639" s="2">
        <v>45213</v>
      </c>
      <c r="K639" s="8">
        <f>(F639/G639)*100</f>
        <v>1.6331996381475489</v>
      </c>
      <c r="L639" s="8">
        <f>(H639/G639)*100</f>
        <v>0.74186237285717527</v>
      </c>
    </row>
    <row r="640" spans="1:12" x14ac:dyDescent="0.3">
      <c r="A640" s="1" t="s">
        <v>648</v>
      </c>
      <c r="B640" s="1" t="s">
        <v>10</v>
      </c>
      <c r="C640" s="1" t="s">
        <v>25</v>
      </c>
      <c r="D640" s="1" t="s">
        <v>32</v>
      </c>
      <c r="E640" s="35">
        <v>45201</v>
      </c>
      <c r="F640" s="1">
        <v>36077</v>
      </c>
      <c r="G640" s="1">
        <v>923221</v>
      </c>
      <c r="H640" s="3">
        <v>3896</v>
      </c>
      <c r="I640" s="1">
        <v>18</v>
      </c>
      <c r="J640" s="2">
        <v>45219</v>
      </c>
      <c r="K640" s="8">
        <f>(F640/G640)*100</f>
        <v>3.9077317348717151</v>
      </c>
      <c r="L640" s="8">
        <f>(H640/G640)*100</f>
        <v>0.42200079937523083</v>
      </c>
    </row>
    <row r="641" spans="1:12" x14ac:dyDescent="0.3">
      <c r="A641" s="1" t="s">
        <v>649</v>
      </c>
      <c r="B641" s="1" t="s">
        <v>10</v>
      </c>
      <c r="C641" s="1" t="s">
        <v>15</v>
      </c>
      <c r="D641" s="1" t="s">
        <v>28</v>
      </c>
      <c r="E641" s="35">
        <v>45202</v>
      </c>
      <c r="F641" s="1">
        <v>31782</v>
      </c>
      <c r="G641" s="1">
        <v>574023</v>
      </c>
      <c r="H641" s="3">
        <v>911</v>
      </c>
      <c r="I641" s="1">
        <v>17</v>
      </c>
      <c r="J641" s="2">
        <v>45219</v>
      </c>
      <c r="K641" s="8">
        <f>(F641/G641)*100</f>
        <v>5.5367119435980783</v>
      </c>
      <c r="L641" s="8">
        <f>(H641/G641)*100</f>
        <v>0.15870444215649895</v>
      </c>
    </row>
    <row r="642" spans="1:12" x14ac:dyDescent="0.3">
      <c r="A642" s="1" t="s">
        <v>650</v>
      </c>
      <c r="B642" s="1" t="s">
        <v>10</v>
      </c>
      <c r="C642" s="1" t="s">
        <v>25</v>
      </c>
      <c r="D642" s="1" t="s">
        <v>28</v>
      </c>
      <c r="E642" s="35">
        <v>45203</v>
      </c>
      <c r="F642" s="1">
        <v>39843</v>
      </c>
      <c r="G642" s="1">
        <v>746564</v>
      </c>
      <c r="H642" s="3">
        <v>3382</v>
      </c>
      <c r="I642" s="1">
        <v>29</v>
      </c>
      <c r="J642" s="2">
        <v>45232</v>
      </c>
      <c r="K642" s="8">
        <f>(F642/G642)*100</f>
        <v>5.3368498882882109</v>
      </c>
      <c r="L642" s="8">
        <f>(H642/G642)*100</f>
        <v>0.45300871727005321</v>
      </c>
    </row>
    <row r="643" spans="1:12" x14ac:dyDescent="0.3">
      <c r="A643" s="1" t="s">
        <v>651</v>
      </c>
      <c r="B643" s="1" t="s">
        <v>22</v>
      </c>
      <c r="C643" s="1" t="s">
        <v>27</v>
      </c>
      <c r="D643" s="1" t="s">
        <v>16</v>
      </c>
      <c r="E643" s="35">
        <v>45204</v>
      </c>
      <c r="F643" s="1">
        <v>72946</v>
      </c>
      <c r="G643" s="1">
        <v>935966</v>
      </c>
      <c r="H643" s="3">
        <v>1105</v>
      </c>
      <c r="I643" s="1">
        <v>22</v>
      </c>
      <c r="J643" s="2">
        <v>45226</v>
      </c>
      <c r="K643" s="8">
        <f>(F643/G643)*100</f>
        <v>7.7936591713801571</v>
      </c>
      <c r="L643" s="8">
        <f>(H643/G643)*100</f>
        <v>0.11805984405416436</v>
      </c>
    </row>
    <row r="644" spans="1:12" x14ac:dyDescent="0.3">
      <c r="A644" s="1" t="s">
        <v>652</v>
      </c>
      <c r="B644" s="1" t="s">
        <v>22</v>
      </c>
      <c r="C644" s="1" t="s">
        <v>15</v>
      </c>
      <c r="D644" s="1" t="s">
        <v>28</v>
      </c>
      <c r="E644" s="35">
        <v>45205</v>
      </c>
      <c r="F644" s="1">
        <v>26122</v>
      </c>
      <c r="G644" s="1">
        <v>436973</v>
      </c>
      <c r="H644" s="3">
        <v>1078</v>
      </c>
      <c r="I644" s="1">
        <v>13</v>
      </c>
      <c r="J644" s="2">
        <v>45218</v>
      </c>
      <c r="K644" s="8">
        <f>(F644/G644)*100</f>
        <v>5.9779437173463803</v>
      </c>
      <c r="L644" s="8">
        <f>(H644/G644)*100</f>
        <v>0.24669716435569244</v>
      </c>
    </row>
    <row r="645" spans="1:12" x14ac:dyDescent="0.3">
      <c r="A645" s="1" t="s">
        <v>653</v>
      </c>
      <c r="B645" s="1" t="s">
        <v>14</v>
      </c>
      <c r="C645" s="1" t="s">
        <v>18</v>
      </c>
      <c r="D645" s="1" t="s">
        <v>19</v>
      </c>
      <c r="E645" s="35">
        <v>45206</v>
      </c>
      <c r="F645" s="1">
        <v>19094</v>
      </c>
      <c r="G645" s="1">
        <v>37973</v>
      </c>
      <c r="H645" s="3">
        <v>4915</v>
      </c>
      <c r="I645" s="1">
        <v>7</v>
      </c>
      <c r="J645" s="2">
        <v>45213</v>
      </c>
      <c r="K645" s="8">
        <f>(F645/G645)*100</f>
        <v>50.283095883917518</v>
      </c>
      <c r="L645" s="8">
        <f>(H645/G645)*100</f>
        <v>12.943407157717326</v>
      </c>
    </row>
    <row r="646" spans="1:12" x14ac:dyDescent="0.3">
      <c r="A646" s="1" t="s">
        <v>654</v>
      </c>
      <c r="B646" s="1" t="s">
        <v>10</v>
      </c>
      <c r="C646" s="1" t="s">
        <v>37</v>
      </c>
      <c r="D646" s="1" t="s">
        <v>16</v>
      </c>
      <c r="E646" s="35">
        <v>45207</v>
      </c>
      <c r="F646" s="1">
        <v>17413</v>
      </c>
      <c r="G646" s="1">
        <v>120682</v>
      </c>
      <c r="H646" s="3">
        <v>4790</v>
      </c>
      <c r="I646" s="1">
        <v>16</v>
      </c>
      <c r="J646" s="2">
        <v>45223</v>
      </c>
      <c r="K646" s="8">
        <f>(F646/G646)*100</f>
        <v>14.428829485755953</v>
      </c>
      <c r="L646" s="8">
        <f>(H646/G646)*100</f>
        <v>3.969108897764372</v>
      </c>
    </row>
    <row r="647" spans="1:12" x14ac:dyDescent="0.3">
      <c r="A647" s="1" t="s">
        <v>655</v>
      </c>
      <c r="B647" s="1" t="s">
        <v>22</v>
      </c>
      <c r="C647" s="1" t="s">
        <v>15</v>
      </c>
      <c r="D647" s="1" t="s">
        <v>32</v>
      </c>
      <c r="E647" s="35">
        <v>45208</v>
      </c>
      <c r="F647" s="1">
        <v>66871</v>
      </c>
      <c r="G647" s="1">
        <v>486180</v>
      </c>
      <c r="H647" s="3">
        <v>3393</v>
      </c>
      <c r="I647" s="1">
        <v>19</v>
      </c>
      <c r="J647" s="2">
        <v>45227</v>
      </c>
      <c r="K647" s="8">
        <f>(F647/G647)*100</f>
        <v>13.754370809165332</v>
      </c>
      <c r="L647" s="8">
        <f>(H647/G647)*100</f>
        <v>0.69788967049241013</v>
      </c>
    </row>
    <row r="648" spans="1:12" x14ac:dyDescent="0.3">
      <c r="A648" s="1" t="s">
        <v>656</v>
      </c>
      <c r="B648" s="1" t="s">
        <v>14</v>
      </c>
      <c r="C648" s="1" t="s">
        <v>15</v>
      </c>
      <c r="D648" s="1" t="s">
        <v>12</v>
      </c>
      <c r="E648" s="35">
        <v>45209</v>
      </c>
      <c r="F648" s="1">
        <v>64672</v>
      </c>
      <c r="G648" s="1">
        <v>937339</v>
      </c>
      <c r="H648" s="3">
        <v>2514</v>
      </c>
      <c r="I648" s="1">
        <v>17</v>
      </c>
      <c r="J648" s="2">
        <v>45226</v>
      </c>
      <c r="K648" s="8">
        <f>(F648/G648)*100</f>
        <v>6.8995315462175366</v>
      </c>
      <c r="L648" s="8">
        <f>(H648/G648)*100</f>
        <v>0.26820605992069035</v>
      </c>
    </row>
    <row r="649" spans="1:12" x14ac:dyDescent="0.3">
      <c r="A649" s="1" t="s">
        <v>657</v>
      </c>
      <c r="B649" s="1" t="s">
        <v>14</v>
      </c>
      <c r="C649" s="1" t="s">
        <v>15</v>
      </c>
      <c r="D649" s="1" t="s">
        <v>32</v>
      </c>
      <c r="E649" s="35">
        <v>45210</v>
      </c>
      <c r="F649" s="1">
        <v>64583</v>
      </c>
      <c r="G649" s="1">
        <v>764352</v>
      </c>
      <c r="H649" s="3">
        <v>633</v>
      </c>
      <c r="I649" s="1">
        <v>21</v>
      </c>
      <c r="J649" s="2">
        <v>45231</v>
      </c>
      <c r="K649" s="8">
        <f>(F649/G649)*100</f>
        <v>8.4493793435485216</v>
      </c>
      <c r="L649" s="8">
        <f>(H649/G649)*100</f>
        <v>8.2815247425270036E-2</v>
      </c>
    </row>
    <row r="650" spans="1:12" x14ac:dyDescent="0.3">
      <c r="A650" s="1" t="s">
        <v>658</v>
      </c>
      <c r="B650" s="1" t="s">
        <v>22</v>
      </c>
      <c r="C650" s="1" t="s">
        <v>11</v>
      </c>
      <c r="D650" s="1" t="s">
        <v>28</v>
      </c>
      <c r="E650" s="35">
        <v>45211</v>
      </c>
      <c r="F650" s="1">
        <v>71458</v>
      </c>
      <c r="G650" s="1">
        <v>598952</v>
      </c>
      <c r="H650" s="3">
        <v>3927</v>
      </c>
      <c r="I650" s="1">
        <v>4</v>
      </c>
      <c r="J650" s="2">
        <v>45215</v>
      </c>
      <c r="K650" s="8">
        <f>(F650/G650)*100</f>
        <v>11.930505282560205</v>
      </c>
      <c r="L650" s="8">
        <f>(H650/G650)*100</f>
        <v>0.65564519360482976</v>
      </c>
    </row>
    <row r="651" spans="1:12" x14ac:dyDescent="0.3">
      <c r="A651" s="1" t="s">
        <v>659</v>
      </c>
      <c r="B651" s="1" t="s">
        <v>14</v>
      </c>
      <c r="C651" s="1" t="s">
        <v>37</v>
      </c>
      <c r="D651" s="1" t="s">
        <v>12</v>
      </c>
      <c r="E651" s="35">
        <v>45212</v>
      </c>
      <c r="F651" s="1">
        <v>75451</v>
      </c>
      <c r="G651" s="1">
        <v>839845</v>
      </c>
      <c r="H651" s="3">
        <v>2582</v>
      </c>
      <c r="I651" s="1">
        <v>6</v>
      </c>
      <c r="J651" s="2">
        <v>45218</v>
      </c>
      <c r="K651" s="8">
        <f>(F651/G651)*100</f>
        <v>8.9839196518405178</v>
      </c>
      <c r="L651" s="8">
        <f>(H651/G651)*100</f>
        <v>0.30743768195321752</v>
      </c>
    </row>
    <row r="652" spans="1:12" x14ac:dyDescent="0.3">
      <c r="A652" s="1" t="s">
        <v>660</v>
      </c>
      <c r="B652" s="1" t="s">
        <v>10</v>
      </c>
      <c r="C652" s="1" t="s">
        <v>15</v>
      </c>
      <c r="D652" s="1" t="s">
        <v>16</v>
      </c>
      <c r="E652" s="35">
        <v>45213</v>
      </c>
      <c r="F652" s="1">
        <v>52386</v>
      </c>
      <c r="G652" s="1">
        <v>308168</v>
      </c>
      <c r="H652" s="3">
        <v>4576</v>
      </c>
      <c r="I652" s="1">
        <v>4</v>
      </c>
      <c r="J652" s="2">
        <v>45217</v>
      </c>
      <c r="K652" s="8">
        <f>(F652/G652)*100</f>
        <v>16.999169284286495</v>
      </c>
      <c r="L652" s="8">
        <f>(H652/G652)*100</f>
        <v>1.4849043378936164</v>
      </c>
    </row>
    <row r="653" spans="1:12" x14ac:dyDescent="0.3">
      <c r="A653" s="1" t="s">
        <v>661</v>
      </c>
      <c r="B653" s="1" t="s">
        <v>14</v>
      </c>
      <c r="C653" s="1" t="s">
        <v>30</v>
      </c>
      <c r="D653" s="1" t="s">
        <v>32</v>
      </c>
      <c r="E653" s="35">
        <v>45214</v>
      </c>
      <c r="F653" s="1">
        <v>33202</v>
      </c>
      <c r="G653" s="1">
        <v>647302</v>
      </c>
      <c r="H653" s="3">
        <v>374</v>
      </c>
      <c r="I653" s="1">
        <v>21</v>
      </c>
      <c r="J653" s="2">
        <v>45235</v>
      </c>
      <c r="K653" s="8">
        <f>(F653/G653)*100</f>
        <v>5.1292905011880077</v>
      </c>
      <c r="L653" s="8">
        <f>(H653/G653)*100</f>
        <v>5.7778285869655895E-2</v>
      </c>
    </row>
    <row r="654" spans="1:12" x14ac:dyDescent="0.3">
      <c r="A654" s="1" t="s">
        <v>662</v>
      </c>
      <c r="B654" s="1" t="s">
        <v>22</v>
      </c>
      <c r="C654" s="1" t="s">
        <v>25</v>
      </c>
      <c r="D654" s="1" t="s">
        <v>19</v>
      </c>
      <c r="E654" s="35">
        <v>45215</v>
      </c>
      <c r="F654" s="1">
        <v>17818</v>
      </c>
      <c r="G654" s="1">
        <v>875497</v>
      </c>
      <c r="H654" s="3">
        <v>2324</v>
      </c>
      <c r="I654" s="1">
        <v>26</v>
      </c>
      <c r="J654" s="2">
        <v>45241</v>
      </c>
      <c r="K654" s="8">
        <f>(F654/G654)*100</f>
        <v>2.0351868710001288</v>
      </c>
      <c r="L654" s="8">
        <f>(H654/G654)*100</f>
        <v>0.26544922484029071</v>
      </c>
    </row>
    <row r="655" spans="1:12" x14ac:dyDescent="0.3">
      <c r="A655" s="1" t="s">
        <v>663</v>
      </c>
      <c r="B655" s="1" t="s">
        <v>10</v>
      </c>
      <c r="C655" s="1" t="s">
        <v>18</v>
      </c>
      <c r="D655" s="1" t="s">
        <v>32</v>
      </c>
      <c r="E655" s="35">
        <v>45216</v>
      </c>
      <c r="F655" s="1">
        <v>38813</v>
      </c>
      <c r="G655" s="1">
        <v>990310</v>
      </c>
      <c r="H655" s="3">
        <v>695</v>
      </c>
      <c r="I655" s="1">
        <v>4</v>
      </c>
      <c r="J655" s="2">
        <v>45220</v>
      </c>
      <c r="K655" s="8">
        <f>(F655/G655)*100</f>
        <v>3.9192778019004151</v>
      </c>
      <c r="L655" s="8">
        <f>(H655/G655)*100</f>
        <v>7.0180044632488822E-2</v>
      </c>
    </row>
    <row r="656" spans="1:12" x14ac:dyDescent="0.3">
      <c r="A656" s="1" t="s">
        <v>664</v>
      </c>
      <c r="B656" s="1" t="s">
        <v>22</v>
      </c>
      <c r="C656" s="1" t="s">
        <v>11</v>
      </c>
      <c r="D656" s="1" t="s">
        <v>32</v>
      </c>
      <c r="E656" s="35">
        <v>45217</v>
      </c>
      <c r="F656" s="1">
        <v>5199</v>
      </c>
      <c r="G656" s="1">
        <v>88483</v>
      </c>
      <c r="H656" s="3">
        <v>4454</v>
      </c>
      <c r="I656" s="1">
        <v>24</v>
      </c>
      <c r="J656" s="2">
        <v>45241</v>
      </c>
      <c r="K656" s="8">
        <f>(F656/G656)*100</f>
        <v>5.8757049376716433</v>
      </c>
      <c r="L656" s="8">
        <f>(H656/G656)*100</f>
        <v>5.0337352937852469</v>
      </c>
    </row>
    <row r="657" spans="1:12" x14ac:dyDescent="0.3">
      <c r="A657" s="1" t="s">
        <v>665</v>
      </c>
      <c r="B657" s="1" t="s">
        <v>10</v>
      </c>
      <c r="C657" s="1" t="s">
        <v>15</v>
      </c>
      <c r="D657" s="1" t="s">
        <v>16</v>
      </c>
      <c r="E657" s="35">
        <v>45218</v>
      </c>
      <c r="F657" s="1">
        <v>36610</v>
      </c>
      <c r="G657" s="1">
        <v>473145</v>
      </c>
      <c r="H657" s="3">
        <v>3926</v>
      </c>
      <c r="I657" s="1">
        <v>3</v>
      </c>
      <c r="J657" s="2">
        <v>45221</v>
      </c>
      <c r="K657" s="8">
        <f>(F657/G657)*100</f>
        <v>7.7375857295332295</v>
      </c>
      <c r="L657" s="8">
        <f>(H657/G657)*100</f>
        <v>0.82976677339927507</v>
      </c>
    </row>
    <row r="658" spans="1:12" x14ac:dyDescent="0.3">
      <c r="A658" s="1" t="s">
        <v>666</v>
      </c>
      <c r="B658" s="1" t="s">
        <v>22</v>
      </c>
      <c r="C658" s="1" t="s">
        <v>18</v>
      </c>
      <c r="D658" s="1" t="s">
        <v>12</v>
      </c>
      <c r="E658" s="35">
        <v>45219</v>
      </c>
      <c r="F658" s="1">
        <v>32878</v>
      </c>
      <c r="G658" s="1">
        <v>357018</v>
      </c>
      <c r="H658" s="3">
        <v>2723</v>
      </c>
      <c r="I658" s="1">
        <v>14</v>
      </c>
      <c r="J658" s="2">
        <v>45233</v>
      </c>
      <c r="K658" s="8">
        <f>(F658/G658)*100</f>
        <v>9.2090594871967255</v>
      </c>
      <c r="L658" s="8">
        <f>(H658/G658)*100</f>
        <v>0.76270664224212781</v>
      </c>
    </row>
    <row r="659" spans="1:12" x14ac:dyDescent="0.3">
      <c r="A659" s="1" t="s">
        <v>667</v>
      </c>
      <c r="B659" s="1" t="s">
        <v>14</v>
      </c>
      <c r="C659" s="1" t="s">
        <v>30</v>
      </c>
      <c r="D659" s="1" t="s">
        <v>32</v>
      </c>
      <c r="E659" s="35">
        <v>45220</v>
      </c>
      <c r="F659" s="1">
        <v>2859</v>
      </c>
      <c r="G659" s="1">
        <v>129471</v>
      </c>
      <c r="H659" s="3">
        <v>1878</v>
      </c>
      <c r="I659" s="1">
        <v>7</v>
      </c>
      <c r="J659" s="2">
        <v>45227</v>
      </c>
      <c r="K659" s="8">
        <f>(F659/G659)*100</f>
        <v>2.2082165118057326</v>
      </c>
      <c r="L659" s="8">
        <f>(H659/G659)*100</f>
        <v>1.4505178765901243</v>
      </c>
    </row>
    <row r="660" spans="1:12" x14ac:dyDescent="0.3">
      <c r="A660" s="1" t="s">
        <v>668</v>
      </c>
      <c r="B660" s="1" t="s">
        <v>22</v>
      </c>
      <c r="C660" s="1" t="s">
        <v>37</v>
      </c>
      <c r="D660" s="1" t="s">
        <v>19</v>
      </c>
      <c r="E660" s="35">
        <v>45221</v>
      </c>
      <c r="F660" s="1">
        <v>78783</v>
      </c>
      <c r="G660" s="1">
        <v>618445</v>
      </c>
      <c r="H660" s="3">
        <v>1930</v>
      </c>
      <c r="I660" s="1">
        <v>13</v>
      </c>
      <c r="J660" s="2">
        <v>45234</v>
      </c>
      <c r="K660" s="8">
        <f>(F660/G660)*100</f>
        <v>12.738885430393973</v>
      </c>
      <c r="L660" s="8">
        <f>(H660/G660)*100</f>
        <v>0.31207302185319635</v>
      </c>
    </row>
    <row r="661" spans="1:12" x14ac:dyDescent="0.3">
      <c r="A661" s="1" t="s">
        <v>669</v>
      </c>
      <c r="B661" s="1" t="s">
        <v>22</v>
      </c>
      <c r="C661" s="1" t="s">
        <v>30</v>
      </c>
      <c r="D661" s="1" t="s">
        <v>19</v>
      </c>
      <c r="E661" s="35">
        <v>45222</v>
      </c>
      <c r="F661" s="1">
        <v>26787</v>
      </c>
      <c r="G661" s="1">
        <v>816211</v>
      </c>
      <c r="H661" s="3">
        <v>3851</v>
      </c>
      <c r="I661" s="1">
        <v>14</v>
      </c>
      <c r="J661" s="2">
        <v>45236</v>
      </c>
      <c r="K661" s="8">
        <f>(F661/G661)*100</f>
        <v>3.2818719669301202</v>
      </c>
      <c r="L661" s="8">
        <f>(H661/G661)*100</f>
        <v>0.47181427351505922</v>
      </c>
    </row>
    <row r="662" spans="1:12" x14ac:dyDescent="0.3">
      <c r="A662" s="1" t="s">
        <v>670</v>
      </c>
      <c r="B662" s="1" t="s">
        <v>10</v>
      </c>
      <c r="C662" s="1" t="s">
        <v>27</v>
      </c>
      <c r="D662" s="1" t="s">
        <v>28</v>
      </c>
      <c r="E662" s="35">
        <v>45223</v>
      </c>
      <c r="F662" s="1">
        <v>8826</v>
      </c>
      <c r="G662" s="1">
        <v>112776</v>
      </c>
      <c r="H662" s="3">
        <v>4115</v>
      </c>
      <c r="I662" s="1">
        <v>20</v>
      </c>
      <c r="J662" s="2">
        <v>45243</v>
      </c>
      <c r="K662" s="8">
        <f>(F662/G662)*100</f>
        <v>7.8261332198340066</v>
      </c>
      <c r="L662" s="8">
        <f>(H662/G662)*100</f>
        <v>3.6488259913456762</v>
      </c>
    </row>
    <row r="663" spans="1:12" x14ac:dyDescent="0.3">
      <c r="A663" s="1" t="s">
        <v>671</v>
      </c>
      <c r="B663" s="1" t="s">
        <v>22</v>
      </c>
      <c r="C663" s="1" t="s">
        <v>37</v>
      </c>
      <c r="D663" s="1" t="s">
        <v>28</v>
      </c>
      <c r="E663" s="35">
        <v>45224</v>
      </c>
      <c r="F663" s="1">
        <v>79948</v>
      </c>
      <c r="G663" s="1">
        <v>511885</v>
      </c>
      <c r="H663" s="3">
        <v>2760</v>
      </c>
      <c r="I663" s="1">
        <v>6</v>
      </c>
      <c r="J663" s="2">
        <v>45230</v>
      </c>
      <c r="K663" s="8">
        <f>(F663/G663)*100</f>
        <v>15.618351778231437</v>
      </c>
      <c r="L663" s="8">
        <f>(H663/G663)*100</f>
        <v>0.53918360569268486</v>
      </c>
    </row>
    <row r="664" spans="1:12" x14ac:dyDescent="0.3">
      <c r="A664" s="1" t="s">
        <v>672</v>
      </c>
      <c r="B664" s="1" t="s">
        <v>22</v>
      </c>
      <c r="C664" s="1" t="s">
        <v>25</v>
      </c>
      <c r="D664" s="1" t="s">
        <v>19</v>
      </c>
      <c r="E664" s="35">
        <v>45225</v>
      </c>
      <c r="F664" s="1">
        <v>38689</v>
      </c>
      <c r="G664" s="1">
        <v>658425</v>
      </c>
      <c r="H664" s="3">
        <v>3448</v>
      </c>
      <c r="I664" s="1">
        <v>1</v>
      </c>
      <c r="J664" s="2">
        <v>45226</v>
      </c>
      <c r="K664" s="8">
        <f>(F664/G664)*100</f>
        <v>5.875991950487907</v>
      </c>
      <c r="L664" s="8">
        <f>(H664/G664)*100</f>
        <v>0.52367391882142988</v>
      </c>
    </row>
    <row r="665" spans="1:12" x14ac:dyDescent="0.3">
      <c r="A665" s="1" t="s">
        <v>673</v>
      </c>
      <c r="B665" s="1" t="s">
        <v>22</v>
      </c>
      <c r="C665" s="1" t="s">
        <v>15</v>
      </c>
      <c r="D665" s="1" t="s">
        <v>12</v>
      </c>
      <c r="E665" s="35">
        <v>45226</v>
      </c>
      <c r="F665" s="1">
        <v>27354</v>
      </c>
      <c r="G665" s="1">
        <v>635553</v>
      </c>
      <c r="H665" s="3">
        <v>2713</v>
      </c>
      <c r="I665" s="1">
        <v>10</v>
      </c>
      <c r="J665" s="2">
        <v>45236</v>
      </c>
      <c r="K665" s="8">
        <f>(F665/G665)*100</f>
        <v>4.3039683551175125</v>
      </c>
      <c r="L665" s="8">
        <f>(H665/G665)*100</f>
        <v>0.42687234581537653</v>
      </c>
    </row>
    <row r="666" spans="1:12" x14ac:dyDescent="0.3">
      <c r="A666" s="1" t="s">
        <v>674</v>
      </c>
      <c r="B666" s="1" t="s">
        <v>10</v>
      </c>
      <c r="C666" s="1" t="s">
        <v>30</v>
      </c>
      <c r="D666" s="1" t="s">
        <v>32</v>
      </c>
      <c r="E666" s="35">
        <v>45227</v>
      </c>
      <c r="F666" s="1">
        <v>9855</v>
      </c>
      <c r="G666" s="1">
        <v>929410</v>
      </c>
      <c r="H666" s="3">
        <v>4094</v>
      </c>
      <c r="I666" s="1">
        <v>4</v>
      </c>
      <c r="J666" s="2">
        <v>45231</v>
      </c>
      <c r="K666" s="8">
        <f>(F666/G666)*100</f>
        <v>1.0603501145888252</v>
      </c>
      <c r="L666" s="8">
        <f>(H666/G666)*100</f>
        <v>0.44049450726805173</v>
      </c>
    </row>
    <row r="667" spans="1:12" x14ac:dyDescent="0.3">
      <c r="A667" s="1" t="s">
        <v>675</v>
      </c>
      <c r="B667" s="1" t="s">
        <v>10</v>
      </c>
      <c r="C667" s="1" t="s">
        <v>37</v>
      </c>
      <c r="D667" s="1" t="s">
        <v>19</v>
      </c>
      <c r="E667" s="35">
        <v>45228</v>
      </c>
      <c r="F667" s="1">
        <v>78843</v>
      </c>
      <c r="G667" s="1">
        <v>268984</v>
      </c>
      <c r="H667" s="3">
        <v>4293</v>
      </c>
      <c r="I667" s="1">
        <v>17</v>
      </c>
      <c r="J667" s="2">
        <v>45245</v>
      </c>
      <c r="K667" s="8">
        <f>(F667/G667)*100</f>
        <v>29.31140885703239</v>
      </c>
      <c r="L667" s="8">
        <f>(H667/G667)*100</f>
        <v>1.5960057103768255</v>
      </c>
    </row>
    <row r="668" spans="1:12" x14ac:dyDescent="0.3">
      <c r="A668" s="1" t="s">
        <v>676</v>
      </c>
      <c r="B668" s="1" t="s">
        <v>24</v>
      </c>
      <c r="C668" s="1" t="s">
        <v>30</v>
      </c>
      <c r="D668" s="1" t="s">
        <v>19</v>
      </c>
      <c r="E668" s="35">
        <v>45229</v>
      </c>
      <c r="F668" s="1">
        <v>11621</v>
      </c>
      <c r="G668" s="1">
        <v>633536</v>
      </c>
      <c r="H668" s="3">
        <v>1719</v>
      </c>
      <c r="I668" s="1">
        <v>26</v>
      </c>
      <c r="J668" s="2">
        <v>45255</v>
      </c>
      <c r="K668" s="8">
        <f>(F668/G668)*100</f>
        <v>1.8343077583594305</v>
      </c>
      <c r="L668" s="8">
        <f>(H668/G668)*100</f>
        <v>0.27133422567936155</v>
      </c>
    </row>
    <row r="669" spans="1:12" x14ac:dyDescent="0.3">
      <c r="A669" s="1" t="s">
        <v>677</v>
      </c>
      <c r="B669" s="1" t="s">
        <v>22</v>
      </c>
      <c r="C669" s="1" t="s">
        <v>37</v>
      </c>
      <c r="D669" s="1" t="s">
        <v>19</v>
      </c>
      <c r="E669" s="35">
        <v>45230</v>
      </c>
      <c r="F669" s="1">
        <v>47984</v>
      </c>
      <c r="G669" s="1">
        <v>772471</v>
      </c>
      <c r="H669" s="3">
        <v>1124</v>
      </c>
      <c r="I669" s="1">
        <v>12</v>
      </c>
      <c r="J669" s="2">
        <v>45242</v>
      </c>
      <c r="K669" s="8">
        <f>(F669/G669)*100</f>
        <v>6.2117542276667992</v>
      </c>
      <c r="L669" s="8">
        <f>(H669/G669)*100</f>
        <v>0.14550708052470579</v>
      </c>
    </row>
    <row r="670" spans="1:12" x14ac:dyDescent="0.3">
      <c r="A670" s="1" t="s">
        <v>678</v>
      </c>
      <c r="B670" s="1" t="s">
        <v>14</v>
      </c>
      <c r="C670" s="1" t="s">
        <v>11</v>
      </c>
      <c r="D670" s="1" t="s">
        <v>19</v>
      </c>
      <c r="E670" s="35">
        <v>45231</v>
      </c>
      <c r="F670" s="1">
        <v>2492</v>
      </c>
      <c r="G670" s="1">
        <v>286806</v>
      </c>
      <c r="H670" s="3">
        <v>2970</v>
      </c>
      <c r="I670" s="1">
        <v>18</v>
      </c>
      <c r="J670" s="2">
        <v>45249</v>
      </c>
      <c r="K670" s="8">
        <f>(F670/G670)*100</f>
        <v>0.86888000948376254</v>
      </c>
      <c r="L670" s="8">
        <f>(H670/G670)*100</f>
        <v>1.0355431894730236</v>
      </c>
    </row>
    <row r="671" spans="1:12" x14ac:dyDescent="0.3">
      <c r="A671" s="1" t="s">
        <v>679</v>
      </c>
      <c r="B671" s="1" t="s">
        <v>22</v>
      </c>
      <c r="C671" s="1" t="s">
        <v>27</v>
      </c>
      <c r="D671" s="1" t="s">
        <v>19</v>
      </c>
      <c r="E671" s="35">
        <v>45232</v>
      </c>
      <c r="F671" s="1">
        <v>61321</v>
      </c>
      <c r="G671" s="1">
        <v>427231</v>
      </c>
      <c r="H671" s="3">
        <v>2462</v>
      </c>
      <c r="I671" s="1">
        <v>8</v>
      </c>
      <c r="J671" s="2">
        <v>45240</v>
      </c>
      <c r="K671" s="8">
        <f>(F671/G671)*100</f>
        <v>14.353125124347249</v>
      </c>
      <c r="L671" s="8">
        <f>(H671/G671)*100</f>
        <v>0.57626904414707736</v>
      </c>
    </row>
    <row r="672" spans="1:12" x14ac:dyDescent="0.3">
      <c r="A672" s="1" t="s">
        <v>680</v>
      </c>
      <c r="B672" s="1" t="s">
        <v>14</v>
      </c>
      <c r="C672" s="1" t="s">
        <v>25</v>
      </c>
      <c r="D672" s="1" t="s">
        <v>19</v>
      </c>
      <c r="E672" s="35">
        <v>45233</v>
      </c>
      <c r="F672" s="1">
        <v>56506</v>
      </c>
      <c r="G672" s="1">
        <v>319503</v>
      </c>
      <c r="H672" s="3">
        <v>1934</v>
      </c>
      <c r="I672" s="1">
        <v>7</v>
      </c>
      <c r="J672" s="2">
        <v>45240</v>
      </c>
      <c r="K672" s="8">
        <f>(F672/G672)*100</f>
        <v>17.685592936529549</v>
      </c>
      <c r="L672" s="8">
        <f>(H672/G672)*100</f>
        <v>0.60531513006137649</v>
      </c>
    </row>
    <row r="673" spans="1:12" x14ac:dyDescent="0.3">
      <c r="A673" s="1" t="s">
        <v>681</v>
      </c>
      <c r="B673" s="1" t="s">
        <v>24</v>
      </c>
      <c r="C673" s="1" t="s">
        <v>30</v>
      </c>
      <c r="D673" s="1" t="s">
        <v>16</v>
      </c>
      <c r="E673" s="35">
        <v>45234</v>
      </c>
      <c r="F673" s="1">
        <v>10041</v>
      </c>
      <c r="G673" s="1">
        <v>945543</v>
      </c>
      <c r="H673" s="3">
        <v>1203</v>
      </c>
      <c r="I673" s="1">
        <v>16</v>
      </c>
      <c r="J673" s="2">
        <v>45250</v>
      </c>
      <c r="K673" s="8">
        <f>(F673/G673)*100</f>
        <v>1.061929494480949</v>
      </c>
      <c r="L673" s="8">
        <f>(H673/G673)*100</f>
        <v>0.12722848141226789</v>
      </c>
    </row>
    <row r="674" spans="1:12" x14ac:dyDescent="0.3">
      <c r="A674" s="1" t="s">
        <v>682</v>
      </c>
      <c r="B674" s="1" t="s">
        <v>10</v>
      </c>
      <c r="C674" s="1" t="s">
        <v>11</v>
      </c>
      <c r="D674" s="1" t="s">
        <v>32</v>
      </c>
      <c r="E674" s="35">
        <v>45235</v>
      </c>
      <c r="F674" s="1">
        <v>70444</v>
      </c>
      <c r="G674" s="1">
        <v>451367</v>
      </c>
      <c r="H674" s="3">
        <v>171</v>
      </c>
      <c r="I674" s="1">
        <v>23</v>
      </c>
      <c r="J674" s="2">
        <v>45258</v>
      </c>
      <c r="K674" s="8">
        <f>(F674/G674)*100</f>
        <v>15.60681219495444</v>
      </c>
      <c r="L674" s="8">
        <f>(H674/G674)*100</f>
        <v>3.7884914049985931E-2</v>
      </c>
    </row>
    <row r="675" spans="1:12" x14ac:dyDescent="0.3">
      <c r="A675" s="1" t="s">
        <v>683</v>
      </c>
      <c r="B675" s="1" t="s">
        <v>14</v>
      </c>
      <c r="C675" s="1" t="s">
        <v>25</v>
      </c>
      <c r="D675" s="1" t="s">
        <v>16</v>
      </c>
      <c r="E675" s="35">
        <v>45236</v>
      </c>
      <c r="F675" s="1">
        <v>43497</v>
      </c>
      <c r="G675" s="1">
        <v>518351</v>
      </c>
      <c r="H675" s="3">
        <v>3734</v>
      </c>
      <c r="I675" s="1">
        <v>13</v>
      </c>
      <c r="J675" s="2">
        <v>45249</v>
      </c>
      <c r="K675" s="8">
        <f>(F675/G675)*100</f>
        <v>8.3914181703131661</v>
      </c>
      <c r="L675" s="8">
        <f>(H675/G675)*100</f>
        <v>0.72036129958271511</v>
      </c>
    </row>
    <row r="676" spans="1:12" x14ac:dyDescent="0.3">
      <c r="A676" s="1" t="s">
        <v>684</v>
      </c>
      <c r="B676" s="1" t="s">
        <v>22</v>
      </c>
      <c r="C676" s="1" t="s">
        <v>37</v>
      </c>
      <c r="D676" s="1" t="s">
        <v>28</v>
      </c>
      <c r="E676" s="35">
        <v>45237</v>
      </c>
      <c r="F676" s="1">
        <v>12921</v>
      </c>
      <c r="G676" s="1">
        <v>436110</v>
      </c>
      <c r="H676" s="3">
        <v>3101</v>
      </c>
      <c r="I676" s="1">
        <v>5</v>
      </c>
      <c r="J676" s="2">
        <v>45242</v>
      </c>
      <c r="K676" s="8">
        <f>(F676/G676)*100</f>
        <v>2.9627846185595379</v>
      </c>
      <c r="L676" s="8">
        <f>(H676/G676)*100</f>
        <v>0.71105913645639862</v>
      </c>
    </row>
    <row r="677" spans="1:12" x14ac:dyDescent="0.3">
      <c r="A677" s="1" t="s">
        <v>685</v>
      </c>
      <c r="B677" s="1" t="s">
        <v>24</v>
      </c>
      <c r="C677" s="1" t="s">
        <v>27</v>
      </c>
      <c r="D677" s="1" t="s">
        <v>16</v>
      </c>
      <c r="E677" s="35">
        <v>45238</v>
      </c>
      <c r="F677" s="1">
        <v>89779</v>
      </c>
      <c r="G677" s="1">
        <v>15069</v>
      </c>
      <c r="H677" s="3">
        <v>403</v>
      </c>
      <c r="I677" s="1">
        <v>21</v>
      </c>
      <c r="J677" s="2">
        <v>45259</v>
      </c>
      <c r="K677" s="8">
        <f>(F677/G677)*100</f>
        <v>595.7860508328356</v>
      </c>
      <c r="L677" s="8">
        <f>(H677/G677)*100</f>
        <v>2.674364589554715</v>
      </c>
    </row>
    <row r="678" spans="1:12" x14ac:dyDescent="0.3">
      <c r="A678" s="1" t="s">
        <v>686</v>
      </c>
      <c r="B678" s="1" t="s">
        <v>14</v>
      </c>
      <c r="C678" s="1" t="s">
        <v>15</v>
      </c>
      <c r="D678" s="1" t="s">
        <v>32</v>
      </c>
      <c r="E678" s="35">
        <v>45239</v>
      </c>
      <c r="F678" s="1">
        <v>53581</v>
      </c>
      <c r="G678" s="1">
        <v>88386</v>
      </c>
      <c r="H678" s="3">
        <v>3931</v>
      </c>
      <c r="I678" s="1">
        <v>29</v>
      </c>
      <c r="J678" s="2">
        <v>45268</v>
      </c>
      <c r="K678" s="8">
        <f>(F678/G678)*100</f>
        <v>60.621591654786954</v>
      </c>
      <c r="L678" s="8">
        <f>(H678/G678)*100</f>
        <v>4.447536940239404</v>
      </c>
    </row>
    <row r="679" spans="1:12" x14ac:dyDescent="0.3">
      <c r="A679" s="1" t="s">
        <v>687</v>
      </c>
      <c r="B679" s="1" t="s">
        <v>22</v>
      </c>
      <c r="C679" s="1" t="s">
        <v>18</v>
      </c>
      <c r="D679" s="1" t="s">
        <v>28</v>
      </c>
      <c r="E679" s="35">
        <v>45240</v>
      </c>
      <c r="F679" s="1">
        <v>87450</v>
      </c>
      <c r="G679" s="1">
        <v>16100</v>
      </c>
      <c r="H679" s="3">
        <v>373</v>
      </c>
      <c r="I679" s="1">
        <v>7</v>
      </c>
      <c r="J679" s="2">
        <v>45247</v>
      </c>
      <c r="K679" s="8">
        <f>(F679/G679)*100</f>
        <v>543.16770186335407</v>
      </c>
      <c r="L679" s="8">
        <f>(H679/G679)*100</f>
        <v>2.3167701863354035</v>
      </c>
    </row>
    <row r="680" spans="1:12" x14ac:dyDescent="0.3">
      <c r="A680" s="1" t="s">
        <v>688</v>
      </c>
      <c r="B680" s="1" t="s">
        <v>22</v>
      </c>
      <c r="C680" s="1" t="s">
        <v>11</v>
      </c>
      <c r="D680" s="1" t="s">
        <v>19</v>
      </c>
      <c r="E680" s="35">
        <v>45241</v>
      </c>
      <c r="F680" s="1">
        <v>58314</v>
      </c>
      <c r="G680" s="1">
        <v>154027</v>
      </c>
      <c r="H680" s="3">
        <v>4913</v>
      </c>
      <c r="I680" s="1">
        <v>13</v>
      </c>
      <c r="J680" s="2">
        <v>45254</v>
      </c>
      <c r="K680" s="8">
        <f>(F680/G680)*100</f>
        <v>37.859596044849283</v>
      </c>
      <c r="L680" s="8">
        <f>(H680/G680)*100</f>
        <v>3.1897005070539581</v>
      </c>
    </row>
    <row r="681" spans="1:12" x14ac:dyDescent="0.3">
      <c r="A681" s="1" t="s">
        <v>689</v>
      </c>
      <c r="B681" s="1" t="s">
        <v>22</v>
      </c>
      <c r="C681" s="1" t="s">
        <v>30</v>
      </c>
      <c r="D681" s="1" t="s">
        <v>16</v>
      </c>
      <c r="E681" s="35">
        <v>45242</v>
      </c>
      <c r="F681" s="1">
        <v>90567</v>
      </c>
      <c r="G681" s="1">
        <v>447275</v>
      </c>
      <c r="H681" s="3">
        <v>2713</v>
      </c>
      <c r="I681" s="1">
        <v>23</v>
      </c>
      <c r="J681" s="2">
        <v>45265</v>
      </c>
      <c r="K681" s="8">
        <f>(F681/G681)*100</f>
        <v>20.248616622883013</v>
      </c>
      <c r="L681" s="8">
        <f>(H681/G681)*100</f>
        <v>0.60656195852663353</v>
      </c>
    </row>
    <row r="682" spans="1:12" x14ac:dyDescent="0.3">
      <c r="A682" s="1" t="s">
        <v>690</v>
      </c>
      <c r="B682" s="1" t="s">
        <v>22</v>
      </c>
      <c r="C682" s="1" t="s">
        <v>25</v>
      </c>
      <c r="D682" s="1" t="s">
        <v>16</v>
      </c>
      <c r="E682" s="35">
        <v>45243</v>
      </c>
      <c r="F682" s="1">
        <v>52098</v>
      </c>
      <c r="G682" s="1">
        <v>959483</v>
      </c>
      <c r="H682" s="3">
        <v>929</v>
      </c>
      <c r="I682" s="1">
        <v>19</v>
      </c>
      <c r="J682" s="2">
        <v>45262</v>
      </c>
      <c r="K682" s="8">
        <f>(F682/G682)*100</f>
        <v>5.4297991730963444</v>
      </c>
      <c r="L682" s="8">
        <f>(H682/G682)*100</f>
        <v>9.6822976540491087E-2</v>
      </c>
    </row>
    <row r="683" spans="1:12" x14ac:dyDescent="0.3">
      <c r="A683" s="1" t="s">
        <v>691</v>
      </c>
      <c r="B683" s="1" t="s">
        <v>22</v>
      </c>
      <c r="C683" s="1" t="s">
        <v>18</v>
      </c>
      <c r="D683" s="1" t="s">
        <v>28</v>
      </c>
      <c r="E683" s="35">
        <v>45244</v>
      </c>
      <c r="F683" s="1">
        <v>45897</v>
      </c>
      <c r="G683" s="1">
        <v>617278</v>
      </c>
      <c r="H683" s="3">
        <v>4681</v>
      </c>
      <c r="I683" s="1">
        <v>15</v>
      </c>
      <c r="J683" s="2">
        <v>45259</v>
      </c>
      <c r="K683" s="8">
        <f>(F683/G683)*100</f>
        <v>7.4353856771179272</v>
      </c>
      <c r="L683" s="8">
        <f>(H683/G683)*100</f>
        <v>0.7583293102945512</v>
      </c>
    </row>
    <row r="684" spans="1:12" x14ac:dyDescent="0.3">
      <c r="A684" s="1" t="s">
        <v>692</v>
      </c>
      <c r="B684" s="1" t="s">
        <v>14</v>
      </c>
      <c r="C684" s="1" t="s">
        <v>37</v>
      </c>
      <c r="D684" s="1" t="s">
        <v>32</v>
      </c>
      <c r="E684" s="35">
        <v>45245</v>
      </c>
      <c r="F684" s="1">
        <v>96933</v>
      </c>
      <c r="G684" s="1">
        <v>669930</v>
      </c>
      <c r="H684" s="3">
        <v>4463</v>
      </c>
      <c r="I684" s="1">
        <v>6</v>
      </c>
      <c r="J684" s="2">
        <v>45251</v>
      </c>
      <c r="K684" s="8">
        <f>(F684/G684)*100</f>
        <v>14.469123639783261</v>
      </c>
      <c r="L684" s="8">
        <f>(H684/G684)*100</f>
        <v>0.66618900482139931</v>
      </c>
    </row>
    <row r="685" spans="1:12" x14ac:dyDescent="0.3">
      <c r="A685" s="1" t="s">
        <v>693</v>
      </c>
      <c r="B685" s="1" t="s">
        <v>14</v>
      </c>
      <c r="C685" s="1" t="s">
        <v>27</v>
      </c>
      <c r="D685" s="1" t="s">
        <v>12</v>
      </c>
      <c r="E685" s="35">
        <v>45246</v>
      </c>
      <c r="F685" s="1">
        <v>204</v>
      </c>
      <c r="G685" s="1">
        <v>925032</v>
      </c>
      <c r="H685" s="3">
        <v>3030</v>
      </c>
      <c r="I685" s="1">
        <v>10</v>
      </c>
      <c r="J685" s="2">
        <v>45256</v>
      </c>
      <c r="K685" s="8">
        <f>(F685/G685)*100</f>
        <v>2.2053291129387954E-2</v>
      </c>
      <c r="L685" s="8">
        <f>(H685/G685)*100</f>
        <v>0.32755623589237992</v>
      </c>
    </row>
    <row r="686" spans="1:12" x14ac:dyDescent="0.3">
      <c r="A686" s="1" t="s">
        <v>694</v>
      </c>
      <c r="B686" s="1" t="s">
        <v>22</v>
      </c>
      <c r="C686" s="1" t="s">
        <v>25</v>
      </c>
      <c r="D686" s="1" t="s">
        <v>12</v>
      </c>
      <c r="E686" s="35">
        <v>45247</v>
      </c>
      <c r="F686" s="1">
        <v>73846</v>
      </c>
      <c r="G686" s="1">
        <v>605780</v>
      </c>
      <c r="H686" s="3">
        <v>326</v>
      </c>
      <c r="I686" s="1">
        <v>15</v>
      </c>
      <c r="J686" s="2">
        <v>45262</v>
      </c>
      <c r="K686" s="8">
        <f>(F686/G686)*100</f>
        <v>12.190234078378289</v>
      </c>
      <c r="L686" s="8">
        <f>(H686/G686)*100</f>
        <v>5.3814916306249787E-2</v>
      </c>
    </row>
    <row r="687" spans="1:12" x14ac:dyDescent="0.3">
      <c r="A687" s="1" t="s">
        <v>695</v>
      </c>
      <c r="B687" s="1" t="s">
        <v>14</v>
      </c>
      <c r="C687" s="1" t="s">
        <v>30</v>
      </c>
      <c r="D687" s="1" t="s">
        <v>16</v>
      </c>
      <c r="E687" s="35">
        <v>45248</v>
      </c>
      <c r="F687" s="1">
        <v>59391</v>
      </c>
      <c r="G687" s="1">
        <v>401179</v>
      </c>
      <c r="H687" s="3">
        <v>545</v>
      </c>
      <c r="I687" s="1">
        <v>1</v>
      </c>
      <c r="J687" s="2">
        <v>45249</v>
      </c>
      <c r="K687" s="8">
        <f>(F687/G687)*100</f>
        <v>14.804114871416498</v>
      </c>
      <c r="L687" s="8">
        <f>(H687/G687)*100</f>
        <v>0.13584958335306685</v>
      </c>
    </row>
    <row r="688" spans="1:12" x14ac:dyDescent="0.3">
      <c r="A688" s="1" t="s">
        <v>696</v>
      </c>
      <c r="B688" s="1" t="s">
        <v>24</v>
      </c>
      <c r="C688" s="1" t="s">
        <v>15</v>
      </c>
      <c r="D688" s="1" t="s">
        <v>32</v>
      </c>
      <c r="E688" s="35">
        <v>45249</v>
      </c>
      <c r="F688" s="1">
        <v>16867</v>
      </c>
      <c r="G688" s="1">
        <v>564531</v>
      </c>
      <c r="H688" s="3">
        <v>2855</v>
      </c>
      <c r="I688" s="1">
        <v>27</v>
      </c>
      <c r="J688" s="2">
        <v>45276</v>
      </c>
      <c r="K688" s="8">
        <f>(F688/G688)*100</f>
        <v>2.9877898645069978</v>
      </c>
      <c r="L688" s="8">
        <f>(H688/G688)*100</f>
        <v>0.50572953478196947</v>
      </c>
    </row>
    <row r="689" spans="1:12" x14ac:dyDescent="0.3">
      <c r="A689" s="1" t="s">
        <v>697</v>
      </c>
      <c r="B689" s="1" t="s">
        <v>10</v>
      </c>
      <c r="C689" s="1" t="s">
        <v>15</v>
      </c>
      <c r="D689" s="1" t="s">
        <v>19</v>
      </c>
      <c r="E689" s="35">
        <v>45250</v>
      </c>
      <c r="F689" s="1">
        <v>51380</v>
      </c>
      <c r="G689" s="1">
        <v>902542</v>
      </c>
      <c r="H689" s="3">
        <v>2563</v>
      </c>
      <c r="I689" s="1">
        <v>29</v>
      </c>
      <c r="J689" s="2">
        <v>45279</v>
      </c>
      <c r="K689" s="8">
        <f>(F689/G689)*100</f>
        <v>5.6928098636960938</v>
      </c>
      <c r="L689" s="8">
        <f>(H689/G689)*100</f>
        <v>0.28397570417775569</v>
      </c>
    </row>
    <row r="690" spans="1:12" x14ac:dyDescent="0.3">
      <c r="A690" s="1" t="s">
        <v>698</v>
      </c>
      <c r="B690" s="1" t="s">
        <v>14</v>
      </c>
      <c r="C690" s="1" t="s">
        <v>25</v>
      </c>
      <c r="D690" s="1" t="s">
        <v>19</v>
      </c>
      <c r="E690" s="35">
        <v>45251</v>
      </c>
      <c r="F690" s="1">
        <v>28925</v>
      </c>
      <c r="G690" s="1">
        <v>375700</v>
      </c>
      <c r="H690" s="3">
        <v>2035</v>
      </c>
      <c r="I690" s="1">
        <v>12</v>
      </c>
      <c r="J690" s="2">
        <v>45263</v>
      </c>
      <c r="K690" s="8">
        <f>(F690/G690)*100</f>
        <v>7.6989619377162626</v>
      </c>
      <c r="L690" s="8">
        <f>(H690/G690)*100</f>
        <v>0.54165557625765237</v>
      </c>
    </row>
    <row r="691" spans="1:12" x14ac:dyDescent="0.3">
      <c r="A691" s="1" t="s">
        <v>699</v>
      </c>
      <c r="B691" s="1" t="s">
        <v>22</v>
      </c>
      <c r="C691" s="1" t="s">
        <v>18</v>
      </c>
      <c r="D691" s="1" t="s">
        <v>19</v>
      </c>
      <c r="E691" s="35">
        <v>45252</v>
      </c>
      <c r="F691" s="1">
        <v>453</v>
      </c>
      <c r="G691" s="1">
        <v>354128</v>
      </c>
      <c r="H691" s="3">
        <v>3233</v>
      </c>
      <c r="I691" s="1">
        <v>7</v>
      </c>
      <c r="J691" s="2">
        <v>45259</v>
      </c>
      <c r="K691" s="8">
        <f>(F691/G691)*100</f>
        <v>0.1279198481904848</v>
      </c>
      <c r="L691" s="8">
        <f>(H691/G691)*100</f>
        <v>0.91294673112546876</v>
      </c>
    </row>
    <row r="692" spans="1:12" x14ac:dyDescent="0.3">
      <c r="A692" s="1" t="s">
        <v>700</v>
      </c>
      <c r="B692" s="1" t="s">
        <v>10</v>
      </c>
      <c r="C692" s="1" t="s">
        <v>15</v>
      </c>
      <c r="D692" s="1" t="s">
        <v>19</v>
      </c>
      <c r="E692" s="35">
        <v>45253</v>
      </c>
      <c r="F692" s="1">
        <v>53583</v>
      </c>
      <c r="G692" s="1">
        <v>130869</v>
      </c>
      <c r="H692" s="3">
        <v>1773</v>
      </c>
      <c r="I692" s="1">
        <v>18</v>
      </c>
      <c r="J692" s="2">
        <v>45271</v>
      </c>
      <c r="K692" s="8">
        <f>(F692/G692)*100</f>
        <v>40.94399743254705</v>
      </c>
      <c r="L692" s="8">
        <f>(H692/G692)*100</f>
        <v>1.354789904408225</v>
      </c>
    </row>
    <row r="693" spans="1:12" x14ac:dyDescent="0.3">
      <c r="A693" s="1" t="s">
        <v>701</v>
      </c>
      <c r="B693" s="1" t="s">
        <v>22</v>
      </c>
      <c r="C693" s="1" t="s">
        <v>37</v>
      </c>
      <c r="D693" s="1" t="s">
        <v>32</v>
      </c>
      <c r="E693" s="35">
        <v>45254</v>
      </c>
      <c r="F693" s="1">
        <v>25676</v>
      </c>
      <c r="G693" s="1">
        <v>87823</v>
      </c>
      <c r="H693" s="3">
        <v>3657</v>
      </c>
      <c r="I693" s="1">
        <v>15</v>
      </c>
      <c r="J693" s="2">
        <v>45269</v>
      </c>
      <c r="K693" s="8">
        <f>(F693/G693)*100</f>
        <v>29.236077109640984</v>
      </c>
      <c r="L693" s="8">
        <f>(H693/G693)*100</f>
        <v>4.1640572515172565</v>
      </c>
    </row>
    <row r="694" spans="1:12" x14ac:dyDescent="0.3">
      <c r="A694" s="1" t="s">
        <v>702</v>
      </c>
      <c r="B694" s="1" t="s">
        <v>22</v>
      </c>
      <c r="C694" s="1" t="s">
        <v>18</v>
      </c>
      <c r="D694" s="1" t="s">
        <v>19</v>
      </c>
      <c r="E694" s="35">
        <v>45255</v>
      </c>
      <c r="F694" s="1">
        <v>79755</v>
      </c>
      <c r="G694" s="1">
        <v>547069</v>
      </c>
      <c r="H694" s="3">
        <v>2742</v>
      </c>
      <c r="I694" s="1">
        <v>13</v>
      </c>
      <c r="J694" s="2">
        <v>45268</v>
      </c>
      <c r="K694" s="8">
        <f>(F694/G694)*100</f>
        <v>14.578599774434304</v>
      </c>
      <c r="L694" s="8">
        <f>(H694/G694)*100</f>
        <v>0.50121648274714892</v>
      </c>
    </row>
    <row r="695" spans="1:12" x14ac:dyDescent="0.3">
      <c r="A695" s="1" t="s">
        <v>703</v>
      </c>
      <c r="B695" s="1" t="s">
        <v>24</v>
      </c>
      <c r="C695" s="1" t="s">
        <v>11</v>
      </c>
      <c r="D695" s="1" t="s">
        <v>12</v>
      </c>
      <c r="E695" s="35">
        <v>45256</v>
      </c>
      <c r="F695" s="1">
        <v>36702</v>
      </c>
      <c r="G695" s="1">
        <v>155368</v>
      </c>
      <c r="H695" s="3">
        <v>398</v>
      </c>
      <c r="I695" s="1">
        <v>14</v>
      </c>
      <c r="J695" s="2">
        <v>45270</v>
      </c>
      <c r="K695" s="8">
        <f>(F695/G695)*100</f>
        <v>23.622624993563669</v>
      </c>
      <c r="L695" s="8">
        <f>(H695/G695)*100</f>
        <v>0.2561660058699346</v>
      </c>
    </row>
    <row r="696" spans="1:12" x14ac:dyDescent="0.3">
      <c r="A696" s="1" t="s">
        <v>704</v>
      </c>
      <c r="B696" s="1" t="s">
        <v>14</v>
      </c>
      <c r="C696" s="1" t="s">
        <v>27</v>
      </c>
      <c r="D696" s="1" t="s">
        <v>28</v>
      </c>
      <c r="E696" s="35">
        <v>45257</v>
      </c>
      <c r="F696" s="1">
        <v>31657</v>
      </c>
      <c r="G696" s="1">
        <v>771008</v>
      </c>
      <c r="H696" s="3">
        <v>2660</v>
      </c>
      <c r="I696" s="1">
        <v>23</v>
      </c>
      <c r="J696" s="2">
        <v>45280</v>
      </c>
      <c r="K696" s="8">
        <f>(F696/G696)*100</f>
        <v>4.1059236739437202</v>
      </c>
      <c r="L696" s="8">
        <f>(H696/G696)*100</f>
        <v>0.34500290528762351</v>
      </c>
    </row>
    <row r="697" spans="1:12" x14ac:dyDescent="0.3">
      <c r="A697" s="1" t="s">
        <v>705</v>
      </c>
      <c r="B697" s="1" t="s">
        <v>10</v>
      </c>
      <c r="C697" s="1" t="s">
        <v>11</v>
      </c>
      <c r="D697" s="1" t="s">
        <v>12</v>
      </c>
      <c r="E697" s="35">
        <v>45258</v>
      </c>
      <c r="F697" s="1">
        <v>4810</v>
      </c>
      <c r="G697" s="1">
        <v>662195</v>
      </c>
      <c r="H697" s="3">
        <v>4615</v>
      </c>
      <c r="I697" s="1">
        <v>14</v>
      </c>
      <c r="J697" s="2">
        <v>45272</v>
      </c>
      <c r="K697" s="8">
        <f>(F697/G697)*100</f>
        <v>0.72637214113667425</v>
      </c>
      <c r="L697" s="8">
        <f>(H697/G697)*100</f>
        <v>0.6969246219014037</v>
      </c>
    </row>
    <row r="698" spans="1:12" x14ac:dyDescent="0.3">
      <c r="A698" s="1" t="s">
        <v>706</v>
      </c>
      <c r="B698" s="1" t="s">
        <v>14</v>
      </c>
      <c r="C698" s="1" t="s">
        <v>15</v>
      </c>
      <c r="D698" s="1" t="s">
        <v>32</v>
      </c>
      <c r="E698" s="35">
        <v>45259</v>
      </c>
      <c r="F698" s="1">
        <v>1953</v>
      </c>
      <c r="G698" s="1">
        <v>483766</v>
      </c>
      <c r="H698" s="3">
        <v>242</v>
      </c>
      <c r="I698" s="1">
        <v>6</v>
      </c>
      <c r="J698" s="2">
        <v>45265</v>
      </c>
      <c r="K698" s="8">
        <f>(F698/G698)*100</f>
        <v>0.40370757763050735</v>
      </c>
      <c r="L698" s="8">
        <f>(H698/G698)*100</f>
        <v>5.002418524658616E-2</v>
      </c>
    </row>
    <row r="699" spans="1:12" x14ac:dyDescent="0.3">
      <c r="A699" s="1" t="s">
        <v>707</v>
      </c>
      <c r="B699" s="1" t="s">
        <v>14</v>
      </c>
      <c r="C699" s="1" t="s">
        <v>37</v>
      </c>
      <c r="D699" s="1" t="s">
        <v>19</v>
      </c>
      <c r="E699" s="35">
        <v>45260</v>
      </c>
      <c r="F699" s="1">
        <v>3263</v>
      </c>
      <c r="G699" s="1">
        <v>898416</v>
      </c>
      <c r="H699" s="3">
        <v>4821</v>
      </c>
      <c r="I699" s="1">
        <v>1</v>
      </c>
      <c r="J699" s="2">
        <v>45261</v>
      </c>
      <c r="K699" s="8">
        <f>(F699/G699)*100</f>
        <v>0.36319477836547881</v>
      </c>
      <c r="L699" s="8">
        <f>(H699/G699)*100</f>
        <v>0.53661110220655017</v>
      </c>
    </row>
    <row r="700" spans="1:12" x14ac:dyDescent="0.3">
      <c r="A700" s="1" t="s">
        <v>708</v>
      </c>
      <c r="B700" s="1" t="s">
        <v>22</v>
      </c>
      <c r="C700" s="1" t="s">
        <v>27</v>
      </c>
      <c r="D700" s="1" t="s">
        <v>12</v>
      </c>
      <c r="E700" s="35">
        <v>45261</v>
      </c>
      <c r="F700" s="1">
        <v>36469</v>
      </c>
      <c r="G700" s="1">
        <v>873337</v>
      </c>
      <c r="H700" s="3">
        <v>1421</v>
      </c>
      <c r="I700" s="1">
        <f>Table1[[#This Row],[end_date]]-Table1[[#This Row],[start_date]]</f>
        <v>6</v>
      </c>
      <c r="J700" s="2">
        <v>45267</v>
      </c>
      <c r="K700" s="8">
        <f>(F700/G700)*100</f>
        <v>4.1758221625787062</v>
      </c>
      <c r="L700" s="8">
        <f>(H700/G700)*100</f>
        <v>0.16270924053372293</v>
      </c>
    </row>
    <row r="701" spans="1:12" x14ac:dyDescent="0.3">
      <c r="A701" s="1" t="s">
        <v>709</v>
      </c>
      <c r="B701" s="1" t="s">
        <v>22</v>
      </c>
      <c r="C701" s="1" t="s">
        <v>27</v>
      </c>
      <c r="D701" s="1" t="s">
        <v>28</v>
      </c>
      <c r="E701" s="35">
        <v>45262</v>
      </c>
      <c r="F701" s="1">
        <v>24633</v>
      </c>
      <c r="G701" s="1">
        <v>243063</v>
      </c>
      <c r="H701" s="3">
        <v>1953</v>
      </c>
      <c r="I701" s="1">
        <f>Table1[[#This Row],[end_date]]-Table1[[#This Row],[start_date]]</f>
        <v>28</v>
      </c>
      <c r="J701" s="2">
        <v>45290</v>
      </c>
      <c r="K701" s="8">
        <f>(F701/G701)*100</f>
        <v>10.134409597511757</v>
      </c>
      <c r="L701" s="8">
        <f>(H701/G701)*100</f>
        <v>0.80349539008405224</v>
      </c>
    </row>
    <row r="702" spans="1:12" x14ac:dyDescent="0.3">
      <c r="A702" s="1" t="s">
        <v>710</v>
      </c>
      <c r="B702" s="1" t="s">
        <v>22</v>
      </c>
      <c r="C702" s="1" t="s">
        <v>30</v>
      </c>
      <c r="D702" s="1" t="s">
        <v>19</v>
      </c>
      <c r="E702" s="35">
        <v>45263</v>
      </c>
      <c r="F702" s="1">
        <v>95715</v>
      </c>
      <c r="G702" s="1">
        <v>335165</v>
      </c>
      <c r="H702" s="3">
        <v>1916</v>
      </c>
      <c r="I702" s="1">
        <f>Table1[[#This Row],[end_date]]-Table1[[#This Row],[start_date]]</f>
        <v>25</v>
      </c>
      <c r="J702" s="2">
        <v>45288</v>
      </c>
      <c r="K702" s="8">
        <f>(F702/G702)*100</f>
        <v>28.557576119224859</v>
      </c>
      <c r="L702" s="8">
        <f>(H702/G702)*100</f>
        <v>0.57165873524980237</v>
      </c>
    </row>
    <row r="703" spans="1:12" x14ac:dyDescent="0.3">
      <c r="A703" s="1" t="s">
        <v>711</v>
      </c>
      <c r="B703" s="1" t="s">
        <v>22</v>
      </c>
      <c r="C703" s="1" t="s">
        <v>30</v>
      </c>
      <c r="D703" s="1" t="s">
        <v>32</v>
      </c>
      <c r="E703" s="35">
        <v>45264</v>
      </c>
      <c r="F703" s="1">
        <v>55081</v>
      </c>
      <c r="G703" s="1">
        <v>831105</v>
      </c>
      <c r="H703" s="3">
        <v>3773</v>
      </c>
      <c r="I703" s="1">
        <f>Table1[[#This Row],[end_date]]-Table1[[#This Row],[start_date]]</f>
        <v>15</v>
      </c>
      <c r="J703" s="2">
        <v>45279</v>
      </c>
      <c r="K703" s="8">
        <f>(F703/G703)*100</f>
        <v>6.6274417793178957</v>
      </c>
      <c r="L703" s="8">
        <f>(H703/G703)*100</f>
        <v>0.45397392627886973</v>
      </c>
    </row>
    <row r="704" spans="1:12" x14ac:dyDescent="0.3">
      <c r="A704" s="1" t="s">
        <v>712</v>
      </c>
      <c r="B704" s="1" t="s">
        <v>10</v>
      </c>
      <c r="C704" s="1" t="s">
        <v>11</v>
      </c>
      <c r="D704" s="1" t="s">
        <v>19</v>
      </c>
      <c r="E704" s="35">
        <v>45265</v>
      </c>
      <c r="F704" s="1">
        <v>62228</v>
      </c>
      <c r="G704" s="1">
        <v>700184</v>
      </c>
      <c r="H704" s="3">
        <v>3739</v>
      </c>
      <c r="I704" s="1">
        <f>Table1[[#This Row],[end_date]]-Table1[[#This Row],[start_date]]</f>
        <v>6</v>
      </c>
      <c r="J704" s="2">
        <v>45271</v>
      </c>
      <c r="K704" s="8">
        <f>(F704/G704)*100</f>
        <v>8.8873781748797462</v>
      </c>
      <c r="L704" s="8">
        <f>(H704/G704)*100</f>
        <v>0.53400249077385376</v>
      </c>
    </row>
    <row r="705" spans="1:12" x14ac:dyDescent="0.3">
      <c r="A705" s="1" t="s">
        <v>713</v>
      </c>
      <c r="B705" s="1" t="s">
        <v>22</v>
      </c>
      <c r="C705" s="1" t="s">
        <v>15</v>
      </c>
      <c r="D705" s="1" t="s">
        <v>32</v>
      </c>
      <c r="E705" s="35">
        <v>45266</v>
      </c>
      <c r="F705" s="1">
        <v>8016</v>
      </c>
      <c r="G705" s="1">
        <v>269862</v>
      </c>
      <c r="H705" s="3">
        <v>4453</v>
      </c>
      <c r="I705" s="1">
        <f>Table1[[#This Row],[end_date]]-Table1[[#This Row],[start_date]]</f>
        <v>25</v>
      </c>
      <c r="J705" s="2">
        <v>45291</v>
      </c>
      <c r="K705" s="8">
        <f>(F705/G705)*100</f>
        <v>2.9704070969606691</v>
      </c>
      <c r="L705" s="8">
        <f>(H705/G705)*100</f>
        <v>1.6501026450556209</v>
      </c>
    </row>
    <row r="706" spans="1:12" x14ac:dyDescent="0.3">
      <c r="A706" s="1" t="s">
        <v>714</v>
      </c>
      <c r="B706" s="1" t="s">
        <v>14</v>
      </c>
      <c r="C706" s="1" t="s">
        <v>25</v>
      </c>
      <c r="D706" s="1" t="s">
        <v>32</v>
      </c>
      <c r="E706" s="35">
        <v>45267</v>
      </c>
      <c r="F706" s="1">
        <v>7320</v>
      </c>
      <c r="G706" s="1">
        <v>17685</v>
      </c>
      <c r="H706" s="3">
        <v>3716</v>
      </c>
      <c r="I706" s="1">
        <f>Table1[[#This Row],[end_date]]-Table1[[#This Row],[start_date]]</f>
        <v>19</v>
      </c>
      <c r="J706" s="2">
        <v>45286</v>
      </c>
      <c r="K706" s="8">
        <f>(F706/G706)*100</f>
        <v>41.391009329940623</v>
      </c>
      <c r="L706" s="8">
        <f>(H706/G706)*100</f>
        <v>21.012157195363301</v>
      </c>
    </row>
    <row r="707" spans="1:12" x14ac:dyDescent="0.3">
      <c r="A707" s="1" t="s">
        <v>715</v>
      </c>
      <c r="B707" s="1" t="s">
        <v>10</v>
      </c>
      <c r="C707" s="1" t="s">
        <v>18</v>
      </c>
      <c r="D707" s="1" t="s">
        <v>28</v>
      </c>
      <c r="E707" s="35">
        <v>45268</v>
      </c>
      <c r="F707" s="1">
        <v>34730</v>
      </c>
      <c r="G707" s="1">
        <v>677124</v>
      </c>
      <c r="H707" s="3">
        <v>334</v>
      </c>
      <c r="I707" s="1">
        <f>Table1[[#This Row],[end_date]]-Table1[[#This Row],[start_date]]</f>
        <v>3</v>
      </c>
      <c r="J707" s="2">
        <v>45271</v>
      </c>
      <c r="K707" s="8">
        <f>(F707/G707)*100</f>
        <v>5.1290457877729931</v>
      </c>
      <c r="L707" s="8">
        <f>(H707/G707)*100</f>
        <v>4.9326268157678647E-2</v>
      </c>
    </row>
    <row r="708" spans="1:12" x14ac:dyDescent="0.3">
      <c r="A708" s="1" t="s">
        <v>716</v>
      </c>
      <c r="B708" s="1" t="s">
        <v>10</v>
      </c>
      <c r="C708" s="1" t="s">
        <v>11</v>
      </c>
      <c r="D708" s="1" t="s">
        <v>19</v>
      </c>
      <c r="E708" s="35">
        <v>45269</v>
      </c>
      <c r="F708" s="1">
        <v>97762</v>
      </c>
      <c r="G708" s="1">
        <v>246719</v>
      </c>
      <c r="H708" s="3">
        <v>2198</v>
      </c>
      <c r="I708" s="1">
        <f>Table1[[#This Row],[end_date]]-Table1[[#This Row],[start_date]]</f>
        <v>25</v>
      </c>
      <c r="J708" s="2">
        <v>45294</v>
      </c>
      <c r="K708" s="8">
        <f>(F708/G708)*100</f>
        <v>39.624836352287417</v>
      </c>
      <c r="L708" s="8">
        <f>(H708/G708)*100</f>
        <v>0.89089206749378835</v>
      </c>
    </row>
    <row r="709" spans="1:12" x14ac:dyDescent="0.3">
      <c r="A709" s="1" t="s">
        <v>717</v>
      </c>
      <c r="B709" s="1" t="s">
        <v>14</v>
      </c>
      <c r="C709" s="1" t="s">
        <v>30</v>
      </c>
      <c r="D709" s="1" t="s">
        <v>12</v>
      </c>
      <c r="E709" s="35">
        <v>45270</v>
      </c>
      <c r="F709" s="1">
        <v>31694</v>
      </c>
      <c r="G709" s="1">
        <v>93420</v>
      </c>
      <c r="H709" s="3">
        <v>2208</v>
      </c>
      <c r="I709" s="1">
        <v>2</v>
      </c>
      <c r="J709" s="2">
        <v>45272</v>
      </c>
      <c r="K709" s="8">
        <f>(F709/G709)*100</f>
        <v>33.926354099764502</v>
      </c>
      <c r="L709" s="8">
        <f>(H709/G709)*100</f>
        <v>2.3635195889531153</v>
      </c>
    </row>
    <row r="710" spans="1:12" x14ac:dyDescent="0.3">
      <c r="A710" s="1" t="s">
        <v>718</v>
      </c>
      <c r="B710" s="1" t="s">
        <v>14</v>
      </c>
      <c r="C710" s="1" t="s">
        <v>15</v>
      </c>
      <c r="D710" s="1" t="s">
        <v>12</v>
      </c>
      <c r="E710" s="35">
        <v>45271</v>
      </c>
      <c r="F710" s="1">
        <v>12671</v>
      </c>
      <c r="G710" s="1">
        <v>282511</v>
      </c>
      <c r="H710" s="3">
        <v>4909</v>
      </c>
      <c r="I710" s="1">
        <v>6</v>
      </c>
      <c r="J710" s="2">
        <v>45277</v>
      </c>
      <c r="K710" s="8">
        <f>(F710/G710)*100</f>
        <v>4.48513509208491</v>
      </c>
      <c r="L710" s="8">
        <f>(H710/G710)*100</f>
        <v>1.7376314550583871</v>
      </c>
    </row>
    <row r="711" spans="1:12" x14ac:dyDescent="0.3">
      <c r="A711" s="1" t="s">
        <v>719</v>
      </c>
      <c r="B711" s="1" t="s">
        <v>24</v>
      </c>
      <c r="C711" s="1" t="s">
        <v>30</v>
      </c>
      <c r="D711" s="1" t="s">
        <v>28</v>
      </c>
      <c r="E711" s="35">
        <v>45272</v>
      </c>
      <c r="F711" s="1">
        <v>57561</v>
      </c>
      <c r="G711" s="1">
        <v>315178</v>
      </c>
      <c r="H711" s="3">
        <v>3395</v>
      </c>
      <c r="I711" s="1">
        <v>21</v>
      </c>
      <c r="J711" s="2">
        <v>45293</v>
      </c>
      <c r="K711" s="8">
        <f>(F711/G711)*100</f>
        <v>18.263013281383852</v>
      </c>
      <c r="L711" s="8">
        <f>(H711/G711)*100</f>
        <v>1.0771690917513277</v>
      </c>
    </row>
    <row r="712" spans="1:12" x14ac:dyDescent="0.3">
      <c r="A712" s="1" t="s">
        <v>720</v>
      </c>
      <c r="B712" s="1" t="s">
        <v>14</v>
      </c>
      <c r="C712" s="1" t="s">
        <v>37</v>
      </c>
      <c r="D712" s="1" t="s">
        <v>12</v>
      </c>
      <c r="E712" s="35">
        <v>45273</v>
      </c>
      <c r="F712" s="1">
        <v>80514</v>
      </c>
      <c r="G712" s="1">
        <v>212879</v>
      </c>
      <c r="H712" s="3">
        <v>2263</v>
      </c>
      <c r="I712" s="1">
        <v>12</v>
      </c>
      <c r="J712" s="2">
        <v>45285</v>
      </c>
      <c r="K712" s="8">
        <f>(F712/G712)*100</f>
        <v>37.821485444783185</v>
      </c>
      <c r="L712" s="8">
        <f>(H712/G712)*100</f>
        <v>1.0630452040830707</v>
      </c>
    </row>
    <row r="713" spans="1:12" x14ac:dyDescent="0.3">
      <c r="A713" s="1" t="s">
        <v>721</v>
      </c>
      <c r="B713" s="1" t="s">
        <v>10</v>
      </c>
      <c r="C713" s="1" t="s">
        <v>18</v>
      </c>
      <c r="D713" s="1" t="s">
        <v>19</v>
      </c>
      <c r="E713" s="35">
        <v>45274</v>
      </c>
      <c r="F713" s="1">
        <v>51168</v>
      </c>
      <c r="G713" s="1">
        <v>274880</v>
      </c>
      <c r="H713" s="3">
        <v>613</v>
      </c>
      <c r="I713" s="1">
        <v>19</v>
      </c>
      <c r="J713" s="2">
        <v>45293</v>
      </c>
      <c r="K713" s="8">
        <f>(F713/G713)*100</f>
        <v>18.614668218859137</v>
      </c>
      <c r="L713" s="8">
        <f>(H713/G713)*100</f>
        <v>0.22300640279394646</v>
      </c>
    </row>
    <row r="714" spans="1:12" x14ac:dyDescent="0.3">
      <c r="A714" s="1" t="s">
        <v>722</v>
      </c>
      <c r="B714" s="1" t="s">
        <v>24</v>
      </c>
      <c r="C714" s="1" t="s">
        <v>30</v>
      </c>
      <c r="D714" s="1" t="s">
        <v>12</v>
      </c>
      <c r="E714" s="35">
        <v>45275</v>
      </c>
      <c r="F714" s="1">
        <v>63473</v>
      </c>
      <c r="G714" s="1">
        <v>374768</v>
      </c>
      <c r="H714" s="3">
        <v>1575</v>
      </c>
      <c r="I714" s="1">
        <v>27</v>
      </c>
      <c r="J714" s="2">
        <v>45302</v>
      </c>
      <c r="K714" s="8">
        <f>(F714/G714)*100</f>
        <v>16.936611450283909</v>
      </c>
      <c r="L714" s="8">
        <f>(H714/G714)*100</f>
        <v>0.42026000085386161</v>
      </c>
    </row>
    <row r="715" spans="1:12" x14ac:dyDescent="0.3">
      <c r="A715" s="1" t="s">
        <v>723</v>
      </c>
      <c r="B715" s="1" t="s">
        <v>10</v>
      </c>
      <c r="C715" s="1" t="s">
        <v>30</v>
      </c>
      <c r="D715" s="1" t="s">
        <v>16</v>
      </c>
      <c r="E715" s="35">
        <v>45276</v>
      </c>
      <c r="F715" s="1">
        <v>86072</v>
      </c>
      <c r="G715" s="1">
        <v>616044</v>
      </c>
      <c r="H715" s="3">
        <v>2690</v>
      </c>
      <c r="I715" s="1">
        <v>3</v>
      </c>
      <c r="J715" s="2">
        <v>45279</v>
      </c>
      <c r="K715" s="8">
        <f>(F715/G715)*100</f>
        <v>13.971729292063554</v>
      </c>
      <c r="L715" s="8">
        <f>(H715/G715)*100</f>
        <v>0.43665712189389067</v>
      </c>
    </row>
    <row r="716" spans="1:12" x14ac:dyDescent="0.3">
      <c r="A716" s="1" t="s">
        <v>724</v>
      </c>
      <c r="B716" s="1" t="s">
        <v>22</v>
      </c>
      <c r="C716" s="1" t="s">
        <v>27</v>
      </c>
      <c r="D716" s="1" t="s">
        <v>12</v>
      </c>
      <c r="E716" s="35">
        <v>45277</v>
      </c>
      <c r="F716" s="1">
        <v>12995</v>
      </c>
      <c r="G716" s="1">
        <v>306050</v>
      </c>
      <c r="H716" s="3">
        <v>784</v>
      </c>
      <c r="I716" s="1">
        <v>2</v>
      </c>
      <c r="J716" s="2">
        <v>45279</v>
      </c>
      <c r="K716" s="8">
        <f>(F716/G716)*100</f>
        <v>4.2460382290475414</v>
      </c>
      <c r="L716" s="8">
        <f>(H716/G716)*100</f>
        <v>0.2561672929259925</v>
      </c>
    </row>
    <row r="717" spans="1:12" x14ac:dyDescent="0.3">
      <c r="A717" s="1" t="s">
        <v>725</v>
      </c>
      <c r="B717" s="1" t="s">
        <v>14</v>
      </c>
      <c r="C717" s="1" t="s">
        <v>11</v>
      </c>
      <c r="D717" s="1" t="s">
        <v>28</v>
      </c>
      <c r="E717" s="35">
        <v>45278</v>
      </c>
      <c r="F717" s="1">
        <v>60553</v>
      </c>
      <c r="G717" s="1">
        <v>230089</v>
      </c>
      <c r="H717" s="3">
        <v>4093</v>
      </c>
      <c r="I717" s="1">
        <v>12</v>
      </c>
      <c r="J717" s="2">
        <v>45290</v>
      </c>
      <c r="K717" s="8">
        <f>(F717/G717)*100</f>
        <v>26.317207689198529</v>
      </c>
      <c r="L717" s="8">
        <f>(H717/G717)*100</f>
        <v>1.778876869385325</v>
      </c>
    </row>
    <row r="718" spans="1:12" x14ac:dyDescent="0.3">
      <c r="A718" s="1" t="s">
        <v>726</v>
      </c>
      <c r="B718" s="1" t="s">
        <v>22</v>
      </c>
      <c r="C718" s="1" t="s">
        <v>25</v>
      </c>
      <c r="D718" s="1" t="s">
        <v>16</v>
      </c>
      <c r="E718" s="35">
        <v>45279</v>
      </c>
      <c r="F718" s="1">
        <v>71336</v>
      </c>
      <c r="G718" s="1">
        <v>923626</v>
      </c>
      <c r="H718" s="3">
        <v>949</v>
      </c>
      <c r="I718" s="1">
        <v>19</v>
      </c>
      <c r="J718" s="2">
        <v>45298</v>
      </c>
      <c r="K718" s="8">
        <f>(F718/G718)*100</f>
        <v>7.7234724877818515</v>
      </c>
      <c r="L718" s="8">
        <f>(H718/G718)*100</f>
        <v>0.10274721586442997</v>
      </c>
    </row>
    <row r="719" spans="1:12" x14ac:dyDescent="0.3">
      <c r="A719" s="1" t="s">
        <v>727</v>
      </c>
      <c r="B719" s="1" t="s">
        <v>14</v>
      </c>
      <c r="C719" s="1" t="s">
        <v>25</v>
      </c>
      <c r="D719" s="1" t="s">
        <v>16</v>
      </c>
      <c r="E719" s="35">
        <v>45280</v>
      </c>
      <c r="F719" s="1">
        <v>9488</v>
      </c>
      <c r="G719" s="1">
        <v>876964</v>
      </c>
      <c r="H719" s="3">
        <v>2498</v>
      </c>
      <c r="I719" s="1">
        <v>25</v>
      </c>
      <c r="J719" s="2">
        <v>45305</v>
      </c>
      <c r="K719" s="8">
        <f>(F719/G719)*100</f>
        <v>1.0819144229409645</v>
      </c>
      <c r="L719" s="8">
        <f>(H719/G719)*100</f>
        <v>0.28484635629284666</v>
      </c>
    </row>
    <row r="720" spans="1:12" x14ac:dyDescent="0.3">
      <c r="A720" s="1" t="s">
        <v>728</v>
      </c>
      <c r="B720" s="1" t="s">
        <v>24</v>
      </c>
      <c r="C720" s="1" t="s">
        <v>15</v>
      </c>
      <c r="D720" s="1" t="s">
        <v>19</v>
      </c>
      <c r="E720" s="35">
        <v>45281</v>
      </c>
      <c r="F720" s="1">
        <v>72763</v>
      </c>
      <c r="G720" s="1">
        <v>554482</v>
      </c>
      <c r="H720" s="3">
        <v>4163</v>
      </c>
      <c r="I720" s="1">
        <v>13</v>
      </c>
      <c r="J720" s="2">
        <v>45294</v>
      </c>
      <c r="K720" s="8">
        <f>(F720/G720)*100</f>
        <v>13.12269830219917</v>
      </c>
      <c r="L720" s="8">
        <f>(H720/G720)*100</f>
        <v>0.75079082819640675</v>
      </c>
    </row>
    <row r="721" spans="1:12" x14ac:dyDescent="0.3">
      <c r="A721" s="1" t="s">
        <v>729</v>
      </c>
      <c r="B721" s="1" t="s">
        <v>14</v>
      </c>
      <c r="C721" s="1" t="s">
        <v>18</v>
      </c>
      <c r="D721" s="1" t="s">
        <v>19</v>
      </c>
      <c r="E721" s="35">
        <v>45282</v>
      </c>
      <c r="F721" s="1">
        <v>59942</v>
      </c>
      <c r="G721" s="1">
        <v>275728</v>
      </c>
      <c r="H721" s="3">
        <v>2895</v>
      </c>
      <c r="I721" s="1">
        <v>20</v>
      </c>
      <c r="J721" s="2">
        <v>45302</v>
      </c>
      <c r="K721" s="8">
        <f>(F721/G721)*100</f>
        <v>21.739540416642487</v>
      </c>
      <c r="L721" s="8">
        <f>(H721/G721)*100</f>
        <v>1.0499477746184644</v>
      </c>
    </row>
    <row r="722" spans="1:12" x14ac:dyDescent="0.3">
      <c r="A722" s="1" t="s">
        <v>730</v>
      </c>
      <c r="B722" s="1" t="s">
        <v>14</v>
      </c>
      <c r="C722" s="1" t="s">
        <v>37</v>
      </c>
      <c r="D722" s="1" t="s">
        <v>28</v>
      </c>
      <c r="E722" s="35">
        <v>45283</v>
      </c>
      <c r="F722" s="1">
        <v>87100</v>
      </c>
      <c r="G722" s="1">
        <v>497754</v>
      </c>
      <c r="H722" s="3">
        <v>2457</v>
      </c>
      <c r="I722" s="1">
        <v>22</v>
      </c>
      <c r="J722" s="2">
        <v>45305</v>
      </c>
      <c r="K722" s="8">
        <f>(F722/G722)*100</f>
        <v>17.498603727945934</v>
      </c>
      <c r="L722" s="8">
        <f>(H722/G722)*100</f>
        <v>0.49361732904205691</v>
      </c>
    </row>
    <row r="723" spans="1:12" x14ac:dyDescent="0.3">
      <c r="A723" s="1" t="s">
        <v>731</v>
      </c>
      <c r="B723" s="1" t="s">
        <v>22</v>
      </c>
      <c r="C723" s="1" t="s">
        <v>11</v>
      </c>
      <c r="D723" s="1" t="s">
        <v>12</v>
      </c>
      <c r="E723" s="35">
        <v>45284</v>
      </c>
      <c r="F723" s="1">
        <v>91875</v>
      </c>
      <c r="G723" s="1">
        <v>797340</v>
      </c>
      <c r="H723" s="3">
        <v>1559</v>
      </c>
      <c r="I723" s="1">
        <v>7</v>
      </c>
      <c r="J723" s="2">
        <v>45291</v>
      </c>
      <c r="K723" s="8">
        <f>(F723/G723)*100</f>
        <v>11.522687937391828</v>
      </c>
      <c r="L723" s="8">
        <f>(H723/G723)*100</f>
        <v>0.19552512102741618</v>
      </c>
    </row>
    <row r="724" spans="1:12" x14ac:dyDescent="0.3">
      <c r="A724" s="1" t="s">
        <v>732</v>
      </c>
      <c r="B724" s="1" t="s">
        <v>24</v>
      </c>
      <c r="C724" s="1" t="s">
        <v>25</v>
      </c>
      <c r="D724" s="1" t="s">
        <v>12</v>
      </c>
      <c r="E724" s="35">
        <v>45285</v>
      </c>
      <c r="F724" s="1">
        <v>52999</v>
      </c>
      <c r="G724" s="1">
        <v>444938</v>
      </c>
      <c r="H724" s="3">
        <v>146</v>
      </c>
      <c r="I724" s="1">
        <v>12</v>
      </c>
      <c r="J724" s="2">
        <v>45297</v>
      </c>
      <c r="K724" s="8">
        <f>(F724/G724)*100</f>
        <v>11.911547226804634</v>
      </c>
      <c r="L724" s="8">
        <f>(H724/G724)*100</f>
        <v>3.28135605410192E-2</v>
      </c>
    </row>
    <row r="725" spans="1:12" x14ac:dyDescent="0.3">
      <c r="A725" s="1" t="s">
        <v>733</v>
      </c>
      <c r="B725" s="1" t="s">
        <v>22</v>
      </c>
      <c r="C725" s="1" t="s">
        <v>11</v>
      </c>
      <c r="D725" s="1" t="s">
        <v>28</v>
      </c>
      <c r="E725" s="35">
        <v>45286</v>
      </c>
      <c r="F725" s="1">
        <v>1013</v>
      </c>
      <c r="G725" s="1">
        <v>926488</v>
      </c>
      <c r="H725" s="3">
        <v>2588</v>
      </c>
      <c r="I725" s="1">
        <v>17</v>
      </c>
      <c r="J725" s="2">
        <v>45303</v>
      </c>
      <c r="K725" s="8">
        <f>(F725/G725)*100</f>
        <v>0.10933762768648919</v>
      </c>
      <c r="L725" s="8">
        <f>(H725/G725)*100</f>
        <v>0.27933443282589737</v>
      </c>
    </row>
    <row r="726" spans="1:12" x14ac:dyDescent="0.3">
      <c r="A726" s="1" t="s">
        <v>734</v>
      </c>
      <c r="B726" s="1" t="s">
        <v>22</v>
      </c>
      <c r="C726" s="1" t="s">
        <v>15</v>
      </c>
      <c r="D726" s="1" t="s">
        <v>32</v>
      </c>
      <c r="E726" s="35">
        <v>45287</v>
      </c>
      <c r="F726" s="1">
        <v>9062</v>
      </c>
      <c r="G726" s="1">
        <v>348129</v>
      </c>
      <c r="H726" s="3">
        <v>4222</v>
      </c>
      <c r="I726" s="1">
        <v>1</v>
      </c>
      <c r="J726" s="2">
        <v>45288</v>
      </c>
      <c r="K726" s="8">
        <f>(F726/G726)*100</f>
        <v>2.6030580618104207</v>
      </c>
      <c r="L726" s="8">
        <f>(H726/G726)*100</f>
        <v>1.2127688299452215</v>
      </c>
    </row>
    <row r="727" spans="1:12" x14ac:dyDescent="0.3">
      <c r="A727" s="1" t="s">
        <v>735</v>
      </c>
      <c r="B727" s="1" t="s">
        <v>22</v>
      </c>
      <c r="C727" s="1" t="s">
        <v>18</v>
      </c>
      <c r="D727" s="1" t="s">
        <v>19</v>
      </c>
      <c r="E727" s="35">
        <v>45288</v>
      </c>
      <c r="F727" s="1">
        <v>50465</v>
      </c>
      <c r="G727" s="1">
        <v>967771</v>
      </c>
      <c r="H727" s="3">
        <v>3534</v>
      </c>
      <c r="I727" s="1">
        <v>19</v>
      </c>
      <c r="J727" s="2">
        <v>45307</v>
      </c>
      <c r="K727" s="8">
        <f>(F727/G727)*100</f>
        <v>5.2145600560463166</v>
      </c>
      <c r="L727" s="8">
        <f>(H727/G727)*100</f>
        <v>0.36516903275671619</v>
      </c>
    </row>
    <row r="728" spans="1:12" x14ac:dyDescent="0.3">
      <c r="A728" s="1" t="s">
        <v>736</v>
      </c>
      <c r="B728" s="1" t="s">
        <v>22</v>
      </c>
      <c r="C728" s="1" t="s">
        <v>25</v>
      </c>
      <c r="D728" s="1" t="s">
        <v>32</v>
      </c>
      <c r="E728" s="35">
        <v>45289</v>
      </c>
      <c r="F728" s="1">
        <v>38157</v>
      </c>
      <c r="G728" s="1">
        <v>368675</v>
      </c>
      <c r="H728" s="3">
        <v>1587</v>
      </c>
      <c r="I728" s="1">
        <v>24</v>
      </c>
      <c r="J728" s="2">
        <v>45313</v>
      </c>
      <c r="K728" s="8">
        <f>(F728/G728)*100</f>
        <v>10.349766054112701</v>
      </c>
      <c r="L728" s="8">
        <f>(H728/G728)*100</f>
        <v>0.43046043263036554</v>
      </c>
    </row>
    <row r="729" spans="1:12" x14ac:dyDescent="0.3">
      <c r="A729" s="1" t="s">
        <v>737</v>
      </c>
      <c r="B729" s="1" t="s">
        <v>14</v>
      </c>
      <c r="C729" s="1" t="s">
        <v>15</v>
      </c>
      <c r="D729" s="1" t="s">
        <v>32</v>
      </c>
      <c r="E729" s="35">
        <v>45290</v>
      </c>
      <c r="F729" s="1">
        <v>85788</v>
      </c>
      <c r="G729" s="1">
        <v>131536</v>
      </c>
      <c r="H729" s="3">
        <v>4217</v>
      </c>
      <c r="I729" s="1">
        <v>9</v>
      </c>
      <c r="J729" s="2">
        <v>45299</v>
      </c>
      <c r="K729" s="8">
        <f>(F729/G729)*100</f>
        <v>65.220167862790419</v>
      </c>
      <c r="L729" s="8">
        <f>(H729/G729)*100</f>
        <v>3.2059664274419171</v>
      </c>
    </row>
    <row r="730" spans="1:12" x14ac:dyDescent="0.3">
      <c r="A730" s="1" t="s">
        <v>738</v>
      </c>
      <c r="B730" s="1" t="s">
        <v>14</v>
      </c>
      <c r="C730" s="1" t="s">
        <v>11</v>
      </c>
      <c r="D730" s="1" t="s">
        <v>28</v>
      </c>
      <c r="E730" s="35">
        <v>45291</v>
      </c>
      <c r="F730" s="1">
        <v>50914</v>
      </c>
      <c r="G730" s="1">
        <v>629123</v>
      </c>
      <c r="H730" s="3">
        <v>1113</v>
      </c>
      <c r="I730" s="1">
        <v>16</v>
      </c>
      <c r="J730" s="2">
        <v>45307</v>
      </c>
      <c r="K730" s="8">
        <f>(F730/G730)*100</f>
        <v>8.0928530668883507</v>
      </c>
      <c r="L730" s="8">
        <f>(H730/G730)*100</f>
        <v>0.17691294071270641</v>
      </c>
    </row>
    <row r="731" spans="1:12" x14ac:dyDescent="0.3">
      <c r="A731" s="1" t="s">
        <v>739</v>
      </c>
      <c r="B731" s="1" t="s">
        <v>22</v>
      </c>
      <c r="C731" s="1" t="s">
        <v>37</v>
      </c>
      <c r="D731" s="1" t="s">
        <v>32</v>
      </c>
      <c r="E731" s="35">
        <v>45292</v>
      </c>
      <c r="F731" s="1">
        <v>97937</v>
      </c>
      <c r="G731" s="1">
        <v>508623</v>
      </c>
      <c r="H731" s="3">
        <v>2565</v>
      </c>
      <c r="I731" s="1">
        <v>9</v>
      </c>
      <c r="J731" s="2">
        <v>45301</v>
      </c>
      <c r="K731" s="8">
        <f>(F731/G731)*100</f>
        <v>19.255322704635848</v>
      </c>
      <c r="L731" s="8">
        <f>(H731/G731)*100</f>
        <v>0.50430279401442712</v>
      </c>
    </row>
    <row r="732" spans="1:12" x14ac:dyDescent="0.3">
      <c r="A732" s="1" t="s">
        <v>740</v>
      </c>
      <c r="B732" s="1" t="s">
        <v>22</v>
      </c>
      <c r="C732" s="1" t="s">
        <v>18</v>
      </c>
      <c r="D732" s="1" t="s">
        <v>16</v>
      </c>
      <c r="E732" s="35">
        <v>45293</v>
      </c>
      <c r="F732" s="1">
        <v>76824</v>
      </c>
      <c r="G732" s="1">
        <v>583151</v>
      </c>
      <c r="H732" s="3">
        <v>311</v>
      </c>
      <c r="I732" s="1">
        <v>9</v>
      </c>
      <c r="J732" s="2">
        <v>45302</v>
      </c>
      <c r="K732" s="8">
        <f>(F732/G732)*100</f>
        <v>13.173946370665574</v>
      </c>
      <c r="L732" s="8">
        <f>(H732/G732)*100</f>
        <v>5.3330955447216929E-2</v>
      </c>
    </row>
    <row r="733" spans="1:12" x14ac:dyDescent="0.3">
      <c r="A733" s="1" t="s">
        <v>741</v>
      </c>
      <c r="B733" s="1" t="s">
        <v>22</v>
      </c>
      <c r="C733" s="1" t="s">
        <v>18</v>
      </c>
      <c r="D733" s="1" t="s">
        <v>16</v>
      </c>
      <c r="E733" s="35">
        <v>45294</v>
      </c>
      <c r="F733" s="1">
        <v>1299</v>
      </c>
      <c r="G733" s="1">
        <v>366706</v>
      </c>
      <c r="H733" s="3">
        <v>4595</v>
      </c>
      <c r="I733" s="1">
        <v>20</v>
      </c>
      <c r="J733" s="2">
        <v>45314</v>
      </c>
      <c r="K733" s="8">
        <f>(F733/G733)*100</f>
        <v>0.35423472754740853</v>
      </c>
      <c r="L733" s="8">
        <f>(H733/G733)*100</f>
        <v>1.2530474003697785</v>
      </c>
    </row>
    <row r="734" spans="1:12" x14ac:dyDescent="0.3">
      <c r="A734" s="1" t="s">
        <v>742</v>
      </c>
      <c r="B734" s="1" t="s">
        <v>22</v>
      </c>
      <c r="C734" s="1" t="s">
        <v>37</v>
      </c>
      <c r="D734" s="1" t="s">
        <v>32</v>
      </c>
      <c r="E734" s="35">
        <v>45295</v>
      </c>
      <c r="F734" s="1">
        <v>65442</v>
      </c>
      <c r="G734" s="1">
        <v>146362</v>
      </c>
      <c r="H734" s="3">
        <v>1929</v>
      </c>
      <c r="I734" s="1">
        <v>15</v>
      </c>
      <c r="J734" s="2">
        <v>45310</v>
      </c>
      <c r="K734" s="8">
        <f>(F734/G734)*100</f>
        <v>44.71242535630833</v>
      </c>
      <c r="L734" s="8">
        <f>(H734/G734)*100</f>
        <v>1.3179650455719381</v>
      </c>
    </row>
    <row r="735" spans="1:12" x14ac:dyDescent="0.3">
      <c r="A735" s="1" t="s">
        <v>743</v>
      </c>
      <c r="B735" s="1" t="s">
        <v>22</v>
      </c>
      <c r="C735" s="1" t="s">
        <v>27</v>
      </c>
      <c r="D735" s="1" t="s">
        <v>12</v>
      </c>
      <c r="E735" s="35">
        <v>45296</v>
      </c>
      <c r="F735" s="1">
        <v>92170</v>
      </c>
      <c r="G735" s="1">
        <v>713477</v>
      </c>
      <c r="H735" s="3">
        <v>4966</v>
      </c>
      <c r="I735" s="1">
        <v>14</v>
      </c>
      <c r="J735" s="2">
        <v>45310</v>
      </c>
      <c r="K735" s="8">
        <f>(F735/G735)*100</f>
        <v>12.918426242191408</v>
      </c>
      <c r="L735" s="8">
        <f>(H735/G735)*100</f>
        <v>0.69602804295022824</v>
      </c>
    </row>
    <row r="736" spans="1:12" x14ac:dyDescent="0.3">
      <c r="A736" s="1" t="s">
        <v>744</v>
      </c>
      <c r="B736" s="1" t="s">
        <v>14</v>
      </c>
      <c r="C736" s="1" t="s">
        <v>37</v>
      </c>
      <c r="D736" s="1" t="s">
        <v>19</v>
      </c>
      <c r="E736" s="35">
        <v>45297</v>
      </c>
      <c r="F736" s="1">
        <v>41933</v>
      </c>
      <c r="G736" s="1">
        <v>400702</v>
      </c>
      <c r="H736" s="3">
        <v>4707</v>
      </c>
      <c r="I736" s="1">
        <v>17</v>
      </c>
      <c r="J736" s="2">
        <v>45314</v>
      </c>
      <c r="K736" s="8">
        <f>(F736/G736)*100</f>
        <v>10.464884128354738</v>
      </c>
      <c r="L736" s="8">
        <f>(H736/G736)*100</f>
        <v>1.1746884218197065</v>
      </c>
    </row>
    <row r="737" spans="1:12" x14ac:dyDescent="0.3">
      <c r="A737" s="1" t="s">
        <v>745</v>
      </c>
      <c r="B737" s="1" t="s">
        <v>22</v>
      </c>
      <c r="C737" s="1" t="s">
        <v>37</v>
      </c>
      <c r="D737" s="1" t="s">
        <v>28</v>
      </c>
      <c r="E737" s="35">
        <v>45298</v>
      </c>
      <c r="F737" s="1">
        <v>25115</v>
      </c>
      <c r="G737" s="1">
        <v>623017</v>
      </c>
      <c r="H737" s="3">
        <v>1310</v>
      </c>
      <c r="I737" s="1">
        <v>5</v>
      </c>
      <c r="J737" s="2">
        <v>45303</v>
      </c>
      <c r="K737" s="8">
        <f>(F737/G737)*100</f>
        <v>4.0311901601400928</v>
      </c>
      <c r="L737" s="8">
        <f>(H737/G737)*100</f>
        <v>0.21026713556772927</v>
      </c>
    </row>
    <row r="738" spans="1:12" x14ac:dyDescent="0.3">
      <c r="A738" s="1" t="s">
        <v>746</v>
      </c>
      <c r="B738" s="1" t="s">
        <v>22</v>
      </c>
      <c r="C738" s="1" t="s">
        <v>30</v>
      </c>
      <c r="D738" s="1" t="s">
        <v>32</v>
      </c>
      <c r="E738" s="35">
        <v>45299</v>
      </c>
      <c r="F738" s="1">
        <v>63714</v>
      </c>
      <c r="G738" s="1">
        <v>277937</v>
      </c>
      <c r="H738" s="3">
        <v>2210</v>
      </c>
      <c r="I738" s="1">
        <v>29</v>
      </c>
      <c r="J738" s="2">
        <v>45328</v>
      </c>
      <c r="K738" s="8">
        <f>(F738/G738)*100</f>
        <v>22.923900020508245</v>
      </c>
      <c r="L738" s="8">
        <f>(H738/G738)*100</f>
        <v>0.79514422333118662</v>
      </c>
    </row>
    <row r="739" spans="1:12" x14ac:dyDescent="0.3">
      <c r="A739" s="1" t="s">
        <v>747</v>
      </c>
      <c r="B739" s="1" t="s">
        <v>22</v>
      </c>
      <c r="C739" s="1" t="s">
        <v>37</v>
      </c>
      <c r="D739" s="1" t="s">
        <v>16</v>
      </c>
      <c r="E739" s="35">
        <v>45300</v>
      </c>
      <c r="F739" s="1">
        <v>55474</v>
      </c>
      <c r="G739" s="1">
        <v>518170</v>
      </c>
      <c r="H739" s="3">
        <v>4880</v>
      </c>
      <c r="I739" s="1">
        <v>7</v>
      </c>
      <c r="J739" s="2">
        <v>45307</v>
      </c>
      <c r="K739" s="8">
        <f>(F739/G739)*100</f>
        <v>10.705752938224906</v>
      </c>
      <c r="L739" s="8">
        <f>(H739/G739)*100</f>
        <v>0.94177586506358923</v>
      </c>
    </row>
    <row r="740" spans="1:12" x14ac:dyDescent="0.3">
      <c r="A740" s="1" t="s">
        <v>748</v>
      </c>
      <c r="B740" s="1" t="s">
        <v>14</v>
      </c>
      <c r="C740" s="1" t="s">
        <v>15</v>
      </c>
      <c r="D740" s="1" t="s">
        <v>16</v>
      </c>
      <c r="E740" s="35">
        <v>45301</v>
      </c>
      <c r="F740" s="1">
        <v>18452</v>
      </c>
      <c r="G740" s="1">
        <v>491436</v>
      </c>
      <c r="H740" s="3">
        <v>4284</v>
      </c>
      <c r="I740" s="1">
        <v>3</v>
      </c>
      <c r="J740" s="2">
        <v>45304</v>
      </c>
      <c r="K740" s="8">
        <f>(F740/G740)*100</f>
        <v>3.7547106846059304</v>
      </c>
      <c r="L740" s="8">
        <f>(H740/G740)*100</f>
        <v>0.87173100871731013</v>
      </c>
    </row>
    <row r="741" spans="1:12" x14ac:dyDescent="0.3">
      <c r="A741" s="1" t="s">
        <v>749</v>
      </c>
      <c r="B741" s="1" t="s">
        <v>22</v>
      </c>
      <c r="C741" s="1" t="s">
        <v>25</v>
      </c>
      <c r="D741" s="1" t="s">
        <v>16</v>
      </c>
      <c r="E741" s="35">
        <v>45302</v>
      </c>
      <c r="F741" s="1">
        <v>18596</v>
      </c>
      <c r="G741" s="1">
        <v>86376</v>
      </c>
      <c r="H741" s="3">
        <v>3842</v>
      </c>
      <c r="I741" s="1">
        <v>12</v>
      </c>
      <c r="J741" s="2">
        <v>45314</v>
      </c>
      <c r="K741" s="8">
        <f>(F741/G741)*100</f>
        <v>21.529128461609705</v>
      </c>
      <c r="L741" s="8">
        <f>(H741/G741)*100</f>
        <v>4.4479948133740859</v>
      </c>
    </row>
    <row r="742" spans="1:12" x14ac:dyDescent="0.3">
      <c r="A742" s="1" t="s">
        <v>750</v>
      </c>
      <c r="B742" s="1" t="s">
        <v>22</v>
      </c>
      <c r="C742" s="1" t="s">
        <v>18</v>
      </c>
      <c r="D742" s="1" t="s">
        <v>16</v>
      </c>
      <c r="E742" s="35">
        <v>45303</v>
      </c>
      <c r="F742" s="1">
        <v>71431</v>
      </c>
      <c r="G742" s="1">
        <v>493004</v>
      </c>
      <c r="H742" s="3">
        <v>2838</v>
      </c>
      <c r="I742" s="1">
        <v>19</v>
      </c>
      <c r="J742" s="2">
        <v>45322</v>
      </c>
      <c r="K742" s="8">
        <f>(F742/G742)*100</f>
        <v>14.488929095909972</v>
      </c>
      <c r="L742" s="8">
        <f>(H742/G742)*100</f>
        <v>0.57565455858370318</v>
      </c>
    </row>
    <row r="743" spans="1:12" x14ac:dyDescent="0.3">
      <c r="A743" s="1" t="s">
        <v>751</v>
      </c>
      <c r="B743" s="1" t="s">
        <v>10</v>
      </c>
      <c r="C743" s="1" t="s">
        <v>27</v>
      </c>
      <c r="D743" s="1" t="s">
        <v>28</v>
      </c>
      <c r="E743" s="35">
        <v>45304</v>
      </c>
      <c r="F743" s="1">
        <v>28673</v>
      </c>
      <c r="G743" s="1">
        <v>68484</v>
      </c>
      <c r="H743" s="3">
        <v>1559</v>
      </c>
      <c r="I743" s="1">
        <v>16</v>
      </c>
      <c r="J743" s="2">
        <v>45320</v>
      </c>
      <c r="K743" s="8">
        <f>(F743/G743)*100</f>
        <v>41.86817358799135</v>
      </c>
      <c r="L743" s="8">
        <f>(H743/G743)*100</f>
        <v>2.2764441329361604</v>
      </c>
    </row>
    <row r="744" spans="1:12" x14ac:dyDescent="0.3">
      <c r="A744" s="1" t="s">
        <v>752</v>
      </c>
      <c r="B744" s="1" t="s">
        <v>22</v>
      </c>
      <c r="C744" s="1" t="s">
        <v>30</v>
      </c>
      <c r="D744" s="1" t="s">
        <v>28</v>
      </c>
      <c r="E744" s="35">
        <v>45305</v>
      </c>
      <c r="F744" s="1">
        <v>94771</v>
      </c>
      <c r="G744" s="1">
        <v>566546</v>
      </c>
      <c r="H744" s="3">
        <v>704</v>
      </c>
      <c r="I744" s="1">
        <v>12</v>
      </c>
      <c r="J744" s="2">
        <v>45317</v>
      </c>
      <c r="K744" s="8">
        <f>(F744/G744)*100</f>
        <v>16.727856167019095</v>
      </c>
      <c r="L744" s="8">
        <f>(H744/G744)*100</f>
        <v>0.12426175456185376</v>
      </c>
    </row>
    <row r="745" spans="1:12" x14ac:dyDescent="0.3">
      <c r="A745" s="1" t="s">
        <v>753</v>
      </c>
      <c r="B745" s="1" t="s">
        <v>14</v>
      </c>
      <c r="C745" s="1" t="s">
        <v>15</v>
      </c>
      <c r="D745" s="1" t="s">
        <v>12</v>
      </c>
      <c r="E745" s="35">
        <v>45306</v>
      </c>
      <c r="F745" s="1">
        <v>80206</v>
      </c>
      <c r="G745" s="1">
        <v>673282</v>
      </c>
      <c r="H745" s="3">
        <v>4049</v>
      </c>
      <c r="I745" s="1">
        <v>11</v>
      </c>
      <c r="J745" s="2">
        <v>45317</v>
      </c>
      <c r="K745" s="8">
        <f>(F745/G745)*100</f>
        <v>11.912690373424509</v>
      </c>
      <c r="L745" s="8">
        <f>(H745/G745)*100</f>
        <v>0.60138248163473851</v>
      </c>
    </row>
    <row r="746" spans="1:12" x14ac:dyDescent="0.3">
      <c r="A746" s="1" t="s">
        <v>754</v>
      </c>
      <c r="B746" s="1" t="s">
        <v>14</v>
      </c>
      <c r="C746" s="1" t="s">
        <v>30</v>
      </c>
      <c r="D746" s="1" t="s">
        <v>32</v>
      </c>
      <c r="E746" s="35">
        <v>45307</v>
      </c>
      <c r="F746" s="1">
        <v>93235</v>
      </c>
      <c r="G746" s="1">
        <v>668513</v>
      </c>
      <c r="H746" s="3">
        <v>3737</v>
      </c>
      <c r="I746" s="1">
        <v>26</v>
      </c>
      <c r="J746" s="2">
        <v>45333</v>
      </c>
      <c r="K746" s="8">
        <f>(F746/G746)*100</f>
        <v>13.946624822553938</v>
      </c>
      <c r="L746" s="8">
        <f>(H746/G746)*100</f>
        <v>0.55900184439195644</v>
      </c>
    </row>
    <row r="747" spans="1:12" x14ac:dyDescent="0.3">
      <c r="A747" s="1" t="s">
        <v>755</v>
      </c>
      <c r="B747" s="1" t="s">
        <v>22</v>
      </c>
      <c r="C747" s="1" t="s">
        <v>15</v>
      </c>
      <c r="D747" s="1" t="s">
        <v>12</v>
      </c>
      <c r="E747" s="35">
        <v>45308</v>
      </c>
      <c r="F747" s="1">
        <v>95270</v>
      </c>
      <c r="G747" s="1">
        <v>319951</v>
      </c>
      <c r="H747" s="3">
        <v>4668</v>
      </c>
      <c r="I747" s="1">
        <v>28</v>
      </c>
      <c r="J747" s="2">
        <v>45336</v>
      </c>
      <c r="K747" s="8">
        <f>(F747/G747)*100</f>
        <v>29.776434516535343</v>
      </c>
      <c r="L747" s="8">
        <f>(H747/G747)*100</f>
        <v>1.458973405302687</v>
      </c>
    </row>
    <row r="748" spans="1:12" x14ac:dyDescent="0.3">
      <c r="A748" s="1" t="s">
        <v>756</v>
      </c>
      <c r="B748" s="1" t="s">
        <v>14</v>
      </c>
      <c r="C748" s="1" t="s">
        <v>15</v>
      </c>
      <c r="D748" s="1" t="s">
        <v>32</v>
      </c>
      <c r="E748" s="35">
        <v>45309</v>
      </c>
      <c r="F748" s="1">
        <v>95148</v>
      </c>
      <c r="G748" s="1">
        <v>757523</v>
      </c>
      <c r="H748" s="3">
        <v>1407</v>
      </c>
      <c r="I748" s="1">
        <v>5</v>
      </c>
      <c r="J748" s="2">
        <v>45314</v>
      </c>
      <c r="K748" s="8">
        <f>(F748/G748)*100</f>
        <v>12.560410707001635</v>
      </c>
      <c r="L748" s="8">
        <f>(H748/G748)*100</f>
        <v>0.18573693472013392</v>
      </c>
    </row>
    <row r="749" spans="1:12" x14ac:dyDescent="0.3">
      <c r="A749" s="1" t="s">
        <v>757</v>
      </c>
      <c r="B749" s="1" t="s">
        <v>10</v>
      </c>
      <c r="C749" s="1" t="s">
        <v>27</v>
      </c>
      <c r="D749" s="1" t="s">
        <v>16</v>
      </c>
      <c r="E749" s="35">
        <v>45310</v>
      </c>
      <c r="F749" s="1">
        <v>21890</v>
      </c>
      <c r="G749" s="1">
        <v>799639</v>
      </c>
      <c r="H749" s="3">
        <v>570</v>
      </c>
      <c r="I749" s="1">
        <v>10</v>
      </c>
      <c r="J749" s="2">
        <v>45320</v>
      </c>
      <c r="K749" s="8">
        <f>(F749/G749)*100</f>
        <v>2.7374852902372195</v>
      </c>
      <c r="L749" s="8">
        <f>(H749/G749)*100</f>
        <v>7.1282166077442435E-2</v>
      </c>
    </row>
    <row r="750" spans="1:12" x14ac:dyDescent="0.3">
      <c r="A750" s="1" t="s">
        <v>758</v>
      </c>
      <c r="B750" s="1" t="s">
        <v>10</v>
      </c>
      <c r="C750" s="1" t="s">
        <v>18</v>
      </c>
      <c r="D750" s="1" t="s">
        <v>32</v>
      </c>
      <c r="E750" s="35">
        <v>45311</v>
      </c>
      <c r="F750" s="1">
        <v>92413</v>
      </c>
      <c r="G750" s="1">
        <v>522479</v>
      </c>
      <c r="H750" s="3">
        <v>390</v>
      </c>
      <c r="I750" s="1">
        <v>19</v>
      </c>
      <c r="J750" s="2">
        <v>45330</v>
      </c>
      <c r="K750" s="8">
        <f>(F750/G750)*100</f>
        <v>17.687409446121279</v>
      </c>
      <c r="L750" s="8">
        <f>(H750/G750)*100</f>
        <v>7.4644148377255345E-2</v>
      </c>
    </row>
    <row r="751" spans="1:12" x14ac:dyDescent="0.3">
      <c r="A751" s="1" t="s">
        <v>759</v>
      </c>
      <c r="B751" s="1" t="s">
        <v>22</v>
      </c>
      <c r="C751" s="1" t="s">
        <v>27</v>
      </c>
      <c r="D751" s="1" t="s">
        <v>12</v>
      </c>
      <c r="E751" s="35">
        <v>45312</v>
      </c>
      <c r="F751" s="1">
        <v>80884</v>
      </c>
      <c r="G751" s="1">
        <v>923433</v>
      </c>
      <c r="H751" s="3">
        <v>1591</v>
      </c>
      <c r="I751" s="1">
        <v>1</v>
      </c>
      <c r="J751" s="2">
        <v>45313</v>
      </c>
      <c r="K751" s="8">
        <f>(F751/G751)*100</f>
        <v>8.7590545280491394</v>
      </c>
      <c r="L751" s="8">
        <f>(H751/G751)*100</f>
        <v>0.17229187174380817</v>
      </c>
    </row>
    <row r="752" spans="1:12" x14ac:dyDescent="0.3">
      <c r="A752" s="1" t="s">
        <v>760</v>
      </c>
      <c r="B752" s="1" t="s">
        <v>22</v>
      </c>
      <c r="C752" s="1" t="s">
        <v>15</v>
      </c>
      <c r="D752" s="1" t="s">
        <v>12</v>
      </c>
      <c r="E752" s="35">
        <v>45313</v>
      </c>
      <c r="F752" s="1">
        <v>33718</v>
      </c>
      <c r="G752" s="1">
        <v>689929</v>
      </c>
      <c r="H752" s="3">
        <v>611</v>
      </c>
      <c r="I752" s="1">
        <v>17</v>
      </c>
      <c r="J752" s="2">
        <v>45330</v>
      </c>
      <c r="K752" s="8">
        <f>(F752/G752)*100</f>
        <v>4.8871695493304381</v>
      </c>
      <c r="L752" s="8">
        <f>(H752/G752)*100</f>
        <v>8.8559837316593448E-2</v>
      </c>
    </row>
    <row r="753" spans="1:12" x14ac:dyDescent="0.3">
      <c r="A753" s="1" t="s">
        <v>761</v>
      </c>
      <c r="B753" s="1" t="s">
        <v>22</v>
      </c>
      <c r="C753" s="1" t="s">
        <v>11</v>
      </c>
      <c r="D753" s="1" t="s">
        <v>16</v>
      </c>
      <c r="E753" s="35">
        <v>45314</v>
      </c>
      <c r="F753" s="1">
        <v>6106</v>
      </c>
      <c r="G753" s="1">
        <v>907816</v>
      </c>
      <c r="H753" s="3">
        <v>3707</v>
      </c>
      <c r="I753" s="1">
        <v>29</v>
      </c>
      <c r="J753" s="2">
        <v>45343</v>
      </c>
      <c r="K753" s="8">
        <f>(F753/G753)*100</f>
        <v>0.67260325881015537</v>
      </c>
      <c r="L753" s="8">
        <f>(H753/G753)*100</f>
        <v>0.40834265974602785</v>
      </c>
    </row>
    <row r="754" spans="1:12" x14ac:dyDescent="0.3">
      <c r="A754" s="1" t="s">
        <v>762</v>
      </c>
      <c r="B754" s="1" t="s">
        <v>14</v>
      </c>
      <c r="C754" s="1" t="s">
        <v>37</v>
      </c>
      <c r="D754" s="1" t="s">
        <v>28</v>
      </c>
      <c r="E754" s="35">
        <v>45315</v>
      </c>
      <c r="F754" s="1">
        <v>24656</v>
      </c>
      <c r="G754" s="1">
        <v>629463</v>
      </c>
      <c r="H754" s="3">
        <v>4437</v>
      </c>
      <c r="I754" s="1">
        <v>27</v>
      </c>
      <c r="J754" s="2">
        <v>45342</v>
      </c>
      <c r="K754" s="8">
        <f>(F754/G754)*100</f>
        <v>3.9169895609432168</v>
      </c>
      <c r="L754" s="8">
        <f>(H754/G754)*100</f>
        <v>0.70488654615124324</v>
      </c>
    </row>
    <row r="755" spans="1:12" x14ac:dyDescent="0.3">
      <c r="A755" s="1" t="s">
        <v>763</v>
      </c>
      <c r="B755" s="1" t="s">
        <v>14</v>
      </c>
      <c r="C755" s="1" t="s">
        <v>27</v>
      </c>
      <c r="D755" s="1" t="s">
        <v>19</v>
      </c>
      <c r="E755" s="35">
        <v>45316</v>
      </c>
      <c r="F755" s="1">
        <v>22190</v>
      </c>
      <c r="G755" s="1">
        <v>388722</v>
      </c>
      <c r="H755" s="3">
        <v>2372</v>
      </c>
      <c r="I755" s="1">
        <v>21</v>
      </c>
      <c r="J755" s="2">
        <v>45337</v>
      </c>
      <c r="K755" s="8">
        <f>(F755/G755)*100</f>
        <v>5.7084497404314654</v>
      </c>
      <c r="L755" s="8">
        <f>(H755/G755)*100</f>
        <v>0.61020472214075872</v>
      </c>
    </row>
    <row r="756" spans="1:12" x14ac:dyDescent="0.3">
      <c r="A756" s="1" t="s">
        <v>764</v>
      </c>
      <c r="B756" s="1" t="s">
        <v>22</v>
      </c>
      <c r="C756" s="1" t="s">
        <v>15</v>
      </c>
      <c r="D756" s="1" t="s">
        <v>12</v>
      </c>
      <c r="E756" s="35">
        <v>45317</v>
      </c>
      <c r="F756" s="1">
        <v>57592</v>
      </c>
      <c r="G756" s="1">
        <v>392281</v>
      </c>
      <c r="H756" s="3">
        <v>700</v>
      </c>
      <c r="I756" s="1">
        <v>5</v>
      </c>
      <c r="J756" s="2">
        <v>45322</v>
      </c>
      <c r="K756" s="8">
        <f>(F756/G756)*100</f>
        <v>14.68131263048682</v>
      </c>
      <c r="L756" s="8">
        <f>(H756/G756)*100</f>
        <v>0.17844351370573644</v>
      </c>
    </row>
    <row r="757" spans="1:12" x14ac:dyDescent="0.3">
      <c r="A757" s="1" t="s">
        <v>765</v>
      </c>
      <c r="B757" s="1" t="s">
        <v>22</v>
      </c>
      <c r="C757" s="1" t="s">
        <v>15</v>
      </c>
      <c r="D757" s="1" t="s">
        <v>19</v>
      </c>
      <c r="E757" s="35">
        <v>45318</v>
      </c>
      <c r="F757" s="1">
        <v>64299</v>
      </c>
      <c r="G757" s="1">
        <v>672616</v>
      </c>
      <c r="H757" s="3">
        <v>4402</v>
      </c>
      <c r="I757" s="1">
        <v>25</v>
      </c>
      <c r="J757" s="2">
        <v>45343</v>
      </c>
      <c r="K757" s="8">
        <f>(F757/G757)*100</f>
        <v>9.5595406591576761</v>
      </c>
      <c r="L757" s="8">
        <f>(H757/G757)*100</f>
        <v>0.65445960250722546</v>
      </c>
    </row>
    <row r="758" spans="1:12" x14ac:dyDescent="0.3">
      <c r="A758" s="1" t="s">
        <v>766</v>
      </c>
      <c r="B758" s="1" t="s">
        <v>24</v>
      </c>
      <c r="C758" s="1" t="s">
        <v>27</v>
      </c>
      <c r="D758" s="1" t="s">
        <v>12</v>
      </c>
      <c r="E758" s="35">
        <v>45319</v>
      </c>
      <c r="F758" s="1">
        <v>16534</v>
      </c>
      <c r="G758" s="1">
        <v>787070</v>
      </c>
      <c r="H758" s="3">
        <v>2007</v>
      </c>
      <c r="I758" s="1">
        <v>22</v>
      </c>
      <c r="J758" s="2">
        <v>45341</v>
      </c>
      <c r="K758" s="8">
        <f>(F758/G758)*100</f>
        <v>2.1007026058673306</v>
      </c>
      <c r="L758" s="8">
        <f>(H758/G758)*100</f>
        <v>0.25499637897518646</v>
      </c>
    </row>
    <row r="759" spans="1:12" x14ac:dyDescent="0.3">
      <c r="A759" s="1" t="s">
        <v>767</v>
      </c>
      <c r="B759" s="1" t="s">
        <v>22</v>
      </c>
      <c r="C759" s="1" t="s">
        <v>27</v>
      </c>
      <c r="D759" s="1" t="s">
        <v>32</v>
      </c>
      <c r="E759" s="35">
        <v>45320</v>
      </c>
      <c r="F759" s="1">
        <v>11081</v>
      </c>
      <c r="G759" s="1">
        <v>745197</v>
      </c>
      <c r="H759" s="3">
        <v>2463</v>
      </c>
      <c r="I759" s="1">
        <v>9</v>
      </c>
      <c r="J759" s="2">
        <v>45329</v>
      </c>
      <c r="K759" s="8">
        <f>(F759/G759)*100</f>
        <v>1.4869893464412764</v>
      </c>
      <c r="L759" s="8">
        <f>(H759/G759)*100</f>
        <v>0.33051662848884256</v>
      </c>
    </row>
    <row r="760" spans="1:12" x14ac:dyDescent="0.3">
      <c r="A760" s="1" t="s">
        <v>768</v>
      </c>
      <c r="B760" s="1" t="s">
        <v>14</v>
      </c>
      <c r="C760" s="1" t="s">
        <v>11</v>
      </c>
      <c r="D760" s="1" t="s">
        <v>16</v>
      </c>
      <c r="E760" s="35">
        <v>45321</v>
      </c>
      <c r="F760" s="1">
        <v>25597</v>
      </c>
      <c r="G760" s="1">
        <v>719040</v>
      </c>
      <c r="H760" s="3">
        <v>4662</v>
      </c>
      <c r="I760" s="1">
        <v>23</v>
      </c>
      <c r="J760" s="2">
        <f>E760+I760</f>
        <v>45344</v>
      </c>
      <c r="K760" s="8">
        <f>(F760/G760)*100</f>
        <v>3.5598854027592344</v>
      </c>
      <c r="L760" s="8">
        <f>(H760/G760)*100</f>
        <v>0.64836448598130836</v>
      </c>
    </row>
    <row r="761" spans="1:12" x14ac:dyDescent="0.3">
      <c r="A761" s="1" t="s">
        <v>769</v>
      </c>
      <c r="B761" s="1" t="s">
        <v>10</v>
      </c>
      <c r="C761" s="1" t="s">
        <v>25</v>
      </c>
      <c r="D761" s="1" t="s">
        <v>16</v>
      </c>
      <c r="E761" s="35">
        <v>45322</v>
      </c>
      <c r="F761" s="1">
        <v>82376</v>
      </c>
      <c r="G761" s="1">
        <v>116454</v>
      </c>
      <c r="H761" s="3">
        <v>2799</v>
      </c>
      <c r="I761" s="1">
        <v>17</v>
      </c>
      <c r="J761" s="2">
        <f>E761+I761</f>
        <v>45339</v>
      </c>
      <c r="K761" s="8">
        <f>(F761/G761)*100</f>
        <v>70.736943342435637</v>
      </c>
      <c r="L761" s="8">
        <f>(H761/G761)*100</f>
        <v>2.4035241382863624</v>
      </c>
    </row>
    <row r="762" spans="1:12" x14ac:dyDescent="0.3">
      <c r="A762" s="1" t="s">
        <v>770</v>
      </c>
      <c r="B762" s="1" t="s">
        <v>22</v>
      </c>
      <c r="C762" s="1" t="s">
        <v>27</v>
      </c>
      <c r="D762" s="1" t="s">
        <v>19</v>
      </c>
      <c r="E762" s="35">
        <v>45323</v>
      </c>
      <c r="F762" s="1">
        <v>55449</v>
      </c>
      <c r="G762" s="1">
        <v>713111</v>
      </c>
      <c r="H762" s="3">
        <v>1608</v>
      </c>
      <c r="I762" s="1">
        <v>6</v>
      </c>
      <c r="J762" s="2">
        <f>E762+I762</f>
        <v>45329</v>
      </c>
      <c r="K762" s="8">
        <f>(F762/G762)*100</f>
        <v>7.775647830421911</v>
      </c>
      <c r="L762" s="8">
        <f>(H762/G762)*100</f>
        <v>0.22549084223914651</v>
      </c>
    </row>
    <row r="763" spans="1:12" x14ac:dyDescent="0.3">
      <c r="A763" s="1" t="s">
        <v>771</v>
      </c>
      <c r="B763" s="1" t="s">
        <v>22</v>
      </c>
      <c r="C763" s="1" t="s">
        <v>15</v>
      </c>
      <c r="D763" s="1" t="s">
        <v>28</v>
      </c>
      <c r="E763" s="35">
        <v>45324</v>
      </c>
      <c r="F763" s="1">
        <v>84630</v>
      </c>
      <c r="G763" s="1">
        <v>208035</v>
      </c>
      <c r="H763" s="3">
        <v>615</v>
      </c>
      <c r="I763" s="1">
        <v>23</v>
      </c>
      <c r="J763" s="2">
        <f>E763+I763</f>
        <v>45347</v>
      </c>
      <c r="K763" s="8">
        <f>(F763/G763)*100</f>
        <v>40.680654697526855</v>
      </c>
      <c r="L763" s="8">
        <f>(H763/G763)*100</f>
        <v>0.29562333261230084</v>
      </c>
    </row>
    <row r="764" spans="1:12" x14ac:dyDescent="0.3">
      <c r="A764" s="1" t="s">
        <v>772</v>
      </c>
      <c r="B764" s="1" t="s">
        <v>22</v>
      </c>
      <c r="C764" s="1" t="s">
        <v>18</v>
      </c>
      <c r="D764" s="1" t="s">
        <v>16</v>
      </c>
      <c r="E764" s="35">
        <v>45325</v>
      </c>
      <c r="F764" s="1">
        <v>89250</v>
      </c>
      <c r="G764" s="1">
        <v>388363</v>
      </c>
      <c r="H764" s="3">
        <v>4483</v>
      </c>
      <c r="I764" s="1">
        <v>15</v>
      </c>
      <c r="J764" s="2">
        <f>E764+I764</f>
        <v>45340</v>
      </c>
      <c r="K764" s="8">
        <f>(F764/G764)*100</f>
        <v>22.981076982101797</v>
      </c>
      <c r="L764" s="8">
        <f>(H764/G764)*100</f>
        <v>1.1543324158068611</v>
      </c>
    </row>
    <row r="765" spans="1:12" x14ac:dyDescent="0.3">
      <c r="A765" s="1" t="s">
        <v>773</v>
      </c>
      <c r="B765" s="1" t="s">
        <v>24</v>
      </c>
      <c r="C765" s="1" t="s">
        <v>27</v>
      </c>
      <c r="D765" s="1" t="s">
        <v>32</v>
      </c>
      <c r="E765" s="35">
        <v>45326</v>
      </c>
      <c r="F765" s="1">
        <v>32045</v>
      </c>
      <c r="G765" s="1">
        <v>57860</v>
      </c>
      <c r="H765" s="3">
        <v>941</v>
      </c>
      <c r="I765" s="1">
        <v>8</v>
      </c>
      <c r="J765" s="2">
        <f>E765+I765</f>
        <v>45334</v>
      </c>
      <c r="K765" s="8">
        <f>(F765/G765)*100</f>
        <v>55.383684756308327</v>
      </c>
      <c r="L765" s="8">
        <f>(H765/G765)*100</f>
        <v>1.6263394400276532</v>
      </c>
    </row>
    <row r="766" spans="1:12" x14ac:dyDescent="0.3">
      <c r="A766" s="1" t="s">
        <v>774</v>
      </c>
      <c r="B766" s="1" t="s">
        <v>22</v>
      </c>
      <c r="C766" s="1" t="s">
        <v>27</v>
      </c>
      <c r="D766" s="1" t="s">
        <v>19</v>
      </c>
      <c r="E766" s="35">
        <v>45327</v>
      </c>
      <c r="F766" s="1">
        <v>44947</v>
      </c>
      <c r="G766" s="1">
        <v>653872</v>
      </c>
      <c r="H766" s="3">
        <v>1762</v>
      </c>
      <c r="I766" s="1">
        <v>16</v>
      </c>
      <c r="J766" s="2">
        <f>E766+I766</f>
        <v>45343</v>
      </c>
      <c r="K766" s="8">
        <f>(F766/G766)*100</f>
        <v>6.8739753346220667</v>
      </c>
      <c r="L766" s="8">
        <f>(H766/G766)*100</f>
        <v>0.26947170088335332</v>
      </c>
    </row>
    <row r="767" spans="1:12" x14ac:dyDescent="0.3">
      <c r="A767" s="1" t="s">
        <v>775</v>
      </c>
      <c r="B767" s="1" t="s">
        <v>22</v>
      </c>
      <c r="C767" s="1" t="s">
        <v>30</v>
      </c>
      <c r="D767" s="1" t="s">
        <v>12</v>
      </c>
      <c r="E767" s="35">
        <v>45328</v>
      </c>
      <c r="F767" s="1">
        <v>91274</v>
      </c>
      <c r="G767" s="1">
        <v>499968</v>
      </c>
      <c r="H767" s="3">
        <v>1516</v>
      </c>
      <c r="I767" s="1">
        <v>23</v>
      </c>
      <c r="J767" s="2">
        <f>E767+I767</f>
        <v>45351</v>
      </c>
      <c r="K767" s="8">
        <f>(F767/G767)*100</f>
        <v>18.255968381976444</v>
      </c>
      <c r="L767" s="8">
        <f>(H767/G767)*100</f>
        <v>0.30321940604198666</v>
      </c>
    </row>
    <row r="768" spans="1:12" x14ac:dyDescent="0.3">
      <c r="A768" s="1" t="s">
        <v>776</v>
      </c>
      <c r="B768" s="1" t="s">
        <v>22</v>
      </c>
      <c r="C768" s="1" t="s">
        <v>11</v>
      </c>
      <c r="D768" s="1" t="s">
        <v>32</v>
      </c>
      <c r="E768" s="35">
        <v>45329</v>
      </c>
      <c r="F768" s="1">
        <v>76146</v>
      </c>
      <c r="G768" s="1">
        <v>326238</v>
      </c>
      <c r="H768" s="3">
        <v>610</v>
      </c>
      <c r="I768" s="1">
        <v>19</v>
      </c>
      <c r="J768" s="2">
        <f>E768+I768</f>
        <v>45348</v>
      </c>
      <c r="K768" s="8">
        <f>(F768/G768)*100</f>
        <v>23.340628620822834</v>
      </c>
      <c r="L768" s="8">
        <f>(H768/G768)*100</f>
        <v>0.18698005750403079</v>
      </c>
    </row>
    <row r="769" spans="1:12" x14ac:dyDescent="0.3">
      <c r="A769" s="1" t="s">
        <v>777</v>
      </c>
      <c r="B769" s="1" t="s">
        <v>22</v>
      </c>
      <c r="C769" s="1" t="s">
        <v>25</v>
      </c>
      <c r="D769" s="1" t="s">
        <v>12</v>
      </c>
      <c r="E769" s="35">
        <v>45330</v>
      </c>
      <c r="F769" s="1">
        <v>23429</v>
      </c>
      <c r="G769" s="1">
        <v>499160</v>
      </c>
      <c r="H769" s="3">
        <v>4332</v>
      </c>
      <c r="I769" s="1">
        <v>18</v>
      </c>
      <c r="J769" s="2">
        <f>E769+I769</f>
        <v>45348</v>
      </c>
      <c r="K769" s="8">
        <f>(F769/G769)*100</f>
        <v>4.6936853914576488</v>
      </c>
      <c r="L769" s="8">
        <f>(H769/G769)*100</f>
        <v>0.86785800144242331</v>
      </c>
    </row>
    <row r="770" spans="1:12" x14ac:dyDescent="0.3">
      <c r="A770" s="1" t="s">
        <v>778</v>
      </c>
      <c r="B770" s="1" t="s">
        <v>14</v>
      </c>
      <c r="C770" s="1" t="s">
        <v>15</v>
      </c>
      <c r="D770" s="1" t="s">
        <v>19</v>
      </c>
      <c r="E770" s="35">
        <v>45331</v>
      </c>
      <c r="F770" s="1">
        <v>66511</v>
      </c>
      <c r="G770" s="1">
        <v>743862</v>
      </c>
      <c r="H770" s="3">
        <v>1442</v>
      </c>
      <c r="I770" s="1">
        <v>1</v>
      </c>
      <c r="J770" s="2">
        <f>E770+I770</f>
        <v>45332</v>
      </c>
      <c r="K770" s="8">
        <f>(F770/G770)*100</f>
        <v>8.9413090062404059</v>
      </c>
      <c r="L770" s="8">
        <f>(H770/G770)*100</f>
        <v>0.19385316093576496</v>
      </c>
    </row>
    <row r="771" spans="1:12" x14ac:dyDescent="0.3">
      <c r="A771" s="1" t="s">
        <v>779</v>
      </c>
      <c r="B771" s="1" t="s">
        <v>22</v>
      </c>
      <c r="C771" s="1" t="s">
        <v>18</v>
      </c>
      <c r="D771" s="1" t="s">
        <v>12</v>
      </c>
      <c r="E771" s="35">
        <v>45332</v>
      </c>
      <c r="F771" s="1">
        <v>27151</v>
      </c>
      <c r="G771" s="1">
        <v>523824</v>
      </c>
      <c r="H771" s="3">
        <v>2847</v>
      </c>
      <c r="I771" s="1">
        <v>14</v>
      </c>
      <c r="J771" s="2">
        <f>E771+I771</f>
        <v>45346</v>
      </c>
      <c r="K771" s="8">
        <f>(F771/G771)*100</f>
        <v>5.1832294816579614</v>
      </c>
      <c r="L771" s="8">
        <f>(H771/G771)*100</f>
        <v>0.5435031613671768</v>
      </c>
    </row>
    <row r="772" spans="1:12" x14ac:dyDescent="0.3">
      <c r="A772" s="1" t="s">
        <v>780</v>
      </c>
      <c r="B772" s="1" t="s">
        <v>14</v>
      </c>
      <c r="C772" s="1" t="s">
        <v>37</v>
      </c>
      <c r="D772" s="1" t="s">
        <v>32</v>
      </c>
      <c r="E772" s="35">
        <v>45333</v>
      </c>
      <c r="F772" s="1">
        <v>60809</v>
      </c>
      <c r="G772" s="1">
        <v>203922</v>
      </c>
      <c r="H772" s="3">
        <v>1814</v>
      </c>
      <c r="I772" s="1">
        <v>29</v>
      </c>
      <c r="J772" s="2">
        <f>E772+I772</f>
        <v>45362</v>
      </c>
      <c r="K772" s="8">
        <f>(F772/G772)*100</f>
        <v>29.819734996714431</v>
      </c>
      <c r="L772" s="8">
        <f>(H772/G772)*100</f>
        <v>0.8895558105550162</v>
      </c>
    </row>
    <row r="773" spans="1:12" x14ac:dyDescent="0.3">
      <c r="A773" s="1" t="s">
        <v>781</v>
      </c>
      <c r="B773" s="1" t="s">
        <v>14</v>
      </c>
      <c r="C773" s="1" t="s">
        <v>30</v>
      </c>
      <c r="D773" s="1" t="s">
        <v>28</v>
      </c>
      <c r="E773" s="35">
        <v>45334</v>
      </c>
      <c r="F773" s="1">
        <v>24734</v>
      </c>
      <c r="G773" s="1">
        <v>579983</v>
      </c>
      <c r="H773" s="3">
        <v>523</v>
      </c>
      <c r="I773" s="1">
        <v>20</v>
      </c>
      <c r="J773" s="2">
        <f>E773+I773</f>
        <v>45354</v>
      </c>
      <c r="K773" s="8">
        <f>(F773/G773)*100</f>
        <v>4.2646077557445654</v>
      </c>
      <c r="L773" s="8">
        <f>(H773/G773)*100</f>
        <v>9.0175056855114719E-2</v>
      </c>
    </row>
    <row r="774" spans="1:12" x14ac:dyDescent="0.3">
      <c r="A774" s="1" t="s">
        <v>782</v>
      </c>
      <c r="B774" s="1" t="s">
        <v>10</v>
      </c>
      <c r="C774" s="1" t="s">
        <v>15</v>
      </c>
      <c r="D774" s="1" t="s">
        <v>16</v>
      </c>
      <c r="E774" s="35">
        <v>45335</v>
      </c>
      <c r="F774" s="1">
        <v>10973</v>
      </c>
      <c r="G774" s="1">
        <v>963940</v>
      </c>
      <c r="H774" s="3">
        <v>3371</v>
      </c>
      <c r="I774" s="1">
        <v>13</v>
      </c>
      <c r="J774" s="2">
        <f>E774+I774</f>
        <v>45348</v>
      </c>
      <c r="K774" s="8">
        <f>(F774/G774)*100</f>
        <v>1.1383488598875449</v>
      </c>
      <c r="L774" s="8">
        <f>(H774/G774)*100</f>
        <v>0.3497105628981057</v>
      </c>
    </row>
    <row r="775" spans="1:12" x14ac:dyDescent="0.3">
      <c r="A775" s="1" t="s">
        <v>783</v>
      </c>
      <c r="B775" s="1" t="s">
        <v>22</v>
      </c>
      <c r="C775" s="1" t="s">
        <v>25</v>
      </c>
      <c r="D775" s="1" t="s">
        <v>12</v>
      </c>
      <c r="E775" s="35">
        <v>45336</v>
      </c>
      <c r="F775" s="1">
        <v>44718</v>
      </c>
      <c r="G775" s="1">
        <v>105119</v>
      </c>
      <c r="H775" s="3">
        <v>2749</v>
      </c>
      <c r="I775" s="1">
        <v>11</v>
      </c>
      <c r="J775" s="2">
        <f>E775+I775</f>
        <v>45347</v>
      </c>
      <c r="K775" s="8">
        <f>(F775/G775)*100</f>
        <v>42.540359021680189</v>
      </c>
      <c r="L775" s="8">
        <f>(H775/G775)*100</f>
        <v>2.6151314224830906</v>
      </c>
    </row>
    <row r="776" spans="1:12" x14ac:dyDescent="0.3">
      <c r="A776" s="1" t="s">
        <v>784</v>
      </c>
      <c r="B776" s="1" t="s">
        <v>10</v>
      </c>
      <c r="C776" s="1" t="s">
        <v>27</v>
      </c>
      <c r="D776" s="1" t="s">
        <v>28</v>
      </c>
      <c r="E776" s="35">
        <v>45337</v>
      </c>
      <c r="F776" s="1">
        <v>80141</v>
      </c>
      <c r="G776" s="1">
        <v>728154</v>
      </c>
      <c r="H776" s="3">
        <v>3144</v>
      </c>
      <c r="I776" s="1">
        <v>10</v>
      </c>
      <c r="J776" s="2">
        <f>E776+I776</f>
        <v>45347</v>
      </c>
      <c r="K776" s="8">
        <f>(F776/G776)*100</f>
        <v>11.006050917800355</v>
      </c>
      <c r="L776" s="8">
        <f>(H776/G776)*100</f>
        <v>0.43177679446930184</v>
      </c>
    </row>
    <row r="777" spans="1:12" x14ac:dyDescent="0.3">
      <c r="A777" s="1" t="s">
        <v>785</v>
      </c>
      <c r="B777" s="1" t="s">
        <v>14</v>
      </c>
      <c r="C777" s="1" t="s">
        <v>30</v>
      </c>
      <c r="D777" s="1" t="s">
        <v>32</v>
      </c>
      <c r="E777" s="35">
        <v>45338</v>
      </c>
      <c r="F777" s="1">
        <v>70379</v>
      </c>
      <c r="G777" s="1">
        <v>838965</v>
      </c>
      <c r="H777" s="3">
        <v>4159</v>
      </c>
      <c r="I777" s="1">
        <v>1</v>
      </c>
      <c r="J777" s="2">
        <v>45339</v>
      </c>
      <c r="K777" s="8">
        <f>(F777/G777)*100</f>
        <v>8.3887885668651254</v>
      </c>
      <c r="L777" s="8">
        <f>(H777/G777)*100</f>
        <v>0.4957298576221893</v>
      </c>
    </row>
    <row r="778" spans="1:12" x14ac:dyDescent="0.3">
      <c r="A778" s="1" t="s">
        <v>786</v>
      </c>
      <c r="B778" s="1" t="s">
        <v>22</v>
      </c>
      <c r="C778" s="1" t="s">
        <v>37</v>
      </c>
      <c r="D778" s="1" t="s">
        <v>28</v>
      </c>
      <c r="E778" s="35">
        <v>45339</v>
      </c>
      <c r="F778" s="1">
        <v>89814</v>
      </c>
      <c r="G778" s="1">
        <v>847051</v>
      </c>
      <c r="H778" s="3">
        <v>1109</v>
      </c>
      <c r="I778" s="1">
        <v>28</v>
      </c>
      <c r="J778" s="2">
        <v>45367</v>
      </c>
      <c r="K778" s="8">
        <f>(F778/G778)*100</f>
        <v>10.603139598442123</v>
      </c>
      <c r="L778" s="8">
        <f>(H778/G778)*100</f>
        <v>0.13092482034729905</v>
      </c>
    </row>
    <row r="779" spans="1:12" x14ac:dyDescent="0.3">
      <c r="A779" s="1" t="s">
        <v>787</v>
      </c>
      <c r="B779" s="1" t="s">
        <v>10</v>
      </c>
      <c r="C779" s="1" t="s">
        <v>18</v>
      </c>
      <c r="D779" s="1" t="s">
        <v>28</v>
      </c>
      <c r="E779" s="35">
        <v>45340</v>
      </c>
      <c r="F779" s="1">
        <v>46384</v>
      </c>
      <c r="G779" s="1">
        <v>798726</v>
      </c>
      <c r="H779" s="3">
        <v>3863</v>
      </c>
      <c r="I779" s="1">
        <v>7</v>
      </c>
      <c r="J779" s="2">
        <v>45347</v>
      </c>
      <c r="K779" s="8">
        <f>(F779/G779)*100</f>
        <v>5.8072480425076938</v>
      </c>
      <c r="L779" s="8">
        <f>(H779/G779)*100</f>
        <v>0.48364520498894492</v>
      </c>
    </row>
    <row r="780" spans="1:12" x14ac:dyDescent="0.3">
      <c r="A780" s="1" t="s">
        <v>788</v>
      </c>
      <c r="B780" s="1" t="s">
        <v>10</v>
      </c>
      <c r="C780" s="1" t="s">
        <v>27</v>
      </c>
      <c r="D780" s="1" t="s">
        <v>28</v>
      </c>
      <c r="E780" s="35">
        <v>45341</v>
      </c>
      <c r="F780" s="1">
        <v>87146</v>
      </c>
      <c r="G780" s="1">
        <v>460045</v>
      </c>
      <c r="H780" s="3">
        <v>287</v>
      </c>
      <c r="I780" s="1">
        <v>12</v>
      </c>
      <c r="J780" s="2">
        <v>45353</v>
      </c>
      <c r="K780" s="8">
        <f>(F780/G780)*100</f>
        <v>18.942929496027563</v>
      </c>
      <c r="L780" s="8">
        <f>(H780/G780)*100</f>
        <v>6.2385201447684467E-2</v>
      </c>
    </row>
    <row r="781" spans="1:12" x14ac:dyDescent="0.3">
      <c r="A781" s="1" t="s">
        <v>789</v>
      </c>
      <c r="B781" s="1" t="s">
        <v>22</v>
      </c>
      <c r="C781" s="1" t="s">
        <v>37</v>
      </c>
      <c r="D781" s="1" t="s">
        <v>12</v>
      </c>
      <c r="E781" s="35">
        <v>45342</v>
      </c>
      <c r="F781" s="1">
        <v>31311</v>
      </c>
      <c r="G781" s="1">
        <v>830973</v>
      </c>
      <c r="H781" s="3">
        <v>2573</v>
      </c>
      <c r="I781" s="1">
        <v>3</v>
      </c>
      <c r="J781" s="2">
        <v>45345</v>
      </c>
      <c r="K781" s="8">
        <f>(F781/G781)*100</f>
        <v>3.7679924618489409</v>
      </c>
      <c r="L781" s="8">
        <f>(H781/G781)*100</f>
        <v>0.30963701588378922</v>
      </c>
    </row>
    <row r="782" spans="1:12" x14ac:dyDescent="0.3">
      <c r="A782" s="1" t="s">
        <v>790</v>
      </c>
      <c r="B782" s="1" t="s">
        <v>24</v>
      </c>
      <c r="C782" s="1" t="s">
        <v>25</v>
      </c>
      <c r="D782" s="1" t="s">
        <v>32</v>
      </c>
      <c r="E782" s="35">
        <v>45343</v>
      </c>
      <c r="F782" s="1">
        <v>67165</v>
      </c>
      <c r="G782" s="1">
        <v>136694</v>
      </c>
      <c r="H782" s="3">
        <v>1401</v>
      </c>
      <c r="I782" s="1">
        <v>2</v>
      </c>
      <c r="J782" s="2">
        <v>45345</v>
      </c>
      <c r="K782" s="8">
        <f>(F782/G782)*100</f>
        <v>49.135294892241063</v>
      </c>
      <c r="L782" s="8">
        <f>(H782/G782)*100</f>
        <v>1.0249169678259471</v>
      </c>
    </row>
    <row r="783" spans="1:12" x14ac:dyDescent="0.3">
      <c r="A783" s="1" t="s">
        <v>791</v>
      </c>
      <c r="B783" s="1" t="s">
        <v>14</v>
      </c>
      <c r="C783" s="1" t="s">
        <v>27</v>
      </c>
      <c r="D783" s="1" t="s">
        <v>12</v>
      </c>
      <c r="E783" s="35">
        <v>45344</v>
      </c>
      <c r="F783" s="1">
        <v>6405</v>
      </c>
      <c r="G783" s="1">
        <v>770408</v>
      </c>
      <c r="H783" s="3">
        <v>2055</v>
      </c>
      <c r="I783" s="1">
        <v>4</v>
      </c>
      <c r="J783" s="2">
        <v>45348</v>
      </c>
      <c r="K783" s="8">
        <f>(F783/G783)*100</f>
        <v>0.83137765962970278</v>
      </c>
      <c r="L783" s="8">
        <f>(H783/G783)*100</f>
        <v>0.26674177838236363</v>
      </c>
    </row>
    <row r="784" spans="1:12" x14ac:dyDescent="0.3">
      <c r="A784" s="1" t="s">
        <v>792</v>
      </c>
      <c r="B784" s="1" t="s">
        <v>14</v>
      </c>
      <c r="C784" s="1" t="s">
        <v>11</v>
      </c>
      <c r="D784" s="1" t="s">
        <v>12</v>
      </c>
      <c r="E784" s="35">
        <v>45345</v>
      </c>
      <c r="F784" s="1">
        <v>3551</v>
      </c>
      <c r="G784" s="1">
        <v>734693</v>
      </c>
      <c r="H784" s="3">
        <v>1695</v>
      </c>
      <c r="I784" s="1">
        <v>20</v>
      </c>
      <c r="J784" s="2">
        <v>45365</v>
      </c>
      <c r="K784" s="8">
        <f>(F784/G784)*100</f>
        <v>0.48333113286774204</v>
      </c>
      <c r="L784" s="8">
        <f>(H784/G784)*100</f>
        <v>0.23070860890194952</v>
      </c>
    </row>
    <row r="785" spans="1:12" x14ac:dyDescent="0.3">
      <c r="A785" s="1" t="s">
        <v>793</v>
      </c>
      <c r="B785" s="1" t="s">
        <v>24</v>
      </c>
      <c r="C785" s="1" t="s">
        <v>27</v>
      </c>
      <c r="D785" s="1" t="s">
        <v>28</v>
      </c>
      <c r="E785" s="35">
        <v>45346</v>
      </c>
      <c r="F785" s="1">
        <v>57505</v>
      </c>
      <c r="G785" s="1">
        <v>54653</v>
      </c>
      <c r="H785" s="3">
        <v>4810</v>
      </c>
      <c r="I785" s="1">
        <v>2</v>
      </c>
      <c r="J785" s="2">
        <v>45348</v>
      </c>
      <c r="K785" s="8">
        <f>(F785/G785)*100</f>
        <v>105.218377765173</v>
      </c>
      <c r="L785" s="8">
        <f>(H785/G785)*100</f>
        <v>8.8009807329881262</v>
      </c>
    </row>
    <row r="786" spans="1:12" x14ac:dyDescent="0.3">
      <c r="A786" s="1" t="s">
        <v>794</v>
      </c>
      <c r="B786" s="1" t="s">
        <v>22</v>
      </c>
      <c r="C786" s="1" t="s">
        <v>15</v>
      </c>
      <c r="D786" s="1" t="s">
        <v>12</v>
      </c>
      <c r="E786" s="35">
        <v>45347</v>
      </c>
      <c r="F786" s="1">
        <v>44667</v>
      </c>
      <c r="G786" s="1">
        <v>662637</v>
      </c>
      <c r="H786" s="3">
        <v>2761</v>
      </c>
      <c r="I786" s="1">
        <v>11</v>
      </c>
      <c r="J786" s="2">
        <v>45358</v>
      </c>
      <c r="K786" s="8">
        <f>(F786/G786)*100</f>
        <v>6.7407947337682632</v>
      </c>
      <c r="L786" s="8">
        <f>(H786/G786)*100</f>
        <v>0.41666855306902573</v>
      </c>
    </row>
    <row r="787" spans="1:12" x14ac:dyDescent="0.3">
      <c r="A787" s="1" t="s">
        <v>795</v>
      </c>
      <c r="B787" s="1" t="s">
        <v>10</v>
      </c>
      <c r="C787" s="1" t="s">
        <v>37</v>
      </c>
      <c r="D787" s="1" t="s">
        <v>32</v>
      </c>
      <c r="E787" s="35">
        <v>45348</v>
      </c>
      <c r="F787" s="1">
        <v>71775</v>
      </c>
      <c r="G787" s="1">
        <v>268585</v>
      </c>
      <c r="H787" s="3">
        <v>4789</v>
      </c>
      <c r="I787" s="1">
        <v>29</v>
      </c>
      <c r="J787" s="2">
        <v>45377</v>
      </c>
      <c r="K787" s="8">
        <f>(F787/G787)*100</f>
        <v>26.723383658804472</v>
      </c>
      <c r="L787" s="8">
        <f>(H787/G787)*100</f>
        <v>1.7830481970325969</v>
      </c>
    </row>
    <row r="788" spans="1:12" x14ac:dyDescent="0.3">
      <c r="A788" s="1" t="s">
        <v>796</v>
      </c>
      <c r="B788" s="1" t="s">
        <v>22</v>
      </c>
      <c r="C788" s="1" t="s">
        <v>11</v>
      </c>
      <c r="D788" s="1" t="s">
        <v>32</v>
      </c>
      <c r="E788" s="35">
        <v>45349</v>
      </c>
      <c r="F788" s="1">
        <v>61612</v>
      </c>
      <c r="G788" s="1">
        <v>223921</v>
      </c>
      <c r="H788" s="3">
        <v>2865</v>
      </c>
      <c r="I788" s="1">
        <v>4</v>
      </c>
      <c r="J788" s="2">
        <v>45353</v>
      </c>
      <c r="K788" s="8">
        <f>(F788/G788)*100</f>
        <v>27.515061115304057</v>
      </c>
      <c r="L788" s="8">
        <f>(H788/G788)*100</f>
        <v>1.279469098476695</v>
      </c>
    </row>
    <row r="789" spans="1:12" x14ac:dyDescent="0.3">
      <c r="A789" s="1" t="s">
        <v>797</v>
      </c>
      <c r="B789" s="1" t="s">
        <v>10</v>
      </c>
      <c r="C789" s="1" t="s">
        <v>27</v>
      </c>
      <c r="D789" s="1" t="s">
        <v>28</v>
      </c>
      <c r="E789" s="35">
        <v>45350</v>
      </c>
      <c r="F789" s="1">
        <v>10989</v>
      </c>
      <c r="G789" s="1">
        <v>392866</v>
      </c>
      <c r="H789" s="3">
        <v>2978</v>
      </c>
      <c r="I789" s="1">
        <v>26</v>
      </c>
      <c r="J789" s="2">
        <v>45376</v>
      </c>
      <c r="K789" s="8">
        <f>(F789/G789)*100</f>
        <v>2.7971369372763233</v>
      </c>
      <c r="L789" s="8">
        <f>(H789/G789)*100</f>
        <v>0.75801927374728284</v>
      </c>
    </row>
    <row r="790" spans="1:12" x14ac:dyDescent="0.3">
      <c r="A790" s="1" t="s">
        <v>798</v>
      </c>
      <c r="B790" s="1" t="s">
        <v>14</v>
      </c>
      <c r="C790" s="1" t="s">
        <v>25</v>
      </c>
      <c r="D790" s="1" t="s">
        <v>32</v>
      </c>
      <c r="E790" s="35">
        <v>45351</v>
      </c>
      <c r="F790" s="1">
        <v>13665</v>
      </c>
      <c r="G790" s="1">
        <v>996182</v>
      </c>
      <c r="H790" s="3">
        <v>1517</v>
      </c>
      <c r="I790" s="1">
        <v>18</v>
      </c>
      <c r="J790" s="2">
        <v>45369</v>
      </c>
      <c r="K790" s="8">
        <f>(F790/G790)*100</f>
        <v>1.3717372929846154</v>
      </c>
      <c r="L790" s="8">
        <f>(H790/G790)*100</f>
        <v>0.15228141042500265</v>
      </c>
    </row>
    <row r="791" spans="1:12" x14ac:dyDescent="0.3">
      <c r="A791" s="1" t="s">
        <v>799</v>
      </c>
      <c r="B791" s="1" t="s">
        <v>22</v>
      </c>
      <c r="C791" s="1" t="s">
        <v>37</v>
      </c>
      <c r="D791" s="1" t="s">
        <v>12</v>
      </c>
      <c r="E791" s="35">
        <v>45352</v>
      </c>
      <c r="F791" s="1">
        <v>27752</v>
      </c>
      <c r="G791" s="1">
        <v>155089</v>
      </c>
      <c r="H791" s="3">
        <v>2130</v>
      </c>
      <c r="I791" s="1">
        <v>12</v>
      </c>
      <c r="J791" s="2">
        <v>45364</v>
      </c>
      <c r="K791" s="8">
        <f>(F791/G791)*100</f>
        <v>17.894241371083698</v>
      </c>
      <c r="L791" s="8">
        <f>(H791/G791)*100</f>
        <v>1.3734049481265598</v>
      </c>
    </row>
    <row r="792" spans="1:12" x14ac:dyDescent="0.3">
      <c r="A792" s="1" t="s">
        <v>800</v>
      </c>
      <c r="B792" s="1" t="s">
        <v>14</v>
      </c>
      <c r="C792" s="1" t="s">
        <v>18</v>
      </c>
      <c r="D792" s="1" t="s">
        <v>28</v>
      </c>
      <c r="E792" s="35">
        <v>45353</v>
      </c>
      <c r="F792" s="1">
        <v>64995</v>
      </c>
      <c r="G792" s="1">
        <v>500763</v>
      </c>
      <c r="H792" s="3">
        <v>608</v>
      </c>
      <c r="I792" s="1">
        <v>20</v>
      </c>
      <c r="J792" s="2">
        <v>45373</v>
      </c>
      <c r="K792" s="8">
        <f>(F792/G792)*100</f>
        <v>12.979193750336988</v>
      </c>
      <c r="L792" s="8">
        <f>(H792/G792)*100</f>
        <v>0.12141472113554716</v>
      </c>
    </row>
    <row r="793" spans="1:12" x14ac:dyDescent="0.3">
      <c r="A793" s="1" t="s">
        <v>801</v>
      </c>
      <c r="B793" s="1" t="s">
        <v>22</v>
      </c>
      <c r="C793" s="1" t="s">
        <v>30</v>
      </c>
      <c r="D793" s="1" t="s">
        <v>19</v>
      </c>
      <c r="E793" s="35">
        <v>45354</v>
      </c>
      <c r="F793" s="1">
        <v>39803</v>
      </c>
      <c r="G793" s="1">
        <v>544667</v>
      </c>
      <c r="H793" s="3">
        <v>4994</v>
      </c>
      <c r="I793" s="1">
        <v>21</v>
      </c>
      <c r="J793" s="2">
        <v>45375</v>
      </c>
      <c r="K793" s="8">
        <f>(F793/G793)*100</f>
        <v>7.3077678655031422</v>
      </c>
      <c r="L793" s="8">
        <f>(H793/G793)*100</f>
        <v>0.91689050373898184</v>
      </c>
    </row>
    <row r="794" spans="1:12" x14ac:dyDescent="0.3">
      <c r="A794" s="1" t="s">
        <v>802</v>
      </c>
      <c r="B794" s="1" t="s">
        <v>22</v>
      </c>
      <c r="C794" s="1" t="s">
        <v>27</v>
      </c>
      <c r="D794" s="1" t="s">
        <v>12</v>
      </c>
      <c r="E794" s="35">
        <v>45355</v>
      </c>
      <c r="F794" s="1">
        <v>86400</v>
      </c>
      <c r="G794" s="1">
        <v>899783</v>
      </c>
      <c r="H794" s="3">
        <v>309</v>
      </c>
      <c r="I794" s="1">
        <v>9</v>
      </c>
      <c r="J794" s="2">
        <v>45364</v>
      </c>
      <c r="K794" s="8">
        <f>(F794/G794)*100</f>
        <v>9.602315224893113</v>
      </c>
      <c r="L794" s="8">
        <f>(H794/G794)*100</f>
        <v>3.4341613477916338E-2</v>
      </c>
    </row>
    <row r="795" spans="1:12" x14ac:dyDescent="0.3">
      <c r="A795" s="1" t="s">
        <v>803</v>
      </c>
      <c r="B795" s="1" t="s">
        <v>22</v>
      </c>
      <c r="C795" s="1" t="s">
        <v>30</v>
      </c>
      <c r="D795" s="1" t="s">
        <v>12</v>
      </c>
      <c r="E795" s="35">
        <v>45356</v>
      </c>
      <c r="F795" s="1">
        <v>85324</v>
      </c>
      <c r="G795" s="1">
        <v>655810</v>
      </c>
      <c r="H795" s="3">
        <v>1611</v>
      </c>
      <c r="I795" s="1">
        <v>27</v>
      </c>
      <c r="J795" s="2">
        <v>45383</v>
      </c>
      <c r="K795" s="8">
        <f>(F795/G795)*100</f>
        <v>13.010475595065643</v>
      </c>
      <c r="L795" s="8">
        <f>(H795/G795)*100</f>
        <v>0.24565041704152119</v>
      </c>
    </row>
    <row r="796" spans="1:12" x14ac:dyDescent="0.3">
      <c r="A796" s="1" t="s">
        <v>804</v>
      </c>
      <c r="B796" s="1" t="s">
        <v>22</v>
      </c>
      <c r="C796" s="1" t="s">
        <v>18</v>
      </c>
      <c r="D796" s="1" t="s">
        <v>12</v>
      </c>
      <c r="E796" s="35">
        <v>45357</v>
      </c>
      <c r="F796" s="1">
        <v>64652</v>
      </c>
      <c r="G796" s="1">
        <v>615575</v>
      </c>
      <c r="H796" s="3">
        <v>1702</v>
      </c>
      <c r="I796" s="1">
        <v>20</v>
      </c>
      <c r="J796" s="2">
        <v>45377</v>
      </c>
      <c r="K796" s="8">
        <f>(F796/G796)*100</f>
        <v>10.502700726962596</v>
      </c>
      <c r="L796" s="8">
        <f>(H796/G796)*100</f>
        <v>0.27648946107298056</v>
      </c>
    </row>
    <row r="797" spans="1:12" x14ac:dyDescent="0.3">
      <c r="A797" s="1" t="s">
        <v>805</v>
      </c>
      <c r="B797" s="1" t="s">
        <v>22</v>
      </c>
      <c r="C797" s="1" t="s">
        <v>27</v>
      </c>
      <c r="D797" s="1" t="s">
        <v>12</v>
      </c>
      <c r="E797" s="35">
        <v>45358</v>
      </c>
      <c r="F797" s="1">
        <v>43099</v>
      </c>
      <c r="G797" s="1">
        <v>278650</v>
      </c>
      <c r="H797" s="3">
        <v>4885</v>
      </c>
      <c r="I797" s="1">
        <v>19</v>
      </c>
      <c r="J797" s="2">
        <v>45377</v>
      </c>
      <c r="K797" s="8">
        <f>(F797/G797)*100</f>
        <v>15.467073389556793</v>
      </c>
      <c r="L797" s="8">
        <f>(H797/G797)*100</f>
        <v>1.7530952808182307</v>
      </c>
    </row>
    <row r="798" spans="1:12" x14ac:dyDescent="0.3">
      <c r="A798" s="1" t="s">
        <v>806</v>
      </c>
      <c r="B798" s="1" t="s">
        <v>22</v>
      </c>
      <c r="C798" s="1" t="s">
        <v>18</v>
      </c>
      <c r="D798" s="1" t="s">
        <v>12</v>
      </c>
      <c r="E798" s="35">
        <v>45359</v>
      </c>
      <c r="F798" s="1">
        <v>71101</v>
      </c>
      <c r="G798" s="1">
        <v>45682</v>
      </c>
      <c r="H798" s="3">
        <v>187</v>
      </c>
      <c r="I798" s="1">
        <v>6</v>
      </c>
      <c r="J798" s="2">
        <v>45365</v>
      </c>
      <c r="K798" s="8">
        <f>(F798/G798)*100</f>
        <v>155.64336062344032</v>
      </c>
      <c r="L798" s="8">
        <f>(H798/G798)*100</f>
        <v>0.40935160457072811</v>
      </c>
    </row>
    <row r="799" spans="1:12" x14ac:dyDescent="0.3">
      <c r="A799" s="1" t="s">
        <v>807</v>
      </c>
      <c r="B799" s="1" t="s">
        <v>10</v>
      </c>
      <c r="C799" s="1" t="s">
        <v>18</v>
      </c>
      <c r="D799" s="1" t="s">
        <v>19</v>
      </c>
      <c r="E799" s="35">
        <v>45360</v>
      </c>
      <c r="F799" s="1">
        <v>65235</v>
      </c>
      <c r="G799" s="1">
        <v>511101</v>
      </c>
      <c r="H799" s="3">
        <v>3431</v>
      </c>
      <c r="I799" s="1">
        <v>25</v>
      </c>
      <c r="J799" s="2">
        <v>45385</v>
      </c>
      <c r="K799" s="8">
        <f>(F799/G799)*100</f>
        <v>12.763622062958202</v>
      </c>
      <c r="L799" s="8">
        <f>(H799/G799)*100</f>
        <v>0.67129588867953693</v>
      </c>
    </row>
    <row r="800" spans="1:12" x14ac:dyDescent="0.3">
      <c r="A800" s="1" t="s">
        <v>808</v>
      </c>
      <c r="B800" s="1" t="s">
        <v>10</v>
      </c>
      <c r="C800" s="1" t="s">
        <v>15</v>
      </c>
      <c r="D800" s="1" t="s">
        <v>16</v>
      </c>
      <c r="E800" s="35">
        <v>45361</v>
      </c>
      <c r="F800" s="1">
        <v>41782</v>
      </c>
      <c r="G800" s="1">
        <v>251510</v>
      </c>
      <c r="H800" s="3">
        <v>4060</v>
      </c>
      <c r="I800" s="1">
        <v>10</v>
      </c>
      <c r="J800" s="2">
        <v>45371</v>
      </c>
      <c r="K800" s="8">
        <f>(F800/G800)*100</f>
        <v>16.612460737147629</v>
      </c>
      <c r="L800" s="8">
        <f>(H800/G800)*100</f>
        <v>1.6142499304202615</v>
      </c>
    </row>
    <row r="801" spans="1:12" x14ac:dyDescent="0.3">
      <c r="A801" s="1" t="s">
        <v>809</v>
      </c>
      <c r="B801" s="1" t="s">
        <v>10</v>
      </c>
      <c r="C801" s="1" t="s">
        <v>18</v>
      </c>
      <c r="D801" s="1" t="s">
        <v>19</v>
      </c>
      <c r="E801" s="35">
        <v>45362</v>
      </c>
      <c r="F801" s="1">
        <v>91295</v>
      </c>
      <c r="G801" s="1">
        <v>177262</v>
      </c>
      <c r="H801" s="3">
        <v>3265</v>
      </c>
      <c r="I801" s="1">
        <v>14</v>
      </c>
      <c r="J801" s="2">
        <v>45376</v>
      </c>
      <c r="K801" s="8">
        <f>(F801/G801)*100</f>
        <v>51.502860173077138</v>
      </c>
      <c r="L801" s="8">
        <f>(H801/G801)*100</f>
        <v>1.8419063307420653</v>
      </c>
    </row>
    <row r="802" spans="1:12" x14ac:dyDescent="0.3">
      <c r="A802" s="1" t="s">
        <v>810</v>
      </c>
      <c r="B802" s="1" t="s">
        <v>22</v>
      </c>
      <c r="C802" s="1" t="s">
        <v>15</v>
      </c>
      <c r="D802" s="1" t="s">
        <v>28</v>
      </c>
      <c r="E802" s="35">
        <v>45363</v>
      </c>
      <c r="F802" s="1">
        <v>79728</v>
      </c>
      <c r="G802" s="1">
        <v>543203</v>
      </c>
      <c r="H802" s="3">
        <v>3550</v>
      </c>
      <c r="I802" s="1">
        <v>22</v>
      </c>
      <c r="J802" s="2">
        <v>45385</v>
      </c>
      <c r="K802" s="8">
        <f>(F802/G802)*100</f>
        <v>14.677385802361179</v>
      </c>
      <c r="L802" s="8">
        <f>(H802/G802)*100</f>
        <v>0.65353100038107304</v>
      </c>
    </row>
    <row r="803" spans="1:12" x14ac:dyDescent="0.3">
      <c r="A803" s="1" t="s">
        <v>811</v>
      </c>
      <c r="B803" s="1" t="s">
        <v>10</v>
      </c>
      <c r="C803" s="1" t="s">
        <v>18</v>
      </c>
      <c r="D803" s="1" t="s">
        <v>16</v>
      </c>
      <c r="E803" s="35">
        <v>45364</v>
      </c>
      <c r="F803" s="1">
        <v>46177</v>
      </c>
      <c r="G803" s="1">
        <v>484137</v>
      </c>
      <c r="H803" s="3">
        <v>1387</v>
      </c>
      <c r="I803" s="1">
        <v>12</v>
      </c>
      <c r="J803" s="2">
        <v>45376</v>
      </c>
      <c r="K803" s="8">
        <f>(F803/G803)*100</f>
        <v>9.5380026727971625</v>
      </c>
      <c r="L803" s="8">
        <f>(H803/G803)*100</f>
        <v>0.28648915492928656</v>
      </c>
    </row>
    <row r="804" spans="1:12" x14ac:dyDescent="0.3">
      <c r="A804" s="1" t="s">
        <v>812</v>
      </c>
      <c r="B804" s="1" t="s">
        <v>14</v>
      </c>
      <c r="C804" s="1" t="s">
        <v>37</v>
      </c>
      <c r="D804" s="1" t="s">
        <v>12</v>
      </c>
      <c r="E804" s="35">
        <v>45365</v>
      </c>
      <c r="F804" s="1">
        <v>37028</v>
      </c>
      <c r="G804" s="1">
        <v>161081</v>
      </c>
      <c r="H804" s="3">
        <v>4455</v>
      </c>
      <c r="I804" s="1">
        <v>9</v>
      </c>
      <c r="J804" s="2">
        <v>45374</v>
      </c>
      <c r="K804" s="8">
        <f>(F804/G804)*100</f>
        <v>22.987192778788312</v>
      </c>
      <c r="L804" s="8">
        <f>(H804/G804)*100</f>
        <v>2.7656893115885794</v>
      </c>
    </row>
    <row r="805" spans="1:12" x14ac:dyDescent="0.3">
      <c r="A805" s="1" t="s">
        <v>813</v>
      </c>
      <c r="B805" s="1" t="s">
        <v>22</v>
      </c>
      <c r="C805" s="1" t="s">
        <v>37</v>
      </c>
      <c r="D805" s="1" t="s">
        <v>28</v>
      </c>
      <c r="E805" s="35">
        <v>45366</v>
      </c>
      <c r="F805" s="1">
        <v>64572</v>
      </c>
      <c r="G805" s="1">
        <v>311730</v>
      </c>
      <c r="H805" s="3">
        <v>4762</v>
      </c>
      <c r="I805" s="1">
        <v>11</v>
      </c>
      <c r="J805" s="2">
        <v>45377</v>
      </c>
      <c r="K805" s="8">
        <f>(F805/G805)*100</f>
        <v>20.714079491867963</v>
      </c>
      <c r="L805" s="8">
        <f>(H805/G805)*100</f>
        <v>1.5276040162961537</v>
      </c>
    </row>
    <row r="806" spans="1:12" x14ac:dyDescent="0.3">
      <c r="A806" s="1" t="s">
        <v>814</v>
      </c>
      <c r="B806" s="1" t="s">
        <v>22</v>
      </c>
      <c r="C806" s="1" t="s">
        <v>25</v>
      </c>
      <c r="D806" s="1" t="s">
        <v>12</v>
      </c>
      <c r="E806" s="35">
        <v>45367</v>
      </c>
      <c r="F806" s="1">
        <v>834</v>
      </c>
      <c r="G806" s="1">
        <v>928019</v>
      </c>
      <c r="H806" s="3">
        <v>616</v>
      </c>
      <c r="I806" s="1">
        <v>15</v>
      </c>
      <c r="J806" s="2">
        <v>45382</v>
      </c>
      <c r="K806" s="8">
        <f>(F806/G806)*100</f>
        <v>8.9868849667948614E-2</v>
      </c>
      <c r="L806" s="8">
        <f>(H806/G806)*100</f>
        <v>6.6377951313496816E-2</v>
      </c>
    </row>
    <row r="807" spans="1:12" x14ac:dyDescent="0.3">
      <c r="A807" s="1" t="s">
        <v>815</v>
      </c>
      <c r="B807" s="1" t="s">
        <v>14</v>
      </c>
      <c r="C807" s="1" t="s">
        <v>18</v>
      </c>
      <c r="D807" s="1" t="s">
        <v>32</v>
      </c>
      <c r="E807" s="35">
        <v>45368</v>
      </c>
      <c r="F807" s="1">
        <v>65948</v>
      </c>
      <c r="G807" s="1">
        <v>693820</v>
      </c>
      <c r="H807" s="3">
        <v>3895</v>
      </c>
      <c r="I807" s="1">
        <v>13</v>
      </c>
      <c r="J807" s="2">
        <v>45381</v>
      </c>
      <c r="K807" s="8">
        <f>(F807/G807)*100</f>
        <v>9.5050589490069477</v>
      </c>
      <c r="L807" s="8">
        <f>(H807/G807)*100</f>
        <v>0.56138479720965095</v>
      </c>
    </row>
    <row r="808" spans="1:12" x14ac:dyDescent="0.3">
      <c r="A808" s="1" t="s">
        <v>816</v>
      </c>
      <c r="B808" s="1" t="s">
        <v>22</v>
      </c>
      <c r="C808" s="1" t="s">
        <v>11</v>
      </c>
      <c r="D808" s="1" t="s">
        <v>12</v>
      </c>
      <c r="E808" s="35">
        <v>45369</v>
      </c>
      <c r="F808" s="1">
        <v>10000</v>
      </c>
      <c r="G808" s="1">
        <v>701479</v>
      </c>
      <c r="H808" s="3">
        <v>3593</v>
      </c>
      <c r="I808" s="1">
        <v>23</v>
      </c>
      <c r="J808" s="2">
        <v>45392</v>
      </c>
      <c r="K808" s="8">
        <f>(F808/G808)*100</f>
        <v>1.4255594251574175</v>
      </c>
      <c r="L808" s="8">
        <f>(H808/G808)*100</f>
        <v>0.51220350145906013</v>
      </c>
    </row>
    <row r="809" spans="1:12" x14ac:dyDescent="0.3">
      <c r="A809" s="1" t="s">
        <v>817</v>
      </c>
      <c r="B809" s="1" t="s">
        <v>14</v>
      </c>
      <c r="C809" s="1" t="s">
        <v>11</v>
      </c>
      <c r="D809" s="1" t="s">
        <v>12</v>
      </c>
      <c r="E809" s="35">
        <v>45370</v>
      </c>
      <c r="F809" s="1">
        <v>66414</v>
      </c>
      <c r="G809" s="1">
        <v>551161</v>
      </c>
      <c r="H809" s="3">
        <v>131</v>
      </c>
      <c r="I809" s="1">
        <v>12</v>
      </c>
      <c r="J809" s="2">
        <v>45382</v>
      </c>
      <c r="K809" s="8">
        <f>(F809/G809)*100</f>
        <v>12.049836617612639</v>
      </c>
      <c r="L809" s="8">
        <f>(H809/G809)*100</f>
        <v>2.3768009710411295E-2</v>
      </c>
    </row>
    <row r="810" spans="1:12" x14ac:dyDescent="0.3">
      <c r="A810" s="1" t="s">
        <v>818</v>
      </c>
      <c r="B810" s="1" t="s">
        <v>24</v>
      </c>
      <c r="C810" s="1" t="s">
        <v>11</v>
      </c>
      <c r="D810" s="1" t="s">
        <v>28</v>
      </c>
      <c r="E810" s="35">
        <v>45371</v>
      </c>
      <c r="F810" s="1">
        <v>22952</v>
      </c>
      <c r="G810" s="1">
        <v>291914</v>
      </c>
      <c r="H810" s="3">
        <v>3725</v>
      </c>
      <c r="I810" s="1">
        <v>26</v>
      </c>
      <c r="J810" s="2">
        <v>45397</v>
      </c>
      <c r="K810" s="8">
        <f>(F810/G810)*100</f>
        <v>7.8625896668196802</v>
      </c>
      <c r="L810" s="8">
        <f>(H810/G810)*100</f>
        <v>1.2760607576203951</v>
      </c>
    </row>
    <row r="811" spans="1:12" x14ac:dyDescent="0.3">
      <c r="A811" s="1" t="s">
        <v>819</v>
      </c>
      <c r="B811" s="1" t="s">
        <v>22</v>
      </c>
      <c r="C811" s="1" t="s">
        <v>25</v>
      </c>
      <c r="D811" s="1" t="s">
        <v>16</v>
      </c>
      <c r="E811" s="35">
        <v>45372</v>
      </c>
      <c r="F811" s="1">
        <v>77808</v>
      </c>
      <c r="G811" s="1">
        <v>60343</v>
      </c>
      <c r="H811" s="3">
        <v>988</v>
      </c>
      <c r="I811" s="1">
        <v>12</v>
      </c>
      <c r="J811" s="2">
        <v>45384</v>
      </c>
      <c r="K811" s="8">
        <f>(F811/G811)*100</f>
        <v>128.94287655568996</v>
      </c>
      <c r="L811" s="8">
        <f>(H811/G811)*100</f>
        <v>1.6373067298609614</v>
      </c>
    </row>
    <row r="812" spans="1:12" x14ac:dyDescent="0.3">
      <c r="A812" s="1" t="s">
        <v>820</v>
      </c>
      <c r="B812" s="1" t="s">
        <v>22</v>
      </c>
      <c r="C812" s="1" t="s">
        <v>37</v>
      </c>
      <c r="D812" s="1" t="s">
        <v>12</v>
      </c>
      <c r="E812" s="35">
        <v>45373</v>
      </c>
      <c r="F812" s="1">
        <v>14172</v>
      </c>
      <c r="G812" s="1">
        <v>301490</v>
      </c>
      <c r="H812" s="3">
        <v>2350</v>
      </c>
      <c r="I812" s="1">
        <v>17</v>
      </c>
      <c r="J812" s="2">
        <v>45390</v>
      </c>
      <c r="K812" s="8">
        <f>(F812/G812)*100</f>
        <v>4.7006534213406743</v>
      </c>
      <c r="L812" s="8">
        <f>(H812/G812)*100</f>
        <v>0.77946200537331256</v>
      </c>
    </row>
    <row r="813" spans="1:12" x14ac:dyDescent="0.3">
      <c r="A813" s="1" t="s">
        <v>821</v>
      </c>
      <c r="B813" s="1" t="s">
        <v>24</v>
      </c>
      <c r="C813" s="1" t="s">
        <v>27</v>
      </c>
      <c r="D813" s="1" t="s">
        <v>16</v>
      </c>
      <c r="E813" s="35">
        <v>45374</v>
      </c>
      <c r="F813" s="1">
        <v>51369</v>
      </c>
      <c r="G813" s="1">
        <v>188171</v>
      </c>
      <c r="H813" s="3">
        <v>4839</v>
      </c>
      <c r="I813" s="1">
        <f>Table1[[#This Row],[end_date]]-Table1[[#This Row],[start_date]]</f>
        <v>15</v>
      </c>
      <c r="J813" s="2">
        <v>45389</v>
      </c>
      <c r="K813" s="8">
        <f>(F813/G813)*100</f>
        <v>27.299105600756757</v>
      </c>
      <c r="L813" s="8">
        <f>(H813/G813)*100</f>
        <v>2.5715971111382729</v>
      </c>
    </row>
    <row r="814" spans="1:12" x14ac:dyDescent="0.3">
      <c r="A814" s="1" t="s">
        <v>822</v>
      </c>
      <c r="B814" s="1" t="s">
        <v>14</v>
      </c>
      <c r="C814" s="1" t="s">
        <v>37</v>
      </c>
      <c r="D814" s="1" t="s">
        <v>16</v>
      </c>
      <c r="E814" s="35">
        <v>45375</v>
      </c>
      <c r="F814" s="1">
        <v>49764</v>
      </c>
      <c r="G814" s="1">
        <v>65430</v>
      </c>
      <c r="H814" s="3">
        <v>1168</v>
      </c>
      <c r="I814" s="1">
        <f>Table1[[#This Row],[end_date]]-Table1[[#This Row],[start_date]]</f>
        <v>11</v>
      </c>
      <c r="J814" s="2">
        <v>45386</v>
      </c>
      <c r="K814" s="8">
        <f>(F814/G814)*100</f>
        <v>76.056854653828523</v>
      </c>
      <c r="L814" s="8">
        <f>(H814/G814)*100</f>
        <v>1.7851138621427483</v>
      </c>
    </row>
    <row r="815" spans="1:12" x14ac:dyDescent="0.3">
      <c r="A815" s="1" t="s">
        <v>823</v>
      </c>
      <c r="B815" s="1" t="s">
        <v>22</v>
      </c>
      <c r="C815" s="1" t="s">
        <v>27</v>
      </c>
      <c r="D815" s="1" t="s">
        <v>16</v>
      </c>
      <c r="E815" s="35">
        <v>45376</v>
      </c>
      <c r="F815" s="1">
        <v>70802</v>
      </c>
      <c r="G815" s="1">
        <v>571764</v>
      </c>
      <c r="H815" s="3">
        <v>2190</v>
      </c>
      <c r="I815" s="1">
        <f>Table1[[#This Row],[end_date]]-Table1[[#This Row],[start_date]]</f>
        <v>16</v>
      </c>
      <c r="J815" s="2">
        <v>45392</v>
      </c>
      <c r="K815" s="8">
        <f>(F815/G815)*100</f>
        <v>12.383081131375882</v>
      </c>
      <c r="L815" s="8">
        <f>(H815/G815)*100</f>
        <v>0.38302516422859784</v>
      </c>
    </row>
    <row r="816" spans="1:12" x14ac:dyDescent="0.3">
      <c r="A816" s="1" t="s">
        <v>824</v>
      </c>
      <c r="B816" s="1" t="s">
        <v>10</v>
      </c>
      <c r="C816" s="1" t="s">
        <v>27</v>
      </c>
      <c r="D816" s="1" t="s">
        <v>12</v>
      </c>
      <c r="E816" s="35">
        <v>45377</v>
      </c>
      <c r="F816" s="1">
        <v>74936</v>
      </c>
      <c r="G816" s="1">
        <v>821818</v>
      </c>
      <c r="H816" s="3">
        <v>1691</v>
      </c>
      <c r="I816" s="1">
        <f>Table1[[#This Row],[end_date]]-Table1[[#This Row],[start_date]]</f>
        <v>5</v>
      </c>
      <c r="J816" s="2">
        <v>45382</v>
      </c>
      <c r="K816" s="8">
        <f>(F816/G816)*100</f>
        <v>9.1183206013983629</v>
      </c>
      <c r="L816" s="8">
        <f>(H816/G816)*100</f>
        <v>0.20576331985914156</v>
      </c>
    </row>
    <row r="817" spans="1:12" x14ac:dyDescent="0.3">
      <c r="A817" s="1" t="s">
        <v>825</v>
      </c>
      <c r="B817" s="1" t="s">
        <v>10</v>
      </c>
      <c r="C817" s="1" t="s">
        <v>27</v>
      </c>
      <c r="D817" s="1" t="s">
        <v>32</v>
      </c>
      <c r="E817" s="35">
        <v>45378</v>
      </c>
      <c r="F817" s="1">
        <v>89462</v>
      </c>
      <c r="G817" s="1">
        <v>738535</v>
      </c>
      <c r="H817" s="3">
        <v>3642</v>
      </c>
      <c r="I817" s="1">
        <f>Table1[[#This Row],[end_date]]-Table1[[#This Row],[start_date]]</f>
        <v>27</v>
      </c>
      <c r="J817" s="2">
        <v>45405</v>
      </c>
      <c r="K817" s="8">
        <f>(F817/G817)*100</f>
        <v>12.113440798337249</v>
      </c>
      <c r="L817" s="8">
        <f>(H817/G817)*100</f>
        <v>0.49313844299863918</v>
      </c>
    </row>
    <row r="818" spans="1:12" x14ac:dyDescent="0.3">
      <c r="A818" s="1" t="s">
        <v>826</v>
      </c>
      <c r="B818" s="1" t="s">
        <v>14</v>
      </c>
      <c r="C818" s="1" t="s">
        <v>18</v>
      </c>
      <c r="D818" s="1" t="s">
        <v>12</v>
      </c>
      <c r="E818" s="35">
        <v>45379</v>
      </c>
      <c r="F818" s="1">
        <v>47325</v>
      </c>
      <c r="G818" s="1">
        <v>360447</v>
      </c>
      <c r="H818" s="3">
        <v>1375</v>
      </c>
      <c r="I818" s="1">
        <f>Table1[[#This Row],[end_date]]-Table1[[#This Row],[start_date]]</f>
        <v>18</v>
      </c>
      <c r="J818" s="2">
        <v>45397</v>
      </c>
      <c r="K818" s="8">
        <f>(F818/G818)*100</f>
        <v>13.129530832549586</v>
      </c>
      <c r="L818" s="8">
        <f>(H818/G818)*100</f>
        <v>0.38147078488654362</v>
      </c>
    </row>
    <row r="819" spans="1:12" x14ac:dyDescent="0.3">
      <c r="A819" s="1" t="s">
        <v>827</v>
      </c>
      <c r="B819" s="1" t="s">
        <v>14</v>
      </c>
      <c r="C819" s="1" t="s">
        <v>27</v>
      </c>
      <c r="D819" s="1" t="s">
        <v>19</v>
      </c>
      <c r="E819" s="35">
        <v>45380</v>
      </c>
      <c r="F819" s="1">
        <v>76914</v>
      </c>
      <c r="G819" s="1">
        <v>423270</v>
      </c>
      <c r="H819" s="3">
        <v>3145</v>
      </c>
      <c r="I819" s="1">
        <f>Table1[[#This Row],[end_date]]-Table1[[#This Row],[start_date]]</f>
        <v>9</v>
      </c>
      <c r="J819" s="2">
        <v>45389</v>
      </c>
      <c r="K819" s="8">
        <f>(F819/G819)*100</f>
        <v>18.171379970231765</v>
      </c>
      <c r="L819" s="8">
        <f>(H819/G819)*100</f>
        <v>0.7430245469794694</v>
      </c>
    </row>
    <row r="820" spans="1:12" x14ac:dyDescent="0.3">
      <c r="A820" s="1" t="s">
        <v>828</v>
      </c>
      <c r="B820" s="1" t="s">
        <v>22</v>
      </c>
      <c r="C820" s="1" t="s">
        <v>25</v>
      </c>
      <c r="D820" s="1" t="s">
        <v>16</v>
      </c>
      <c r="E820" s="35">
        <v>45381</v>
      </c>
      <c r="F820" s="1">
        <v>74406</v>
      </c>
      <c r="G820" s="1">
        <v>105663</v>
      </c>
      <c r="H820" s="3">
        <v>2685</v>
      </c>
      <c r="I820" s="1">
        <f>Table1[[#This Row],[end_date]]-Table1[[#This Row],[start_date]]</f>
        <v>4</v>
      </c>
      <c r="J820" s="2">
        <v>45385</v>
      </c>
      <c r="K820" s="8">
        <f>(F820/G820)*100</f>
        <v>70.418216404985671</v>
      </c>
      <c r="L820" s="8">
        <f>(H820/G820)*100</f>
        <v>2.5410976406121346</v>
      </c>
    </row>
    <row r="821" spans="1:12" x14ac:dyDescent="0.3">
      <c r="A821" s="1" t="s">
        <v>829</v>
      </c>
      <c r="B821" s="1" t="s">
        <v>22</v>
      </c>
      <c r="C821" s="1" t="s">
        <v>15</v>
      </c>
      <c r="D821" s="1" t="s">
        <v>32</v>
      </c>
      <c r="E821" s="35">
        <v>45382</v>
      </c>
      <c r="F821" s="1">
        <v>27797</v>
      </c>
      <c r="G821" s="1">
        <v>554694</v>
      </c>
      <c r="H821" s="3">
        <v>889</v>
      </c>
      <c r="I821" s="1">
        <f>Table1[[#This Row],[end_date]]-Table1[[#This Row],[start_date]]</f>
        <v>23</v>
      </c>
      <c r="J821" s="2">
        <v>45405</v>
      </c>
      <c r="K821" s="8">
        <f>(F821/G821)*100</f>
        <v>5.0112314176825423</v>
      </c>
      <c r="L821" s="8">
        <f>(H821/G821)*100</f>
        <v>0.16026854445874661</v>
      </c>
    </row>
    <row r="822" spans="1:12" x14ac:dyDescent="0.3">
      <c r="A822" s="1" t="s">
        <v>830</v>
      </c>
      <c r="B822" s="1" t="s">
        <v>14</v>
      </c>
      <c r="C822" s="1" t="s">
        <v>27</v>
      </c>
      <c r="D822" s="1" t="s">
        <v>32</v>
      </c>
      <c r="E822" s="35">
        <v>45383</v>
      </c>
      <c r="F822" s="1">
        <v>52024</v>
      </c>
      <c r="G822" s="1">
        <v>276138</v>
      </c>
      <c r="H822" s="3">
        <v>4470</v>
      </c>
      <c r="I822" s="1">
        <f>Table1[[#This Row],[end_date]]-Table1[[#This Row],[start_date]]</f>
        <v>27</v>
      </c>
      <c r="J822" s="2">
        <v>45410</v>
      </c>
      <c r="K822" s="8">
        <f>(F822/G822)*100</f>
        <v>18.839855434601542</v>
      </c>
      <c r="L822" s="8">
        <f>(H822/G822)*100</f>
        <v>1.6187558394715684</v>
      </c>
    </row>
    <row r="823" spans="1:12" x14ac:dyDescent="0.3">
      <c r="A823" s="1" t="s">
        <v>831</v>
      </c>
      <c r="B823" s="1" t="s">
        <v>22</v>
      </c>
      <c r="C823" s="1" t="s">
        <v>15</v>
      </c>
      <c r="D823" s="1" t="s">
        <v>32</v>
      </c>
      <c r="E823" s="35">
        <v>45384</v>
      </c>
      <c r="F823" s="1">
        <v>85717</v>
      </c>
      <c r="G823" s="1">
        <v>768745</v>
      </c>
      <c r="H823" s="3">
        <v>3601</v>
      </c>
      <c r="I823" s="1">
        <f>Table1[[#This Row],[end_date]]-Table1[[#This Row],[start_date]]</f>
        <v>28</v>
      </c>
      <c r="J823" s="2">
        <v>45412</v>
      </c>
      <c r="K823" s="8">
        <f>(F823/G823)*100</f>
        <v>11.150251383748836</v>
      </c>
      <c r="L823" s="8">
        <f>(H823/G823)*100</f>
        <v>0.46842581089958307</v>
      </c>
    </row>
    <row r="824" spans="1:12" x14ac:dyDescent="0.3">
      <c r="A824" s="1" t="s">
        <v>832</v>
      </c>
      <c r="B824" s="1" t="s">
        <v>14</v>
      </c>
      <c r="C824" s="1" t="s">
        <v>27</v>
      </c>
      <c r="D824" s="1" t="s">
        <v>16</v>
      </c>
      <c r="E824" s="35">
        <v>45385</v>
      </c>
      <c r="F824" s="1">
        <v>64750</v>
      </c>
      <c r="G824" s="1">
        <v>317158</v>
      </c>
      <c r="H824" s="3">
        <v>970</v>
      </c>
      <c r="I824" s="1">
        <f>Table1[[#This Row],[end_date]]-Table1[[#This Row],[start_date]]</f>
        <v>26</v>
      </c>
      <c r="J824" s="2">
        <v>45411</v>
      </c>
      <c r="K824" s="8">
        <f>(F824/G824)*100</f>
        <v>20.415691863361481</v>
      </c>
      <c r="L824" s="8">
        <f>(H824/G824)*100</f>
        <v>0.30584125262487466</v>
      </c>
    </row>
    <row r="825" spans="1:12" x14ac:dyDescent="0.3">
      <c r="A825" s="1" t="s">
        <v>833</v>
      </c>
      <c r="B825" s="1" t="s">
        <v>10</v>
      </c>
      <c r="C825" s="1" t="s">
        <v>30</v>
      </c>
      <c r="D825" s="1" t="s">
        <v>16</v>
      </c>
      <c r="E825" s="35">
        <v>45386</v>
      </c>
      <c r="F825" s="1">
        <v>99769</v>
      </c>
      <c r="G825" s="1">
        <v>288311</v>
      </c>
      <c r="H825" s="3">
        <v>434</v>
      </c>
      <c r="I825" s="1">
        <f>Table1[[#This Row],[end_date]]-Table1[[#This Row],[start_date]]</f>
        <v>22</v>
      </c>
      <c r="J825" s="2">
        <v>45408</v>
      </c>
      <c r="K825" s="8">
        <f>(F825/G825)*100</f>
        <v>34.604645677757702</v>
      </c>
      <c r="L825" s="8">
        <f>(H825/G825)*100</f>
        <v>0.15053189090946928</v>
      </c>
    </row>
    <row r="826" spans="1:12" x14ac:dyDescent="0.3">
      <c r="A826" s="1" t="s">
        <v>834</v>
      </c>
      <c r="B826" s="1" t="s">
        <v>22</v>
      </c>
      <c r="C826" s="1" t="s">
        <v>37</v>
      </c>
      <c r="D826" s="1" t="s">
        <v>19</v>
      </c>
      <c r="E826" s="35">
        <v>45387</v>
      </c>
      <c r="F826" s="1">
        <v>59744</v>
      </c>
      <c r="G826" s="1">
        <v>725202</v>
      </c>
      <c r="H826" s="3">
        <v>4755</v>
      </c>
      <c r="I826" s="1">
        <f>Table1[[#This Row],[end_date]]-Table1[[#This Row],[start_date]]</f>
        <v>15</v>
      </c>
      <c r="J826" s="2">
        <v>45402</v>
      </c>
      <c r="K826" s="8">
        <f>(F826/G826)*100</f>
        <v>8.2382563754650437</v>
      </c>
      <c r="L826" s="8">
        <f>(H826/G826)*100</f>
        <v>0.65567938312359864</v>
      </c>
    </row>
    <row r="827" spans="1:12" x14ac:dyDescent="0.3">
      <c r="A827" s="1" t="s">
        <v>835</v>
      </c>
      <c r="B827" s="1" t="s">
        <v>14</v>
      </c>
      <c r="C827" s="1" t="s">
        <v>11</v>
      </c>
      <c r="D827" s="1" t="s">
        <v>28</v>
      </c>
      <c r="E827" s="35">
        <v>45388</v>
      </c>
      <c r="F827" s="1">
        <v>59983</v>
      </c>
      <c r="G827" s="1">
        <v>216773</v>
      </c>
      <c r="H827" s="3">
        <v>4403</v>
      </c>
      <c r="I827" s="1">
        <f>Table1[[#This Row],[end_date]]-Table1[[#This Row],[start_date]]</f>
        <v>24</v>
      </c>
      <c r="J827" s="2">
        <v>45412</v>
      </c>
      <c r="K827" s="8">
        <f>(F827/G827)*100</f>
        <v>27.670881521222661</v>
      </c>
      <c r="L827" s="8">
        <f>(H827/G827)*100</f>
        <v>2.0311570167871462</v>
      </c>
    </row>
    <row r="828" spans="1:12" x14ac:dyDescent="0.3">
      <c r="A828" s="1" t="s">
        <v>836</v>
      </c>
      <c r="B828" s="1" t="s">
        <v>22</v>
      </c>
      <c r="C828" s="1" t="s">
        <v>30</v>
      </c>
      <c r="D828" s="1" t="s">
        <v>32</v>
      </c>
      <c r="E828" s="35">
        <v>45389</v>
      </c>
      <c r="F828" s="1">
        <v>64483</v>
      </c>
      <c r="G828" s="1">
        <v>991943</v>
      </c>
      <c r="H828" s="3">
        <v>734</v>
      </c>
      <c r="I828" s="1">
        <f>Table1[[#This Row],[end_date]]-Table1[[#This Row],[start_date]]</f>
        <v>16</v>
      </c>
      <c r="J828" s="2">
        <v>45405</v>
      </c>
      <c r="K828" s="8">
        <f>(F828/G828)*100</f>
        <v>6.5006759460977088</v>
      </c>
      <c r="L828" s="8">
        <f>(H828/G828)*100</f>
        <v>7.3996187280922388E-2</v>
      </c>
    </row>
    <row r="829" spans="1:12" x14ac:dyDescent="0.3">
      <c r="A829" s="1" t="s">
        <v>837</v>
      </c>
      <c r="B829" s="1" t="s">
        <v>10</v>
      </c>
      <c r="C829" s="1" t="s">
        <v>11</v>
      </c>
      <c r="D829" s="1" t="s">
        <v>16</v>
      </c>
      <c r="E829" s="35">
        <v>45390</v>
      </c>
      <c r="F829" s="1">
        <v>24593</v>
      </c>
      <c r="G829" s="1">
        <v>149819</v>
      </c>
      <c r="H829" s="3">
        <v>2700</v>
      </c>
      <c r="I829" s="1">
        <f>Table1[[#This Row],[end_date]]-Table1[[#This Row],[start_date]]</f>
        <v>5</v>
      </c>
      <c r="J829" s="2">
        <v>45395</v>
      </c>
      <c r="K829" s="8">
        <f>(F829/G829)*100</f>
        <v>16.415140936730321</v>
      </c>
      <c r="L829" s="8">
        <f>(H829/G829)*100</f>
        <v>1.8021746240463492</v>
      </c>
    </row>
    <row r="830" spans="1:12" x14ac:dyDescent="0.3">
      <c r="A830" s="1" t="s">
        <v>838</v>
      </c>
      <c r="B830" s="1" t="s">
        <v>22</v>
      </c>
      <c r="C830" s="1" t="s">
        <v>15</v>
      </c>
      <c r="D830" s="1" t="s">
        <v>28</v>
      </c>
      <c r="E830" s="35">
        <v>45391</v>
      </c>
      <c r="F830" s="1">
        <v>13598</v>
      </c>
      <c r="G830" s="1">
        <v>323768</v>
      </c>
      <c r="H830" s="3">
        <v>449</v>
      </c>
      <c r="I830" s="1">
        <v>26</v>
      </c>
      <c r="J830" s="2">
        <v>45417</v>
      </c>
      <c r="K830" s="8">
        <f>(F830/G830)*100</f>
        <v>4.1999209310370391</v>
      </c>
      <c r="L830" s="8">
        <f>(H830/G830)*100</f>
        <v>0.13867954831854909</v>
      </c>
    </row>
    <row r="831" spans="1:12" x14ac:dyDescent="0.3">
      <c r="A831" s="1" t="s">
        <v>839</v>
      </c>
      <c r="B831" s="1" t="s">
        <v>14</v>
      </c>
      <c r="C831" s="1" t="s">
        <v>11</v>
      </c>
      <c r="D831" s="1" t="s">
        <v>32</v>
      </c>
      <c r="E831" s="35">
        <v>45392</v>
      </c>
      <c r="F831" s="1">
        <v>27351</v>
      </c>
      <c r="G831" s="1">
        <v>75723</v>
      </c>
      <c r="H831" s="3">
        <v>1049</v>
      </c>
      <c r="I831" s="1">
        <v>14</v>
      </c>
      <c r="J831" s="2">
        <v>45406</v>
      </c>
      <c r="K831" s="8">
        <f>(F831/G831)*100</f>
        <v>36.119805079038073</v>
      </c>
      <c r="L831" s="8">
        <f>(H831/G831)*100</f>
        <v>1.3853122565138729</v>
      </c>
    </row>
    <row r="832" spans="1:12" x14ac:dyDescent="0.3">
      <c r="A832" s="1" t="s">
        <v>840</v>
      </c>
      <c r="B832" s="1" t="s">
        <v>14</v>
      </c>
      <c r="C832" s="1" t="s">
        <v>11</v>
      </c>
      <c r="D832" s="1" t="s">
        <v>32</v>
      </c>
      <c r="E832" s="35">
        <v>45393</v>
      </c>
      <c r="F832" s="1">
        <v>39219</v>
      </c>
      <c r="G832" s="1">
        <v>504112</v>
      </c>
      <c r="H832" s="3">
        <v>2429</v>
      </c>
      <c r="I832" s="1">
        <v>25</v>
      </c>
      <c r="J832" s="2">
        <v>45418</v>
      </c>
      <c r="K832" s="8">
        <f>(F832/G832)*100</f>
        <v>7.7798187704319677</v>
      </c>
      <c r="L832" s="8">
        <f>(H832/G832)*100</f>
        <v>0.48183736947345035</v>
      </c>
    </row>
    <row r="833" spans="1:12" x14ac:dyDescent="0.3">
      <c r="A833" s="1" t="s">
        <v>841</v>
      </c>
      <c r="B833" s="1" t="s">
        <v>22</v>
      </c>
      <c r="C833" s="1" t="s">
        <v>27</v>
      </c>
      <c r="D833" s="1" t="s">
        <v>32</v>
      </c>
      <c r="E833" s="35">
        <v>45394</v>
      </c>
      <c r="F833" s="1">
        <v>57382</v>
      </c>
      <c r="G833" s="1">
        <v>560252</v>
      </c>
      <c r="H833" s="3">
        <v>3894</v>
      </c>
      <c r="I833" s="1">
        <v>18</v>
      </c>
      <c r="J833" s="2">
        <v>45412</v>
      </c>
      <c r="K833" s="8">
        <f>(F833/G833)*100</f>
        <v>10.242176734755075</v>
      </c>
      <c r="L833" s="8">
        <f>(H833/G833)*100</f>
        <v>0.69504437288934262</v>
      </c>
    </row>
    <row r="834" spans="1:12" x14ac:dyDescent="0.3">
      <c r="A834" s="1" t="s">
        <v>842</v>
      </c>
      <c r="B834" s="1" t="s">
        <v>14</v>
      </c>
      <c r="C834" s="1" t="s">
        <v>25</v>
      </c>
      <c r="D834" s="1" t="s">
        <v>32</v>
      </c>
      <c r="E834" s="35">
        <v>45395</v>
      </c>
      <c r="F834" s="1">
        <v>2546</v>
      </c>
      <c r="G834" s="1">
        <v>1082</v>
      </c>
      <c r="H834" s="3">
        <v>1231</v>
      </c>
      <c r="I834" s="1">
        <v>21</v>
      </c>
      <c r="J834" s="2">
        <v>45416</v>
      </c>
      <c r="K834" s="8">
        <f>(F834/G834)*100</f>
        <v>235.30499075785579</v>
      </c>
      <c r="L834" s="8">
        <f>(H834/G834)*100</f>
        <v>113.77079482439927</v>
      </c>
    </row>
    <row r="835" spans="1:12" x14ac:dyDescent="0.3">
      <c r="A835" s="1" t="s">
        <v>843</v>
      </c>
      <c r="B835" s="1" t="s">
        <v>10</v>
      </c>
      <c r="C835" s="1" t="s">
        <v>25</v>
      </c>
      <c r="D835" s="1" t="s">
        <v>16</v>
      </c>
      <c r="E835" s="35">
        <v>45396</v>
      </c>
      <c r="F835" s="1">
        <v>35429</v>
      </c>
      <c r="G835" s="1">
        <v>212345</v>
      </c>
      <c r="H835" s="3">
        <v>582</v>
      </c>
      <c r="I835" s="1">
        <v>18</v>
      </c>
      <c r="J835" s="2">
        <v>45414</v>
      </c>
      <c r="K835" s="8">
        <f>(F835/G835)*100</f>
        <v>16.684640561350633</v>
      </c>
      <c r="L835" s="8">
        <f>(H835/G835)*100</f>
        <v>0.27408227177470629</v>
      </c>
    </row>
    <row r="836" spans="1:12" x14ac:dyDescent="0.3">
      <c r="A836" s="1" t="s">
        <v>844</v>
      </c>
      <c r="B836" s="1" t="s">
        <v>14</v>
      </c>
      <c r="C836" s="1" t="s">
        <v>30</v>
      </c>
      <c r="D836" s="1" t="s">
        <v>16</v>
      </c>
      <c r="E836" s="35">
        <v>45397</v>
      </c>
      <c r="F836" s="1">
        <v>32742</v>
      </c>
      <c r="G836" s="1">
        <v>767401</v>
      </c>
      <c r="H836" s="3">
        <v>3315</v>
      </c>
      <c r="I836" s="1">
        <v>21</v>
      </c>
      <c r="J836" s="2">
        <v>45418</v>
      </c>
      <c r="K836" s="8">
        <f>(F836/G836)*100</f>
        <v>4.266608982787357</v>
      </c>
      <c r="L836" s="8">
        <f>(H836/G836)*100</f>
        <v>0.43197754498625879</v>
      </c>
    </row>
    <row r="837" spans="1:12" x14ac:dyDescent="0.3">
      <c r="A837" s="1" t="s">
        <v>845</v>
      </c>
      <c r="B837" s="1" t="s">
        <v>10</v>
      </c>
      <c r="C837" s="1" t="s">
        <v>27</v>
      </c>
      <c r="D837" s="1" t="s">
        <v>19</v>
      </c>
      <c r="E837" s="35">
        <v>45398</v>
      </c>
      <c r="F837" s="1">
        <v>68044</v>
      </c>
      <c r="G837" s="1">
        <v>705225</v>
      </c>
      <c r="H837" s="3">
        <v>3279</v>
      </c>
      <c r="I837" s="1">
        <v>27</v>
      </c>
      <c r="J837" s="2">
        <v>45425</v>
      </c>
      <c r="K837" s="8">
        <f>(F837/G837)*100</f>
        <v>9.6485518806054795</v>
      </c>
      <c r="L837" s="8">
        <f>(H837/G837)*100</f>
        <v>0.46495799213017119</v>
      </c>
    </row>
    <row r="838" spans="1:12" x14ac:dyDescent="0.3">
      <c r="A838" s="1" t="s">
        <v>846</v>
      </c>
      <c r="B838" s="1" t="s">
        <v>24</v>
      </c>
      <c r="C838" s="1" t="s">
        <v>11</v>
      </c>
      <c r="D838" s="1" t="s">
        <v>16</v>
      </c>
      <c r="E838" s="35">
        <v>45399</v>
      </c>
      <c r="F838" s="1">
        <v>14073</v>
      </c>
      <c r="G838" s="1">
        <v>815253</v>
      </c>
      <c r="H838" s="3">
        <v>4428</v>
      </c>
      <c r="I838" s="1">
        <v>2</v>
      </c>
      <c r="J838" s="2">
        <v>45401</v>
      </c>
      <c r="K838" s="8">
        <f>(F838/G838)*100</f>
        <v>1.7262125990336743</v>
      </c>
      <c r="L838" s="8">
        <f>(H838/G838)*100</f>
        <v>0.543144275458048</v>
      </c>
    </row>
    <row r="839" spans="1:12" x14ac:dyDescent="0.3">
      <c r="A839" s="1" t="s">
        <v>847</v>
      </c>
      <c r="B839" s="1" t="s">
        <v>14</v>
      </c>
      <c r="C839" s="1" t="s">
        <v>15</v>
      </c>
      <c r="D839" s="1" t="s">
        <v>12</v>
      </c>
      <c r="E839" s="35">
        <v>45400</v>
      </c>
      <c r="F839" s="1">
        <v>77020</v>
      </c>
      <c r="G839" s="1">
        <v>242841</v>
      </c>
      <c r="H839" s="3">
        <v>1584</v>
      </c>
      <c r="I839" s="1">
        <v>13</v>
      </c>
      <c r="J839" s="2">
        <v>45413</v>
      </c>
      <c r="K839" s="8">
        <f>(F839/G839)*100</f>
        <v>31.716225843247226</v>
      </c>
      <c r="L839" s="8">
        <f>(H839/G839)*100</f>
        <v>0.65227865146330311</v>
      </c>
    </row>
    <row r="840" spans="1:12" x14ac:dyDescent="0.3">
      <c r="A840" s="1" t="s">
        <v>848</v>
      </c>
      <c r="B840" s="1" t="s">
        <v>14</v>
      </c>
      <c r="C840" s="1" t="s">
        <v>25</v>
      </c>
      <c r="D840" s="1" t="s">
        <v>16</v>
      </c>
      <c r="E840" s="35">
        <v>45401</v>
      </c>
      <c r="F840" s="1">
        <v>81406</v>
      </c>
      <c r="G840" s="1">
        <v>278740</v>
      </c>
      <c r="H840" s="3">
        <v>710</v>
      </c>
      <c r="I840" s="1">
        <v>14</v>
      </c>
      <c r="J840" s="2">
        <v>45415</v>
      </c>
      <c r="K840" s="8">
        <f>(F840/G840)*100</f>
        <v>29.204993901126496</v>
      </c>
      <c r="L840" s="8">
        <f>(H840/G840)*100</f>
        <v>0.25471765803257512</v>
      </c>
    </row>
    <row r="841" spans="1:12" x14ac:dyDescent="0.3">
      <c r="A841" s="1" t="s">
        <v>849</v>
      </c>
      <c r="B841" s="1" t="s">
        <v>22</v>
      </c>
      <c r="C841" s="1" t="s">
        <v>25</v>
      </c>
      <c r="D841" s="1" t="s">
        <v>16</v>
      </c>
      <c r="E841" s="35">
        <v>45402</v>
      </c>
      <c r="F841" s="1">
        <v>13257</v>
      </c>
      <c r="G841" s="1">
        <v>967597</v>
      </c>
      <c r="H841" s="3">
        <v>944</v>
      </c>
      <c r="I841" s="1">
        <v>15</v>
      </c>
      <c r="J841" s="2">
        <v>45417</v>
      </c>
      <c r="K841" s="8">
        <f>(F841/G841)*100</f>
        <v>1.3700951945903099</v>
      </c>
      <c r="L841" s="8">
        <f>(H841/G841)*100</f>
        <v>9.7561278094082562E-2</v>
      </c>
    </row>
    <row r="842" spans="1:12" x14ac:dyDescent="0.3">
      <c r="A842" s="1" t="s">
        <v>850</v>
      </c>
      <c r="B842" s="1" t="s">
        <v>10</v>
      </c>
      <c r="C842" s="1" t="s">
        <v>25</v>
      </c>
      <c r="D842" s="1" t="s">
        <v>19</v>
      </c>
      <c r="E842" s="35">
        <v>45403</v>
      </c>
      <c r="F842" s="1">
        <v>34835</v>
      </c>
      <c r="G842" s="1">
        <v>239272</v>
      </c>
      <c r="H842" s="3">
        <v>1208</v>
      </c>
      <c r="I842" s="1">
        <v>3</v>
      </c>
      <c r="J842" s="2">
        <v>45406</v>
      </c>
      <c r="K842" s="8">
        <f>(F842/G842)*100</f>
        <v>14.558744859406866</v>
      </c>
      <c r="L842" s="8">
        <f>(H842/G842)*100</f>
        <v>0.50486475642783102</v>
      </c>
    </row>
    <row r="843" spans="1:12" x14ac:dyDescent="0.3">
      <c r="A843" s="1" t="s">
        <v>851</v>
      </c>
      <c r="B843" s="1" t="s">
        <v>14</v>
      </c>
      <c r="C843" s="1" t="s">
        <v>25</v>
      </c>
      <c r="D843" s="1" t="s">
        <v>16</v>
      </c>
      <c r="E843" s="35">
        <v>45404</v>
      </c>
      <c r="F843" s="1">
        <v>61666</v>
      </c>
      <c r="G843" s="1">
        <v>380770</v>
      </c>
      <c r="H843" s="3">
        <v>735</v>
      </c>
      <c r="I843" s="1">
        <v>1</v>
      </c>
      <c r="J843" s="2">
        <v>45405</v>
      </c>
      <c r="K843" s="8">
        <f>(F843/G843)*100</f>
        <v>16.195078393781024</v>
      </c>
      <c r="L843" s="8">
        <f>(H843/G843)*100</f>
        <v>0.19302991307088269</v>
      </c>
    </row>
    <row r="844" spans="1:12" x14ac:dyDescent="0.3">
      <c r="A844" s="1" t="s">
        <v>852</v>
      </c>
      <c r="B844" s="1" t="s">
        <v>14</v>
      </c>
      <c r="C844" s="1" t="s">
        <v>27</v>
      </c>
      <c r="D844" s="1" t="s">
        <v>19</v>
      </c>
      <c r="E844" s="35">
        <v>45405</v>
      </c>
      <c r="F844" s="1">
        <v>33803</v>
      </c>
      <c r="G844" s="1">
        <v>706545</v>
      </c>
      <c r="H844" s="3">
        <v>1918</v>
      </c>
      <c r="I844" s="1">
        <v>1</v>
      </c>
      <c r="J844" s="2">
        <v>45406</v>
      </c>
      <c r="K844" s="8">
        <f>(F844/G844)*100</f>
        <v>4.7842671025907766</v>
      </c>
      <c r="L844" s="8">
        <f>(H844/G844)*100</f>
        <v>0.27146183187199679</v>
      </c>
    </row>
    <row r="845" spans="1:12" x14ac:dyDescent="0.3">
      <c r="A845" s="1" t="s">
        <v>853</v>
      </c>
      <c r="B845" s="1" t="s">
        <v>22</v>
      </c>
      <c r="C845" s="1" t="s">
        <v>30</v>
      </c>
      <c r="D845" s="1" t="s">
        <v>12</v>
      </c>
      <c r="E845" s="35">
        <v>45406</v>
      </c>
      <c r="F845" s="1">
        <v>40291</v>
      </c>
      <c r="G845" s="1">
        <v>709685</v>
      </c>
      <c r="H845" s="3">
        <v>1544</v>
      </c>
      <c r="I845" s="1">
        <v>3</v>
      </c>
      <c r="J845" s="2">
        <v>45409</v>
      </c>
      <c r="K845" s="8">
        <f>(F845/G845)*100</f>
        <v>5.6773075378513003</v>
      </c>
      <c r="L845" s="8">
        <f>(H845/G845)*100</f>
        <v>0.2175613124132538</v>
      </c>
    </row>
    <row r="846" spans="1:12" x14ac:dyDescent="0.3">
      <c r="A846" s="1" t="s">
        <v>854</v>
      </c>
      <c r="B846" s="1" t="s">
        <v>10</v>
      </c>
      <c r="C846" s="1" t="s">
        <v>25</v>
      </c>
      <c r="D846" s="1" t="s">
        <v>12</v>
      </c>
      <c r="E846" s="35">
        <v>45407</v>
      </c>
      <c r="F846" s="1">
        <v>86716</v>
      </c>
      <c r="G846" s="1">
        <v>414085</v>
      </c>
      <c r="H846" s="3">
        <v>4284</v>
      </c>
      <c r="I846" s="1">
        <v>13</v>
      </c>
      <c r="J846" s="2">
        <v>45420</v>
      </c>
      <c r="K846" s="8">
        <f>(F846/G846)*100</f>
        <v>20.941594117149862</v>
      </c>
      <c r="L846" s="8">
        <f>(H846/G846)*100</f>
        <v>1.0345701969402417</v>
      </c>
    </row>
    <row r="847" spans="1:12" x14ac:dyDescent="0.3">
      <c r="A847" s="1" t="s">
        <v>855</v>
      </c>
      <c r="B847" s="1" t="s">
        <v>22</v>
      </c>
      <c r="C847" s="1" t="s">
        <v>18</v>
      </c>
      <c r="D847" s="1" t="s">
        <v>19</v>
      </c>
      <c r="E847" s="35">
        <v>45408</v>
      </c>
      <c r="F847" s="1">
        <v>52373</v>
      </c>
      <c r="G847" s="1">
        <v>201809</v>
      </c>
      <c r="H847" s="3">
        <v>356</v>
      </c>
      <c r="I847" s="1">
        <v>21</v>
      </c>
      <c r="J847" s="2">
        <v>45429</v>
      </c>
      <c r="K847" s="8">
        <f>(F847/G847)*100</f>
        <v>25.951766274051209</v>
      </c>
      <c r="L847" s="8">
        <f>(H847/G847)*100</f>
        <v>0.17640442200298304</v>
      </c>
    </row>
    <row r="848" spans="1:12" x14ac:dyDescent="0.3">
      <c r="A848" s="1" t="s">
        <v>856</v>
      </c>
      <c r="B848" s="1" t="s">
        <v>14</v>
      </c>
      <c r="C848" s="1" t="s">
        <v>25</v>
      </c>
      <c r="D848" s="1" t="s">
        <v>32</v>
      </c>
      <c r="E848" s="35">
        <v>45409</v>
      </c>
      <c r="F848" s="1">
        <v>80202</v>
      </c>
      <c r="G848" s="1">
        <v>258814</v>
      </c>
      <c r="H848" s="3">
        <v>3408</v>
      </c>
      <c r="I848" s="1">
        <v>13</v>
      </c>
      <c r="J848" s="2">
        <v>45422</v>
      </c>
      <c r="K848" s="8">
        <f>(F848/G848)*100</f>
        <v>30.988277295664069</v>
      </c>
      <c r="L848" s="8">
        <f>(H848/G848)*100</f>
        <v>1.3167757540163978</v>
      </c>
    </row>
    <row r="849" spans="1:12" x14ac:dyDescent="0.3">
      <c r="A849" s="1" t="s">
        <v>857</v>
      </c>
      <c r="B849" s="1" t="s">
        <v>22</v>
      </c>
      <c r="C849" s="1" t="s">
        <v>37</v>
      </c>
      <c r="D849" s="1" t="s">
        <v>19</v>
      </c>
      <c r="E849" s="35">
        <v>45410</v>
      </c>
      <c r="F849" s="1">
        <v>41015</v>
      </c>
      <c r="G849" s="1">
        <v>516195</v>
      </c>
      <c r="H849" s="3">
        <v>4507</v>
      </c>
      <c r="I849" s="1">
        <v>27</v>
      </c>
      <c r="J849" s="2">
        <v>45437</v>
      </c>
      <c r="K849" s="8">
        <f>(F849/G849)*100</f>
        <v>7.9456406977983134</v>
      </c>
      <c r="L849" s="8">
        <f>(H849/G849)*100</f>
        <v>0.87311965439417272</v>
      </c>
    </row>
    <row r="850" spans="1:12" x14ac:dyDescent="0.3">
      <c r="A850" s="1" t="s">
        <v>858</v>
      </c>
      <c r="B850" s="1" t="s">
        <v>24</v>
      </c>
      <c r="C850" s="1" t="s">
        <v>15</v>
      </c>
      <c r="D850" s="1" t="s">
        <v>19</v>
      </c>
      <c r="E850" s="35">
        <v>45411</v>
      </c>
      <c r="F850" s="1">
        <v>13385</v>
      </c>
      <c r="G850" s="1">
        <v>769317</v>
      </c>
      <c r="H850" s="3">
        <v>4470</v>
      </c>
      <c r="I850" s="1">
        <v>24</v>
      </c>
      <c r="J850" s="2">
        <v>45435</v>
      </c>
      <c r="K850" s="8">
        <f>(F850/G850)*100</f>
        <v>1.7398549622587307</v>
      </c>
      <c r="L850" s="8">
        <f>(H850/G850)*100</f>
        <v>0.58103486599152243</v>
      </c>
    </row>
    <row r="851" spans="1:12" x14ac:dyDescent="0.3">
      <c r="A851" s="1" t="s">
        <v>859</v>
      </c>
      <c r="B851" s="1" t="s">
        <v>22</v>
      </c>
      <c r="C851" s="1" t="s">
        <v>37</v>
      </c>
      <c r="D851" s="1" t="s">
        <v>12</v>
      </c>
      <c r="E851" s="35">
        <v>45412</v>
      </c>
      <c r="F851" s="1">
        <v>5577</v>
      </c>
      <c r="G851" s="1">
        <v>663252</v>
      </c>
      <c r="H851" s="3">
        <v>34</v>
      </c>
      <c r="I851" s="1">
        <v>16</v>
      </c>
      <c r="J851" s="2">
        <v>45428</v>
      </c>
      <c r="K851" s="8">
        <f>(F851/G851)*100</f>
        <v>0.84085686888241573</v>
      </c>
      <c r="L851" s="8">
        <f>(H851/G851)*100</f>
        <v>5.1262566867495314E-3</v>
      </c>
    </row>
    <row r="852" spans="1:12" x14ac:dyDescent="0.3">
      <c r="A852" s="1" t="s">
        <v>860</v>
      </c>
      <c r="B852" s="1" t="s">
        <v>22</v>
      </c>
      <c r="C852" s="1" t="s">
        <v>11</v>
      </c>
      <c r="D852" s="1" t="s">
        <v>19</v>
      </c>
      <c r="E852" s="35">
        <v>45413</v>
      </c>
      <c r="F852" s="1">
        <v>17465</v>
      </c>
      <c r="G852" s="1">
        <v>295458</v>
      </c>
      <c r="H852" s="3">
        <v>2335</v>
      </c>
      <c r="I852" s="1">
        <v>17</v>
      </c>
      <c r="J852" s="2">
        <v>45430</v>
      </c>
      <c r="K852" s="8">
        <f>(F852/G852)*100</f>
        <v>5.9111616541098906</v>
      </c>
      <c r="L852" s="8">
        <f>(H852/G852)*100</f>
        <v>0.79029845189502401</v>
      </c>
    </row>
    <row r="853" spans="1:12" x14ac:dyDescent="0.3">
      <c r="A853" s="1" t="s">
        <v>861</v>
      </c>
      <c r="B853" s="1" t="s">
        <v>10</v>
      </c>
      <c r="C853" s="1" t="s">
        <v>37</v>
      </c>
      <c r="D853" s="1" t="s">
        <v>19</v>
      </c>
      <c r="E853" s="35">
        <v>45414</v>
      </c>
      <c r="F853" s="1">
        <v>14553</v>
      </c>
      <c r="G853" s="1">
        <v>655662</v>
      </c>
      <c r="H853" s="3">
        <v>1973</v>
      </c>
      <c r="I853" s="1">
        <v>18</v>
      </c>
      <c r="J853" s="2">
        <v>45432</v>
      </c>
      <c r="K853" s="8">
        <f>(F853/G853)*100</f>
        <v>2.2195887515213633</v>
      </c>
      <c r="L853" s="8">
        <f>(H853/G853)*100</f>
        <v>0.30091724089546135</v>
      </c>
    </row>
    <row r="854" spans="1:12" x14ac:dyDescent="0.3">
      <c r="A854" s="1" t="s">
        <v>862</v>
      </c>
      <c r="B854" s="1" t="s">
        <v>24</v>
      </c>
      <c r="C854" s="1" t="s">
        <v>30</v>
      </c>
      <c r="D854" s="1" t="s">
        <v>19</v>
      </c>
      <c r="E854" s="35">
        <v>45415</v>
      </c>
      <c r="F854" s="1">
        <v>73020</v>
      </c>
      <c r="G854" s="1">
        <v>616828</v>
      </c>
      <c r="H854" s="3">
        <v>1916</v>
      </c>
      <c r="I854" s="1">
        <v>7</v>
      </c>
      <c r="J854" s="2">
        <v>45422</v>
      </c>
      <c r="K854" s="8">
        <f>(F854/G854)*100</f>
        <v>11.837984008508045</v>
      </c>
      <c r="L854" s="8">
        <f>(H854/G854)*100</f>
        <v>0.31062143741853482</v>
      </c>
    </row>
    <row r="855" spans="1:12" x14ac:dyDescent="0.3">
      <c r="A855" s="1" t="s">
        <v>863</v>
      </c>
      <c r="B855" s="1" t="s">
        <v>22</v>
      </c>
      <c r="C855" s="1" t="s">
        <v>15</v>
      </c>
      <c r="D855" s="1" t="s">
        <v>28</v>
      </c>
      <c r="E855" s="35">
        <v>45416</v>
      </c>
      <c r="F855" s="1">
        <v>38524</v>
      </c>
      <c r="G855" s="1">
        <v>154841</v>
      </c>
      <c r="H855" s="3">
        <v>500</v>
      </c>
      <c r="I855" s="1">
        <f>Table1[[#This Row],[end_date]]-Table1[[#This Row],[start_date]]</f>
        <v>2</v>
      </c>
      <c r="J855" s="2">
        <v>45418</v>
      </c>
      <c r="K855" s="8">
        <f>(F855/G855)*100</f>
        <v>24.879715320877548</v>
      </c>
      <c r="L855" s="8">
        <f>(H855/G855)*100</f>
        <v>0.3229118902616232</v>
      </c>
    </row>
    <row r="856" spans="1:12" x14ac:dyDescent="0.3">
      <c r="A856" s="1" t="s">
        <v>864</v>
      </c>
      <c r="B856" s="1" t="s">
        <v>14</v>
      </c>
      <c r="C856" s="1" t="s">
        <v>11</v>
      </c>
      <c r="D856" s="1" t="s">
        <v>28</v>
      </c>
      <c r="E856" s="35">
        <v>45417</v>
      </c>
      <c r="F856" s="1">
        <v>7279</v>
      </c>
      <c r="G856" s="1">
        <v>869993</v>
      </c>
      <c r="H856" s="3">
        <v>1555</v>
      </c>
      <c r="I856" s="1">
        <f>Table1[[#This Row],[end_date]]-Table1[[#This Row],[start_date]]</f>
        <v>12</v>
      </c>
      <c r="J856" s="2">
        <v>45429</v>
      </c>
      <c r="K856" s="8">
        <f>(F856/G856)*100</f>
        <v>0.83667339852159728</v>
      </c>
      <c r="L856" s="8">
        <f>(H856/G856)*100</f>
        <v>0.17873707029826677</v>
      </c>
    </row>
    <row r="857" spans="1:12" x14ac:dyDescent="0.3">
      <c r="A857" s="1" t="s">
        <v>865</v>
      </c>
      <c r="B857" s="1" t="s">
        <v>10</v>
      </c>
      <c r="C857" s="1" t="s">
        <v>11</v>
      </c>
      <c r="D857" s="1" t="s">
        <v>16</v>
      </c>
      <c r="E857" s="35">
        <v>45418</v>
      </c>
      <c r="F857" s="1">
        <v>99333</v>
      </c>
      <c r="G857" s="1">
        <v>15580</v>
      </c>
      <c r="H857" s="3">
        <v>1956</v>
      </c>
      <c r="I857" s="1">
        <f>Table1[[#This Row],[end_date]]-Table1[[#This Row],[start_date]]</f>
        <v>23</v>
      </c>
      <c r="J857" s="2">
        <v>45441</v>
      </c>
      <c r="K857" s="8">
        <f>(F857/G857)*100</f>
        <v>637.56739409499357</v>
      </c>
      <c r="L857" s="8">
        <f>(H857/G857)*100</f>
        <v>12.554557124518615</v>
      </c>
    </row>
    <row r="858" spans="1:12" x14ac:dyDescent="0.3">
      <c r="A858" s="1" t="s">
        <v>866</v>
      </c>
      <c r="B858" s="1" t="s">
        <v>10</v>
      </c>
      <c r="C858" s="1" t="s">
        <v>25</v>
      </c>
      <c r="D858" s="1" t="s">
        <v>19</v>
      </c>
      <c r="E858" s="35">
        <v>45419</v>
      </c>
      <c r="F858" s="1">
        <v>66811</v>
      </c>
      <c r="G858" s="1">
        <v>600222</v>
      </c>
      <c r="H858" s="3">
        <v>541</v>
      </c>
      <c r="I858" s="1">
        <f>Table1[[#This Row],[end_date]]-Table1[[#This Row],[start_date]]</f>
        <v>24</v>
      </c>
      <c r="J858" s="2">
        <v>45443</v>
      </c>
      <c r="K858" s="8">
        <f>(F858/G858)*100</f>
        <v>11.131048178840496</v>
      </c>
      <c r="L858" s="8">
        <f>(H858/G858)*100</f>
        <v>9.0133317339251146E-2</v>
      </c>
    </row>
    <row r="859" spans="1:12" x14ac:dyDescent="0.3">
      <c r="A859" s="1" t="s">
        <v>867</v>
      </c>
      <c r="B859" s="1" t="s">
        <v>22</v>
      </c>
      <c r="C859" s="1" t="s">
        <v>18</v>
      </c>
      <c r="D859" s="1" t="s">
        <v>19</v>
      </c>
      <c r="E859" s="35">
        <v>45420</v>
      </c>
      <c r="F859" s="1">
        <v>23272</v>
      </c>
      <c r="G859" s="1">
        <v>920689</v>
      </c>
      <c r="H859" s="3">
        <v>4846</v>
      </c>
      <c r="I859" s="1">
        <v>10</v>
      </c>
      <c r="J859" s="2">
        <v>45430</v>
      </c>
      <c r="K859" s="8">
        <f>(F859/G859)*100</f>
        <v>2.5276722107030714</v>
      </c>
      <c r="L859" s="8">
        <f>(H859/G859)*100</f>
        <v>0.5263449438409713</v>
      </c>
    </row>
    <row r="860" spans="1:12" x14ac:dyDescent="0.3">
      <c r="A860" s="1" t="s">
        <v>868</v>
      </c>
      <c r="B860" s="1" t="s">
        <v>14</v>
      </c>
      <c r="C860" s="1" t="s">
        <v>30</v>
      </c>
      <c r="D860" s="1" t="s">
        <v>32</v>
      </c>
      <c r="E860" s="35">
        <v>45421</v>
      </c>
      <c r="F860" s="1">
        <v>21477</v>
      </c>
      <c r="G860" s="1">
        <v>478651</v>
      </c>
      <c r="H860" s="3">
        <v>1857</v>
      </c>
      <c r="I860" s="1">
        <v>26</v>
      </c>
      <c r="J860" s="2">
        <v>45447</v>
      </c>
      <c r="K860" s="8">
        <f>(F860/G860)*100</f>
        <v>4.4869852982653331</v>
      </c>
      <c r="L860" s="8">
        <f>(H860/G860)*100</f>
        <v>0.38796534426962442</v>
      </c>
    </row>
    <row r="861" spans="1:12" x14ac:dyDescent="0.3">
      <c r="A861" s="1" t="s">
        <v>869</v>
      </c>
      <c r="B861" s="1" t="s">
        <v>10</v>
      </c>
      <c r="C861" s="1" t="s">
        <v>25</v>
      </c>
      <c r="D861" s="1" t="s">
        <v>12</v>
      </c>
      <c r="E861" s="35">
        <v>45422</v>
      </c>
      <c r="F861" s="1">
        <v>73314</v>
      </c>
      <c r="G861" s="1">
        <v>659465</v>
      </c>
      <c r="H861" s="3">
        <v>4190</v>
      </c>
      <c r="I861" s="1">
        <v>14</v>
      </c>
      <c r="J861" s="2">
        <v>45436</v>
      </c>
      <c r="K861" s="8">
        <f>(F861/G861)*100</f>
        <v>11.11719348259574</v>
      </c>
      <c r="L861" s="8">
        <f>(H861/G861)*100</f>
        <v>0.63536351436391625</v>
      </c>
    </row>
    <row r="862" spans="1:12" x14ac:dyDescent="0.3">
      <c r="A862" s="1" t="s">
        <v>870</v>
      </c>
      <c r="B862" s="1" t="s">
        <v>10</v>
      </c>
      <c r="C862" s="1" t="s">
        <v>18</v>
      </c>
      <c r="D862" s="1" t="s">
        <v>32</v>
      </c>
      <c r="E862" s="35">
        <v>45423</v>
      </c>
      <c r="F862" s="1">
        <v>82544</v>
      </c>
      <c r="G862" s="1">
        <v>868338</v>
      </c>
      <c r="H862" s="3">
        <v>1323</v>
      </c>
      <c r="I862" s="1">
        <v>9</v>
      </c>
      <c r="J862" s="2">
        <v>45432</v>
      </c>
      <c r="K862" s="8">
        <f>(F862/G862)*100</f>
        <v>9.5059757836234269</v>
      </c>
      <c r="L862" s="8">
        <f>(H862/G862)*100</f>
        <v>0.15236002570427645</v>
      </c>
    </row>
    <row r="863" spans="1:12" x14ac:dyDescent="0.3">
      <c r="A863" s="1" t="s">
        <v>871</v>
      </c>
      <c r="B863" s="1" t="s">
        <v>10</v>
      </c>
      <c r="C863" s="1" t="s">
        <v>25</v>
      </c>
      <c r="D863" s="1" t="s">
        <v>16</v>
      </c>
      <c r="E863" s="35">
        <v>45424</v>
      </c>
      <c r="F863" s="1">
        <v>2619</v>
      </c>
      <c r="G863" s="1">
        <v>769848</v>
      </c>
      <c r="H863" s="3">
        <v>2554</v>
      </c>
      <c r="I863" s="1">
        <v>7</v>
      </c>
      <c r="J863" s="2">
        <v>45431</v>
      </c>
      <c r="K863" s="8">
        <f>(F863/G863)*100</f>
        <v>0.34019702590641265</v>
      </c>
      <c r="L863" s="8">
        <f>(H863/G863)*100</f>
        <v>0.33175380075027799</v>
      </c>
    </row>
    <row r="864" spans="1:12" x14ac:dyDescent="0.3">
      <c r="A864" s="1" t="s">
        <v>872</v>
      </c>
      <c r="B864" s="1" t="s">
        <v>14</v>
      </c>
      <c r="C864" s="1" t="s">
        <v>11</v>
      </c>
      <c r="D864" s="1" t="s">
        <v>32</v>
      </c>
      <c r="E864" s="35">
        <v>45425</v>
      </c>
      <c r="F864" s="1">
        <v>80535</v>
      </c>
      <c r="G864" s="1">
        <v>695736</v>
      </c>
      <c r="H864" s="3">
        <v>3430</v>
      </c>
      <c r="I864" s="1">
        <v>2</v>
      </c>
      <c r="J864" s="2">
        <v>45427</v>
      </c>
      <c r="K864" s="8">
        <f>(F864/G864)*100</f>
        <v>11.575511400876195</v>
      </c>
      <c r="L864" s="8">
        <f>(H864/G864)*100</f>
        <v>0.49300309312727814</v>
      </c>
    </row>
    <row r="865" spans="1:12" x14ac:dyDescent="0.3">
      <c r="A865" s="1" t="s">
        <v>873</v>
      </c>
      <c r="B865" s="1" t="s">
        <v>22</v>
      </c>
      <c r="C865" s="1" t="s">
        <v>18</v>
      </c>
      <c r="D865" s="1" t="s">
        <v>16</v>
      </c>
      <c r="E865" s="35">
        <v>45426</v>
      </c>
      <c r="F865" s="1">
        <v>76466</v>
      </c>
      <c r="G865" s="1">
        <v>910412</v>
      </c>
      <c r="H865" s="3">
        <v>1392</v>
      </c>
      <c r="I865" s="1">
        <v>11</v>
      </c>
      <c r="J865" s="2">
        <v>45437</v>
      </c>
      <c r="K865" s="8">
        <f>(F865/G865)*100</f>
        <v>8.3990544940093059</v>
      </c>
      <c r="L865" s="8">
        <f>(H865/G865)*100</f>
        <v>0.15289780890410054</v>
      </c>
    </row>
    <row r="866" spans="1:12" x14ac:dyDescent="0.3">
      <c r="A866" s="1" t="s">
        <v>874</v>
      </c>
      <c r="B866" s="1" t="s">
        <v>24</v>
      </c>
      <c r="C866" s="1" t="s">
        <v>30</v>
      </c>
      <c r="D866" s="1" t="s">
        <v>28</v>
      </c>
      <c r="E866" s="35">
        <v>45427</v>
      </c>
      <c r="F866" s="1">
        <v>1673</v>
      </c>
      <c r="G866" s="1">
        <v>689335</v>
      </c>
      <c r="H866" s="3">
        <v>3910</v>
      </c>
      <c r="I866" s="1">
        <v>19</v>
      </c>
      <c r="J866" s="2">
        <v>45446</v>
      </c>
      <c r="K866" s="8">
        <f>(F866/G866)*100</f>
        <v>0.24269767239440909</v>
      </c>
      <c r="L866" s="8">
        <f>(H866/G866)*100</f>
        <v>0.56721332878788977</v>
      </c>
    </row>
    <row r="867" spans="1:12" x14ac:dyDescent="0.3">
      <c r="A867" s="1" t="s">
        <v>875</v>
      </c>
      <c r="B867" s="1" t="s">
        <v>10</v>
      </c>
      <c r="C867" s="1" t="s">
        <v>37</v>
      </c>
      <c r="D867" s="1" t="s">
        <v>12</v>
      </c>
      <c r="E867" s="35">
        <v>45428</v>
      </c>
      <c r="F867" s="1">
        <v>25496</v>
      </c>
      <c r="G867" s="1">
        <v>998467</v>
      </c>
      <c r="H867" s="3">
        <v>2528</v>
      </c>
      <c r="I867" s="1">
        <v>23</v>
      </c>
      <c r="J867" s="2">
        <v>45451</v>
      </c>
      <c r="K867" s="8">
        <f>(F867/G867)*100</f>
        <v>2.5535145377864268</v>
      </c>
      <c r="L867" s="8">
        <f>(H867/G867)*100</f>
        <v>0.25318813741465668</v>
      </c>
    </row>
    <row r="868" spans="1:12" x14ac:dyDescent="0.3">
      <c r="A868" s="1" t="s">
        <v>876</v>
      </c>
      <c r="B868" s="1" t="s">
        <v>10</v>
      </c>
      <c r="C868" s="1" t="s">
        <v>27</v>
      </c>
      <c r="D868" s="1" t="s">
        <v>19</v>
      </c>
      <c r="E868" s="35">
        <v>45429</v>
      </c>
      <c r="F868" s="1">
        <v>68477</v>
      </c>
      <c r="G868" s="1">
        <v>428311</v>
      </c>
      <c r="H868" s="3">
        <v>173</v>
      </c>
      <c r="I868" s="1">
        <v>17</v>
      </c>
      <c r="J868" s="2">
        <v>45446</v>
      </c>
      <c r="K868" s="8">
        <f>(F868/G868)*100</f>
        <v>15.987681848002969</v>
      </c>
      <c r="L868" s="8">
        <f>(H868/G868)*100</f>
        <v>4.0391211059253675E-2</v>
      </c>
    </row>
    <row r="869" spans="1:12" x14ac:dyDescent="0.3">
      <c r="A869" s="1" t="s">
        <v>877</v>
      </c>
      <c r="B869" s="1" t="s">
        <v>22</v>
      </c>
      <c r="C869" s="1" t="s">
        <v>18</v>
      </c>
      <c r="D869" s="1" t="s">
        <v>12</v>
      </c>
      <c r="E869" s="35">
        <v>45430</v>
      </c>
      <c r="F869" s="1">
        <v>27549</v>
      </c>
      <c r="G869" s="1">
        <v>493884</v>
      </c>
      <c r="H869" s="3">
        <v>4174</v>
      </c>
      <c r="I869" s="1">
        <v>13</v>
      </c>
      <c r="J869" s="2">
        <v>45443</v>
      </c>
      <c r="K869" s="8">
        <f>(F869/G869)*100</f>
        <v>5.5780304686930533</v>
      </c>
      <c r="L869" s="8">
        <f>(H869/G869)*100</f>
        <v>0.84513772464789305</v>
      </c>
    </row>
    <row r="870" spans="1:12" x14ac:dyDescent="0.3">
      <c r="A870" s="1" t="s">
        <v>878</v>
      </c>
      <c r="B870" s="1" t="s">
        <v>22</v>
      </c>
      <c r="C870" s="1" t="s">
        <v>27</v>
      </c>
      <c r="D870" s="1" t="s">
        <v>19</v>
      </c>
      <c r="E870" s="35">
        <v>45431</v>
      </c>
      <c r="F870" s="1">
        <v>4773</v>
      </c>
      <c r="G870" s="1">
        <v>352308</v>
      </c>
      <c r="H870" s="3">
        <v>2308</v>
      </c>
      <c r="I870" s="1">
        <v>2</v>
      </c>
      <c r="J870" s="2">
        <v>45433</v>
      </c>
      <c r="K870" s="8">
        <f>(F870/G870)*100</f>
        <v>1.3547804761742566</v>
      </c>
      <c r="L870" s="8">
        <f>(H870/G870)*100</f>
        <v>0.65510859815842959</v>
      </c>
    </row>
    <row r="871" spans="1:12" x14ac:dyDescent="0.3">
      <c r="A871" s="1" t="s">
        <v>879</v>
      </c>
      <c r="B871" s="1" t="s">
        <v>10</v>
      </c>
      <c r="C871" s="1" t="s">
        <v>37</v>
      </c>
      <c r="D871" s="1" t="s">
        <v>28</v>
      </c>
      <c r="E871" s="35">
        <v>45432</v>
      </c>
      <c r="F871" s="1">
        <v>49744</v>
      </c>
      <c r="G871" s="1">
        <v>970369</v>
      </c>
      <c r="H871" s="3">
        <v>2865</v>
      </c>
      <c r="I871" s="1">
        <v>20</v>
      </c>
      <c r="J871" s="2">
        <v>45452</v>
      </c>
      <c r="K871" s="8">
        <f>(F871/G871)*100</f>
        <v>5.1262973157633844</v>
      </c>
      <c r="L871" s="8">
        <f>(H871/G871)*100</f>
        <v>0.29524850855705403</v>
      </c>
    </row>
    <row r="872" spans="1:12" x14ac:dyDescent="0.3">
      <c r="A872" s="1" t="s">
        <v>880</v>
      </c>
      <c r="B872" s="1" t="s">
        <v>22</v>
      </c>
      <c r="C872" s="1" t="s">
        <v>11</v>
      </c>
      <c r="D872" s="1" t="s">
        <v>32</v>
      </c>
      <c r="E872" s="35">
        <v>45433</v>
      </c>
      <c r="F872" s="1">
        <v>45348</v>
      </c>
      <c r="G872" s="1">
        <v>422582</v>
      </c>
      <c r="H872" s="3">
        <v>2700</v>
      </c>
      <c r="I872" s="1">
        <v>19</v>
      </c>
      <c r="J872" s="2">
        <v>45452</v>
      </c>
      <c r="K872" s="8">
        <f>(F872/G872)*100</f>
        <v>10.731171701586911</v>
      </c>
      <c r="L872" s="8">
        <f>(H872/G872)*100</f>
        <v>0.63892924923446814</v>
      </c>
    </row>
    <row r="873" spans="1:12" x14ac:dyDescent="0.3">
      <c r="A873" s="1" t="s">
        <v>881</v>
      </c>
      <c r="B873" s="1" t="s">
        <v>24</v>
      </c>
      <c r="C873" s="1" t="s">
        <v>27</v>
      </c>
      <c r="D873" s="1" t="s">
        <v>19</v>
      </c>
      <c r="E873" s="35">
        <v>45434</v>
      </c>
      <c r="F873" s="1">
        <v>23329</v>
      </c>
      <c r="G873" s="1">
        <v>165570</v>
      </c>
      <c r="H873" s="3">
        <v>2215</v>
      </c>
      <c r="I873" s="1">
        <v>1</v>
      </c>
      <c r="J873" s="2">
        <v>45435</v>
      </c>
      <c r="K873" s="8">
        <f>(F873/G873)*100</f>
        <v>14.090112943166034</v>
      </c>
      <c r="L873" s="8">
        <f>(H873/G873)*100</f>
        <v>1.3378027420426406</v>
      </c>
    </row>
    <row r="874" spans="1:12" x14ac:dyDescent="0.3">
      <c r="A874" s="1" t="s">
        <v>882</v>
      </c>
      <c r="B874" s="1" t="s">
        <v>22</v>
      </c>
      <c r="C874" s="1" t="s">
        <v>30</v>
      </c>
      <c r="D874" s="1" t="s">
        <v>16</v>
      </c>
      <c r="E874" s="35">
        <v>45435</v>
      </c>
      <c r="F874" s="1">
        <v>75377</v>
      </c>
      <c r="G874" s="1">
        <v>431509</v>
      </c>
      <c r="H874" s="3">
        <v>2911</v>
      </c>
      <c r="I874" s="1">
        <v>11</v>
      </c>
      <c r="J874" s="2">
        <v>45446</v>
      </c>
      <c r="K874" s="8">
        <f>(F874/G874)*100</f>
        <v>17.468233571026328</v>
      </c>
      <c r="L874" s="8">
        <f>(H874/G874)*100</f>
        <v>0.67460933607410267</v>
      </c>
    </row>
    <row r="875" spans="1:12" x14ac:dyDescent="0.3">
      <c r="A875" s="1" t="s">
        <v>883</v>
      </c>
      <c r="B875" s="1" t="s">
        <v>10</v>
      </c>
      <c r="C875" s="1" t="s">
        <v>15</v>
      </c>
      <c r="D875" s="1" t="s">
        <v>32</v>
      </c>
      <c r="E875" s="35">
        <v>45436</v>
      </c>
      <c r="F875" s="1">
        <v>80108</v>
      </c>
      <c r="G875" s="1">
        <v>716979</v>
      </c>
      <c r="H875" s="3">
        <v>3385</v>
      </c>
      <c r="I875" s="1">
        <v>6</v>
      </c>
      <c r="J875" s="2">
        <v>45442</v>
      </c>
      <c r="K875" s="8">
        <f>(F875/G875)*100</f>
        <v>11.17299111968412</v>
      </c>
      <c r="L875" s="8">
        <f>(H875/G875)*100</f>
        <v>0.47211982498790067</v>
      </c>
    </row>
    <row r="876" spans="1:12" x14ac:dyDescent="0.3">
      <c r="A876" s="1" t="s">
        <v>884</v>
      </c>
      <c r="B876" s="1" t="s">
        <v>10</v>
      </c>
      <c r="C876" s="1" t="s">
        <v>27</v>
      </c>
      <c r="D876" s="1" t="s">
        <v>28</v>
      </c>
      <c r="E876" s="35">
        <v>45437</v>
      </c>
      <c r="F876" s="1">
        <v>98574</v>
      </c>
      <c r="G876" s="1">
        <v>578767</v>
      </c>
      <c r="H876" s="3">
        <v>12</v>
      </c>
      <c r="I876" s="1">
        <v>14</v>
      </c>
      <c r="J876" s="2">
        <v>45451</v>
      </c>
      <c r="K876" s="8">
        <f>(F876/G876)*100</f>
        <v>17.031724338118796</v>
      </c>
      <c r="L876" s="8">
        <f>(H876/G876)*100</f>
        <v>2.0733732227303904E-3</v>
      </c>
    </row>
    <row r="877" spans="1:12" x14ac:dyDescent="0.3">
      <c r="A877" s="1" t="s">
        <v>885</v>
      </c>
      <c r="B877" s="1" t="s">
        <v>22</v>
      </c>
      <c r="C877" s="1" t="s">
        <v>11</v>
      </c>
      <c r="D877" s="1" t="s">
        <v>19</v>
      </c>
      <c r="E877" s="35">
        <v>45438</v>
      </c>
      <c r="F877" s="1">
        <v>80622</v>
      </c>
      <c r="G877" s="1">
        <v>856059</v>
      </c>
      <c r="H877" s="3">
        <v>934</v>
      </c>
      <c r="I877" s="1">
        <v>7</v>
      </c>
      <c r="J877" s="2">
        <v>45445</v>
      </c>
      <c r="K877" s="8">
        <f>(F877/G877)*100</f>
        <v>9.4178088192519436</v>
      </c>
      <c r="L877" s="8">
        <f>(H877/G877)*100</f>
        <v>0.10910462947063228</v>
      </c>
    </row>
    <row r="878" spans="1:12" x14ac:dyDescent="0.3">
      <c r="A878" s="1" t="s">
        <v>886</v>
      </c>
      <c r="B878" s="1" t="s">
        <v>22</v>
      </c>
      <c r="C878" s="1" t="s">
        <v>18</v>
      </c>
      <c r="D878" s="1" t="s">
        <v>12</v>
      </c>
      <c r="E878" s="35">
        <v>45439</v>
      </c>
      <c r="F878" s="1">
        <v>26713</v>
      </c>
      <c r="G878" s="1">
        <v>194511</v>
      </c>
      <c r="H878" s="3">
        <v>2219</v>
      </c>
      <c r="I878" s="1">
        <v>21</v>
      </c>
      <c r="J878" s="2">
        <v>45460</v>
      </c>
      <c r="K878" s="8">
        <f>(F878/G878)*100</f>
        <v>13.733413534453065</v>
      </c>
      <c r="L878" s="8">
        <f>(H878/G878)*100</f>
        <v>1.1408095171995414</v>
      </c>
    </row>
    <row r="879" spans="1:12" x14ac:dyDescent="0.3">
      <c r="A879" s="1" t="s">
        <v>887</v>
      </c>
      <c r="B879" s="1" t="s">
        <v>14</v>
      </c>
      <c r="C879" s="1" t="s">
        <v>27</v>
      </c>
      <c r="D879" s="1" t="s">
        <v>16</v>
      </c>
      <c r="E879" s="35">
        <v>45440</v>
      </c>
      <c r="F879" s="1">
        <v>8077</v>
      </c>
      <c r="G879" s="1">
        <v>245907</v>
      </c>
      <c r="H879" s="3">
        <v>4225</v>
      </c>
      <c r="I879" s="1">
        <v>29</v>
      </c>
      <c r="J879" s="2">
        <v>45469</v>
      </c>
      <c r="K879" s="8">
        <f>(F879/G879)*100</f>
        <v>3.284575062930295</v>
      </c>
      <c r="L879" s="8">
        <f>(H879/G879)*100</f>
        <v>1.7181292114498572</v>
      </c>
    </row>
    <row r="880" spans="1:12" x14ac:dyDescent="0.3">
      <c r="A880" s="1" t="s">
        <v>888</v>
      </c>
      <c r="B880" s="1" t="s">
        <v>14</v>
      </c>
      <c r="C880" s="1" t="s">
        <v>18</v>
      </c>
      <c r="D880" s="1" t="s">
        <v>16</v>
      </c>
      <c r="E880" s="35">
        <v>45441</v>
      </c>
      <c r="F880" s="1">
        <v>31308</v>
      </c>
      <c r="G880" s="1">
        <v>996074</v>
      </c>
      <c r="H880" s="3">
        <v>66</v>
      </c>
      <c r="I880" s="1">
        <v>5</v>
      </c>
      <c r="J880" s="2">
        <v>45446</v>
      </c>
      <c r="K880" s="8">
        <f>(F880/G880)*100</f>
        <v>3.1431399675124538</v>
      </c>
      <c r="L880" s="8">
        <f>(H880/G880)*100</f>
        <v>6.6260137299036011E-3</v>
      </c>
    </row>
    <row r="881" spans="1:12" x14ac:dyDescent="0.3">
      <c r="A881" s="1" t="s">
        <v>889</v>
      </c>
      <c r="B881" s="1" t="s">
        <v>14</v>
      </c>
      <c r="C881" s="1" t="s">
        <v>37</v>
      </c>
      <c r="D881" s="1" t="s">
        <v>12</v>
      </c>
      <c r="E881" s="35">
        <v>45442</v>
      </c>
      <c r="F881" s="1">
        <v>62743</v>
      </c>
      <c r="G881" s="1">
        <v>157929</v>
      </c>
      <c r="H881" s="3">
        <v>4056</v>
      </c>
      <c r="I881" s="1">
        <v>25</v>
      </c>
      <c r="J881" s="2">
        <v>45467</v>
      </c>
      <c r="K881" s="8">
        <f>(F881/G881)*100</f>
        <v>39.728612224480621</v>
      </c>
      <c r="L881" s="8">
        <f>(H881/G881)*100</f>
        <v>2.5682426913359802</v>
      </c>
    </row>
    <row r="882" spans="1:12" x14ac:dyDescent="0.3">
      <c r="A882" s="1" t="s">
        <v>890</v>
      </c>
      <c r="B882" s="1" t="s">
        <v>14</v>
      </c>
      <c r="C882" s="1" t="s">
        <v>27</v>
      </c>
      <c r="D882" s="1" t="s">
        <v>19</v>
      </c>
      <c r="E882" s="35">
        <v>45443</v>
      </c>
      <c r="F882" s="1">
        <v>8798</v>
      </c>
      <c r="G882" s="1">
        <v>392153</v>
      </c>
      <c r="H882" s="3">
        <v>4861</v>
      </c>
      <c r="I882" s="1">
        <v>19</v>
      </c>
      <c r="J882" s="2">
        <v>45462</v>
      </c>
      <c r="K882" s="8">
        <f>(F882/G882)*100</f>
        <v>2.2435120985941714</v>
      </c>
      <c r="L882" s="8">
        <f>(H882/G882)*100</f>
        <v>1.2395672097370158</v>
      </c>
    </row>
    <row r="883" spans="1:12" x14ac:dyDescent="0.3">
      <c r="A883" s="1" t="s">
        <v>891</v>
      </c>
      <c r="B883" s="1" t="s">
        <v>24</v>
      </c>
      <c r="C883" s="1" t="s">
        <v>11</v>
      </c>
      <c r="D883" s="1" t="s">
        <v>16</v>
      </c>
      <c r="E883" s="35">
        <v>45444</v>
      </c>
      <c r="F883" s="1">
        <v>2532</v>
      </c>
      <c r="G883" s="1">
        <v>85785</v>
      </c>
      <c r="H883" s="3">
        <v>3176</v>
      </c>
      <c r="I883" s="1">
        <v>15</v>
      </c>
      <c r="J883" s="2">
        <v>45459</v>
      </c>
      <c r="K883" s="8">
        <f>(F883/G883)*100</f>
        <v>2.9515649589089001</v>
      </c>
      <c r="L883" s="8">
        <f>(H883/G883)*100</f>
        <v>3.702278953196946</v>
      </c>
    </row>
    <row r="884" spans="1:12" x14ac:dyDescent="0.3">
      <c r="A884" s="1" t="s">
        <v>892</v>
      </c>
      <c r="B884" s="1" t="s">
        <v>14</v>
      </c>
      <c r="C884" s="1" t="s">
        <v>25</v>
      </c>
      <c r="D884" s="1" t="s">
        <v>16</v>
      </c>
      <c r="E884" s="35">
        <v>45445</v>
      </c>
      <c r="F884" s="1">
        <v>22197</v>
      </c>
      <c r="G884" s="1">
        <v>765841</v>
      </c>
      <c r="H884" s="3">
        <v>1467</v>
      </c>
      <c r="I884" s="1">
        <v>23</v>
      </c>
      <c r="J884" s="2">
        <v>45468</v>
      </c>
      <c r="K884" s="8">
        <f>(F884/G884)*100</f>
        <v>2.8983823012870817</v>
      </c>
      <c r="L884" s="8">
        <f>(H884/G884)*100</f>
        <v>0.19155412154742302</v>
      </c>
    </row>
    <row r="885" spans="1:12" x14ac:dyDescent="0.3">
      <c r="A885" s="1" t="s">
        <v>893</v>
      </c>
      <c r="B885" s="1" t="s">
        <v>22</v>
      </c>
      <c r="C885" s="1" t="s">
        <v>11</v>
      </c>
      <c r="D885" s="1" t="s">
        <v>16</v>
      </c>
      <c r="E885" s="35">
        <v>45446</v>
      </c>
      <c r="F885" s="1">
        <v>99394</v>
      </c>
      <c r="G885" s="1">
        <v>57012</v>
      </c>
      <c r="H885" s="3">
        <v>1837</v>
      </c>
      <c r="I885" s="1">
        <v>20</v>
      </c>
      <c r="J885" s="2">
        <v>45466</v>
      </c>
      <c r="K885" s="8">
        <f>(F885/G885)*100</f>
        <v>174.33873570476391</v>
      </c>
      <c r="L885" s="8">
        <f>(H885/G885)*100</f>
        <v>3.2221286746649827</v>
      </c>
    </row>
    <row r="886" spans="1:12" x14ac:dyDescent="0.3">
      <c r="A886" s="1" t="s">
        <v>894</v>
      </c>
      <c r="B886" s="1" t="s">
        <v>22</v>
      </c>
      <c r="C886" s="1" t="s">
        <v>27</v>
      </c>
      <c r="D886" s="1" t="s">
        <v>12</v>
      </c>
      <c r="E886" s="35">
        <v>45447</v>
      </c>
      <c r="F886" s="1">
        <v>9803</v>
      </c>
      <c r="G886" s="1">
        <v>894048</v>
      </c>
      <c r="H886" s="3">
        <v>3542</v>
      </c>
      <c r="I886" s="1">
        <v>19</v>
      </c>
      <c r="J886" s="2">
        <v>45466</v>
      </c>
      <c r="K886" s="8">
        <f>(F886/G886)*100</f>
        <v>1.096473567414725</v>
      </c>
      <c r="L886" s="8">
        <f>(H886/G886)*100</f>
        <v>0.39617559683596409</v>
      </c>
    </row>
    <row r="887" spans="1:12" x14ac:dyDescent="0.3">
      <c r="A887" s="1" t="s">
        <v>895</v>
      </c>
      <c r="B887" s="1" t="s">
        <v>22</v>
      </c>
      <c r="C887" s="1" t="s">
        <v>25</v>
      </c>
      <c r="D887" s="1" t="s">
        <v>12</v>
      </c>
      <c r="E887" s="35">
        <v>45448</v>
      </c>
      <c r="F887" s="1">
        <v>87152</v>
      </c>
      <c r="G887" s="1">
        <v>250231</v>
      </c>
      <c r="H887" s="3">
        <v>708</v>
      </c>
      <c r="I887" s="1">
        <v>14</v>
      </c>
      <c r="J887" s="2">
        <v>45462</v>
      </c>
      <c r="K887" s="8">
        <f>(F887/G887)*100</f>
        <v>34.828618356638465</v>
      </c>
      <c r="L887" s="8">
        <f>(H887/G887)*100</f>
        <v>0.28293856476615609</v>
      </c>
    </row>
    <row r="888" spans="1:12" x14ac:dyDescent="0.3">
      <c r="A888" s="1" t="s">
        <v>896</v>
      </c>
      <c r="B888" s="1" t="s">
        <v>22</v>
      </c>
      <c r="C888" s="1" t="s">
        <v>37</v>
      </c>
      <c r="D888" s="1" t="s">
        <v>28</v>
      </c>
      <c r="E888" s="35">
        <v>45449</v>
      </c>
      <c r="F888" s="1">
        <v>30987</v>
      </c>
      <c r="G888" s="1">
        <v>123623</v>
      </c>
      <c r="H888" s="3">
        <v>320</v>
      </c>
      <c r="I888" s="1">
        <v>7</v>
      </c>
      <c r="J888" s="2">
        <v>45456</v>
      </c>
      <c r="K888" s="8">
        <f>(F888/G888)*100</f>
        <v>25.065724015757585</v>
      </c>
      <c r="L888" s="8">
        <f>(H888/G888)*100</f>
        <v>0.25885150821449088</v>
      </c>
    </row>
    <row r="889" spans="1:12" x14ac:dyDescent="0.3">
      <c r="A889" s="1" t="s">
        <v>897</v>
      </c>
      <c r="B889" s="1" t="s">
        <v>22</v>
      </c>
      <c r="C889" s="1" t="s">
        <v>30</v>
      </c>
      <c r="D889" s="1" t="s">
        <v>19</v>
      </c>
      <c r="E889" s="35">
        <v>45450</v>
      </c>
      <c r="F889" s="1">
        <v>30626</v>
      </c>
      <c r="G889" s="1">
        <v>34019</v>
      </c>
      <c r="H889" s="3">
        <v>3265</v>
      </c>
      <c r="I889" s="1">
        <v>26</v>
      </c>
      <c r="J889" s="2">
        <v>45476</v>
      </c>
      <c r="K889" s="8">
        <f>(F889/G889)*100</f>
        <v>90.026161850730475</v>
      </c>
      <c r="L889" s="8">
        <f>(H889/G889)*100</f>
        <v>9.5975778241570886</v>
      </c>
    </row>
    <row r="890" spans="1:12" x14ac:dyDescent="0.3">
      <c r="A890" s="1" t="s">
        <v>898</v>
      </c>
      <c r="B890" s="1" t="s">
        <v>14</v>
      </c>
      <c r="C890" s="1" t="s">
        <v>15</v>
      </c>
      <c r="D890" s="1" t="s">
        <v>19</v>
      </c>
      <c r="E890" s="35">
        <v>45451</v>
      </c>
      <c r="F890" s="1">
        <v>65962</v>
      </c>
      <c r="G890" s="1">
        <v>763905</v>
      </c>
      <c r="H890" s="3">
        <v>4892</v>
      </c>
      <c r="I890" s="1">
        <v>18</v>
      </c>
      <c r="J890" s="2">
        <v>45469</v>
      </c>
      <c r="K890" s="8">
        <f>(F890/G890)*100</f>
        <v>8.6348433378496008</v>
      </c>
      <c r="L890" s="8">
        <f>(H890/G890)*100</f>
        <v>0.64039376624056654</v>
      </c>
    </row>
    <row r="891" spans="1:12" x14ac:dyDescent="0.3">
      <c r="A891" s="1" t="s">
        <v>899</v>
      </c>
      <c r="B891" s="1" t="s">
        <v>22</v>
      </c>
      <c r="C891" s="1" t="s">
        <v>15</v>
      </c>
      <c r="D891" s="1" t="s">
        <v>32</v>
      </c>
      <c r="E891" s="35">
        <v>45452</v>
      </c>
      <c r="F891" s="1">
        <v>22763</v>
      </c>
      <c r="G891" s="1">
        <v>460744</v>
      </c>
      <c r="H891" s="3">
        <v>4733</v>
      </c>
      <c r="I891" s="1">
        <v>10</v>
      </c>
      <c r="J891" s="2">
        <v>45462</v>
      </c>
      <c r="K891" s="8">
        <f>(F891/G891)*100</f>
        <v>4.9404875592519923</v>
      </c>
      <c r="L891" s="8">
        <f>(H891/G891)*100</f>
        <v>1.0272515757123262</v>
      </c>
    </row>
    <row r="892" spans="1:12" x14ac:dyDescent="0.3">
      <c r="A892" s="1" t="s">
        <v>900</v>
      </c>
      <c r="B892" s="1" t="s">
        <v>24</v>
      </c>
      <c r="C892" s="1" t="s">
        <v>37</v>
      </c>
      <c r="D892" s="1" t="s">
        <v>19</v>
      </c>
      <c r="E892" s="35">
        <v>45453</v>
      </c>
      <c r="F892" s="1">
        <v>3762</v>
      </c>
      <c r="G892" s="1">
        <v>814428</v>
      </c>
      <c r="H892" s="3">
        <v>1758</v>
      </c>
      <c r="I892" s="1">
        <v>20</v>
      </c>
      <c r="J892" s="2">
        <v>45473</v>
      </c>
      <c r="K892" s="8">
        <f>(F892/G892)*100</f>
        <v>0.46191928568271223</v>
      </c>
      <c r="L892" s="8">
        <f>(H892/G892)*100</f>
        <v>0.21585701866831691</v>
      </c>
    </row>
    <row r="893" spans="1:12" x14ac:dyDescent="0.3">
      <c r="A893" s="1" t="s">
        <v>901</v>
      </c>
      <c r="B893" s="1" t="s">
        <v>22</v>
      </c>
      <c r="C893" s="1" t="s">
        <v>27</v>
      </c>
      <c r="D893" s="1" t="s">
        <v>19</v>
      </c>
      <c r="E893" s="35">
        <v>45454</v>
      </c>
      <c r="F893" s="1">
        <v>44300</v>
      </c>
      <c r="G893" s="1">
        <v>365165</v>
      </c>
      <c r="H893" s="3">
        <v>394</v>
      </c>
      <c r="I893" s="1">
        <f>Table1[[#This Row],[end_date]]-Table1[[#This Row],[start_date]]</f>
        <v>29</v>
      </c>
      <c r="J893" s="2">
        <v>45483</v>
      </c>
      <c r="K893" s="8">
        <f>(F893/G893)*100</f>
        <v>12.131502197636685</v>
      </c>
      <c r="L893" s="8">
        <f>(H893/G893)*100</f>
        <v>0.10789643038078678</v>
      </c>
    </row>
    <row r="894" spans="1:12" x14ac:dyDescent="0.3">
      <c r="A894" s="1" t="s">
        <v>902</v>
      </c>
      <c r="B894" s="1" t="s">
        <v>22</v>
      </c>
      <c r="C894" s="1" t="s">
        <v>27</v>
      </c>
      <c r="D894" s="1" t="s">
        <v>28</v>
      </c>
      <c r="E894" s="35">
        <v>45455</v>
      </c>
      <c r="F894" s="1">
        <v>69961</v>
      </c>
      <c r="G894" s="1">
        <v>758182</v>
      </c>
      <c r="H894" s="3">
        <v>1421</v>
      </c>
      <c r="I894" s="1">
        <f>Table1[[#This Row],[end_date]]-Table1[[#This Row],[start_date]]</f>
        <v>17</v>
      </c>
      <c r="J894" s="2">
        <v>45472</v>
      </c>
      <c r="K894" s="8">
        <f>(F894/G894)*100</f>
        <v>9.2274678111587995</v>
      </c>
      <c r="L894" s="8">
        <f>(H894/G894)*100</f>
        <v>0.187422017404792</v>
      </c>
    </row>
    <row r="895" spans="1:12" x14ac:dyDescent="0.3">
      <c r="A895" s="1" t="s">
        <v>903</v>
      </c>
      <c r="B895" s="1" t="s">
        <v>10</v>
      </c>
      <c r="C895" s="1" t="s">
        <v>25</v>
      </c>
      <c r="D895" s="1" t="s">
        <v>12</v>
      </c>
      <c r="E895" s="35">
        <v>45456</v>
      </c>
      <c r="F895" s="1">
        <v>9309</v>
      </c>
      <c r="G895" s="1">
        <v>355640</v>
      </c>
      <c r="H895" s="3">
        <v>3543</v>
      </c>
      <c r="I895" s="1">
        <f>Table1[[#This Row],[end_date]]-Table1[[#This Row],[start_date]]</f>
        <v>20</v>
      </c>
      <c r="J895" s="2">
        <v>45476</v>
      </c>
      <c r="K895" s="8">
        <f>(F895/G895)*100</f>
        <v>2.6175345855359353</v>
      </c>
      <c r="L895" s="8">
        <f>(H895/G895)*100</f>
        <v>0.99623214486559442</v>
      </c>
    </row>
    <row r="896" spans="1:12" x14ac:dyDescent="0.3">
      <c r="A896" s="1" t="s">
        <v>904</v>
      </c>
      <c r="B896" s="1" t="s">
        <v>10</v>
      </c>
      <c r="C896" s="1" t="s">
        <v>27</v>
      </c>
      <c r="D896" s="1" t="s">
        <v>28</v>
      </c>
      <c r="E896" s="35">
        <v>45457</v>
      </c>
      <c r="F896" s="1">
        <v>6709</v>
      </c>
      <c r="G896" s="1">
        <v>169997</v>
      </c>
      <c r="H896" s="3">
        <v>2409</v>
      </c>
      <c r="I896" s="1">
        <f>Table1[[#This Row],[end_date]]-Table1[[#This Row],[start_date]]</f>
        <v>1</v>
      </c>
      <c r="J896" s="2">
        <v>45458</v>
      </c>
      <c r="K896" s="8">
        <f>(F896/G896)*100</f>
        <v>3.9465402330629362</v>
      </c>
      <c r="L896" s="8">
        <f>(H896/G896)*100</f>
        <v>1.4170838308911333</v>
      </c>
    </row>
    <row r="897" spans="1:12" x14ac:dyDescent="0.3">
      <c r="A897" s="1" t="s">
        <v>905</v>
      </c>
      <c r="B897" s="1" t="s">
        <v>22</v>
      </c>
      <c r="C897" s="1" t="s">
        <v>27</v>
      </c>
      <c r="D897" s="1" t="s">
        <v>12</v>
      </c>
      <c r="E897" s="35">
        <v>45458</v>
      </c>
      <c r="F897" s="1">
        <v>4271</v>
      </c>
      <c r="G897" s="1">
        <v>832812</v>
      </c>
      <c r="H897" s="3">
        <v>1342</v>
      </c>
      <c r="I897" s="1">
        <v>24</v>
      </c>
      <c r="J897" s="2">
        <v>45482</v>
      </c>
      <c r="K897" s="8">
        <f>(F897/G897)*100</f>
        <v>0.51284083322526564</v>
      </c>
      <c r="L897" s="8">
        <f>(H897/G897)*100</f>
        <v>0.1611408096905424</v>
      </c>
    </row>
    <row r="898" spans="1:12" x14ac:dyDescent="0.3">
      <c r="A898" s="1" t="s">
        <v>906</v>
      </c>
      <c r="B898" s="1" t="s">
        <v>22</v>
      </c>
      <c r="C898" s="1" t="s">
        <v>37</v>
      </c>
      <c r="D898" s="1" t="s">
        <v>19</v>
      </c>
      <c r="E898" s="35">
        <v>45459</v>
      </c>
      <c r="F898" s="1">
        <v>65423</v>
      </c>
      <c r="G898" s="1">
        <v>363530</v>
      </c>
      <c r="H898" s="3">
        <v>3255</v>
      </c>
      <c r="I898" s="1">
        <v>22</v>
      </c>
      <c r="J898" s="2">
        <v>45481</v>
      </c>
      <c r="K898" s="8">
        <f>(F898/G898)*100</f>
        <v>17.996589002283166</v>
      </c>
      <c r="L898" s="8">
        <f>(H898/G898)*100</f>
        <v>0.89538690066844551</v>
      </c>
    </row>
    <row r="899" spans="1:12" x14ac:dyDescent="0.3">
      <c r="A899" s="1" t="s">
        <v>907</v>
      </c>
      <c r="B899" s="1" t="s">
        <v>22</v>
      </c>
      <c r="C899" s="1" t="s">
        <v>11</v>
      </c>
      <c r="D899" s="1" t="s">
        <v>12</v>
      </c>
      <c r="E899" s="35">
        <v>45460</v>
      </c>
      <c r="F899" s="1">
        <v>38168</v>
      </c>
      <c r="G899" s="1">
        <v>432390</v>
      </c>
      <c r="H899" s="3">
        <v>2799</v>
      </c>
      <c r="I899" s="1">
        <v>18</v>
      </c>
      <c r="J899" s="2">
        <v>45478</v>
      </c>
      <c r="K899" s="8">
        <f>(F899/G899)*100</f>
        <v>8.8272161705867394</v>
      </c>
      <c r="L899" s="8">
        <f>(H899/G899)*100</f>
        <v>0.64733226947894262</v>
      </c>
    </row>
    <row r="900" spans="1:12" x14ac:dyDescent="0.3">
      <c r="A900" s="1" t="s">
        <v>908</v>
      </c>
      <c r="B900" s="1" t="s">
        <v>14</v>
      </c>
      <c r="C900" s="1" t="s">
        <v>15</v>
      </c>
      <c r="D900" s="1" t="s">
        <v>19</v>
      </c>
      <c r="E900" s="35">
        <v>45461</v>
      </c>
      <c r="F900" s="1">
        <v>96783</v>
      </c>
      <c r="G900" s="1">
        <v>84870</v>
      </c>
      <c r="H900" s="3">
        <v>738</v>
      </c>
      <c r="I900" s="1">
        <v>1</v>
      </c>
      <c r="J900" s="2">
        <v>45462</v>
      </c>
      <c r="K900" s="8">
        <f>(F900/G900)*100</f>
        <v>114.03676210675151</v>
      </c>
      <c r="L900" s="8">
        <f>(H900/G900)*100</f>
        <v>0.86956521739130432</v>
      </c>
    </row>
    <row r="901" spans="1:12" x14ac:dyDescent="0.3">
      <c r="A901" s="1" t="s">
        <v>909</v>
      </c>
      <c r="B901" s="1" t="s">
        <v>14</v>
      </c>
      <c r="C901" s="1" t="s">
        <v>18</v>
      </c>
      <c r="D901" s="1" t="s">
        <v>12</v>
      </c>
      <c r="E901" s="35">
        <v>45462</v>
      </c>
      <c r="F901" s="1">
        <v>79677</v>
      </c>
      <c r="G901" s="1">
        <v>971547</v>
      </c>
      <c r="H901" s="3">
        <v>53</v>
      </c>
      <c r="I901" s="1">
        <v>5</v>
      </c>
      <c r="J901" s="2">
        <v>45467</v>
      </c>
      <c r="K901" s="8">
        <f>(F901/G901)*100</f>
        <v>8.2010443138623259</v>
      </c>
      <c r="L901" s="8">
        <f>(H901/G901)*100</f>
        <v>5.4552172977735507E-3</v>
      </c>
    </row>
    <row r="902" spans="1:12" x14ac:dyDescent="0.3">
      <c r="A902" s="1" t="s">
        <v>910</v>
      </c>
      <c r="B902" s="1" t="s">
        <v>22</v>
      </c>
      <c r="C902" s="1" t="s">
        <v>25</v>
      </c>
      <c r="D902" s="1" t="s">
        <v>12</v>
      </c>
      <c r="E902" s="35">
        <v>45463</v>
      </c>
      <c r="F902" s="1">
        <v>59219</v>
      </c>
      <c r="G902" s="1">
        <v>486773</v>
      </c>
      <c r="H902" s="3">
        <v>618</v>
      </c>
      <c r="I902" s="1">
        <v>7</v>
      </c>
      <c r="J902" s="2">
        <v>45470</v>
      </c>
      <c r="K902" s="8">
        <f>(F902/G902)*100</f>
        <v>12.165629564499264</v>
      </c>
      <c r="L902" s="8">
        <f>(H902/G902)*100</f>
        <v>0.12695856179369028</v>
      </c>
    </row>
    <row r="903" spans="1:12" x14ac:dyDescent="0.3">
      <c r="A903" s="1" t="s">
        <v>911</v>
      </c>
      <c r="B903" s="1" t="s">
        <v>22</v>
      </c>
      <c r="C903" s="1" t="s">
        <v>37</v>
      </c>
      <c r="D903" s="1" t="s">
        <v>28</v>
      </c>
      <c r="E903" s="35">
        <v>45464</v>
      </c>
      <c r="F903" s="1">
        <v>58989</v>
      </c>
      <c r="G903" s="1">
        <v>845793</v>
      </c>
      <c r="H903" s="3">
        <v>4769</v>
      </c>
      <c r="I903" s="1">
        <v>13</v>
      </c>
      <c r="J903" s="2">
        <v>45477</v>
      </c>
      <c r="K903" s="8">
        <f>(F903/G903)*100</f>
        <v>6.9744015379649626</v>
      </c>
      <c r="L903" s="8">
        <f>(H903/G903)*100</f>
        <v>0.56384954711140911</v>
      </c>
    </row>
    <row r="904" spans="1:12" x14ac:dyDescent="0.3">
      <c r="A904" s="1" t="s">
        <v>912</v>
      </c>
      <c r="B904" s="1" t="s">
        <v>14</v>
      </c>
      <c r="C904" s="1" t="s">
        <v>25</v>
      </c>
      <c r="D904" s="1" t="s">
        <v>16</v>
      </c>
      <c r="E904" s="35">
        <v>45465</v>
      </c>
      <c r="F904" s="1">
        <v>56480</v>
      </c>
      <c r="G904" s="1">
        <v>250018</v>
      </c>
      <c r="H904" s="3">
        <v>107</v>
      </c>
      <c r="I904" s="1">
        <v>13</v>
      </c>
      <c r="J904" s="2">
        <v>45478</v>
      </c>
      <c r="K904" s="8">
        <f>(F904/G904)*100</f>
        <v>22.590373493108494</v>
      </c>
      <c r="L904" s="8">
        <f>(H904/G904)*100</f>
        <v>4.2796918621859227E-2</v>
      </c>
    </row>
    <row r="905" spans="1:12" x14ac:dyDescent="0.3">
      <c r="A905" s="1" t="s">
        <v>913</v>
      </c>
      <c r="B905" s="1" t="s">
        <v>24</v>
      </c>
      <c r="C905" s="1" t="s">
        <v>11</v>
      </c>
      <c r="D905" s="1" t="s">
        <v>28</v>
      </c>
      <c r="E905" s="35">
        <v>45466</v>
      </c>
      <c r="F905" s="1">
        <v>33260</v>
      </c>
      <c r="G905" s="1">
        <v>986239</v>
      </c>
      <c r="H905" s="3">
        <v>2272</v>
      </c>
      <c r="I905" s="1">
        <v>10</v>
      </c>
      <c r="J905" s="2">
        <v>45476</v>
      </c>
      <c r="K905" s="8">
        <f>(F905/G905)*100</f>
        <v>3.3724077023926249</v>
      </c>
      <c r="L905" s="8">
        <f>(H905/G905)*100</f>
        <v>0.23037012326626707</v>
      </c>
    </row>
    <row r="906" spans="1:12" x14ac:dyDescent="0.3">
      <c r="A906" s="1" t="s">
        <v>914</v>
      </c>
      <c r="B906" s="1" t="s">
        <v>14</v>
      </c>
      <c r="C906" s="1" t="s">
        <v>18</v>
      </c>
      <c r="D906" s="1" t="s">
        <v>19</v>
      </c>
      <c r="E906" s="35">
        <v>45467</v>
      </c>
      <c r="F906" s="1">
        <v>79757</v>
      </c>
      <c r="G906" s="1">
        <v>195407</v>
      </c>
      <c r="H906" s="3">
        <v>1680</v>
      </c>
      <c r="I906" s="1">
        <v>22</v>
      </c>
      <c r="J906" s="2">
        <v>45489</v>
      </c>
      <c r="K906" s="8">
        <f>(F906/G906)*100</f>
        <v>40.81583566607133</v>
      </c>
      <c r="L906" s="8">
        <f>(H906/G906)*100</f>
        <v>0.85974402145266027</v>
      </c>
    </row>
    <row r="907" spans="1:12" x14ac:dyDescent="0.3">
      <c r="A907" s="1" t="s">
        <v>915</v>
      </c>
      <c r="B907" s="1" t="s">
        <v>14</v>
      </c>
      <c r="C907" s="1" t="s">
        <v>11</v>
      </c>
      <c r="D907" s="1" t="s">
        <v>19</v>
      </c>
      <c r="E907" s="35">
        <v>45468</v>
      </c>
      <c r="F907" s="1">
        <v>76418</v>
      </c>
      <c r="G907" s="1">
        <v>344209</v>
      </c>
      <c r="H907" s="3">
        <v>419</v>
      </c>
      <c r="I907" s="1">
        <v>18</v>
      </c>
      <c r="J907" s="2">
        <v>45486</v>
      </c>
      <c r="K907" s="8">
        <f>(F907/G907)*100</f>
        <v>22.201046457239642</v>
      </c>
      <c r="L907" s="8">
        <f>(H907/G907)*100</f>
        <v>0.12172836852028855</v>
      </c>
    </row>
    <row r="908" spans="1:12" x14ac:dyDescent="0.3">
      <c r="A908" s="1" t="s">
        <v>916</v>
      </c>
      <c r="B908" s="1" t="s">
        <v>22</v>
      </c>
      <c r="C908" s="1" t="s">
        <v>27</v>
      </c>
      <c r="D908" s="1" t="s">
        <v>19</v>
      </c>
      <c r="E908" s="35">
        <v>45469</v>
      </c>
      <c r="F908" s="1">
        <v>60596</v>
      </c>
      <c r="G908" s="1">
        <v>828327</v>
      </c>
      <c r="H908" s="3">
        <v>2325</v>
      </c>
      <c r="I908" s="1">
        <v>23</v>
      </c>
      <c r="J908" s="2">
        <v>45492</v>
      </c>
      <c r="K908" s="8">
        <f>(F908/G908)*100</f>
        <v>7.3154684080079484</v>
      </c>
      <c r="L908" s="8">
        <f>(H908/G908)*100</f>
        <v>0.28068625071982439</v>
      </c>
    </row>
    <row r="909" spans="1:12" x14ac:dyDescent="0.3">
      <c r="A909" s="1" t="s">
        <v>917</v>
      </c>
      <c r="B909" s="1" t="s">
        <v>22</v>
      </c>
      <c r="C909" s="1" t="s">
        <v>37</v>
      </c>
      <c r="D909" s="1" t="s">
        <v>16</v>
      </c>
      <c r="E909" s="35">
        <v>45470</v>
      </c>
      <c r="F909" s="1">
        <v>57079</v>
      </c>
      <c r="G909" s="1">
        <v>161545</v>
      </c>
      <c r="H909" s="3">
        <v>3949</v>
      </c>
      <c r="I909" s="1">
        <v>28</v>
      </c>
      <c r="J909" s="2">
        <v>45498</v>
      </c>
      <c r="K909" s="8">
        <f>(F909/G909)*100</f>
        <v>35.333188894735216</v>
      </c>
      <c r="L909" s="8">
        <f>(H909/G909)*100</f>
        <v>2.4445201027577452</v>
      </c>
    </row>
    <row r="910" spans="1:12" x14ac:dyDescent="0.3">
      <c r="A910" s="1" t="s">
        <v>918</v>
      </c>
      <c r="B910" s="1" t="s">
        <v>22</v>
      </c>
      <c r="C910" s="1" t="s">
        <v>30</v>
      </c>
      <c r="D910" s="1" t="s">
        <v>16</v>
      </c>
      <c r="E910" s="35">
        <v>45471</v>
      </c>
      <c r="F910" s="1">
        <v>40035</v>
      </c>
      <c r="G910" s="1">
        <v>820742</v>
      </c>
      <c r="H910" s="3">
        <v>4858</v>
      </c>
      <c r="I910" s="1">
        <v>22</v>
      </c>
      <c r="J910" s="2">
        <v>45493</v>
      </c>
      <c r="K910" s="8">
        <f>(F910/G910)*100</f>
        <v>4.8779031656720377</v>
      </c>
      <c r="L910" s="8">
        <f>(H910/G910)*100</f>
        <v>0.59190342397489104</v>
      </c>
    </row>
    <row r="911" spans="1:12" x14ac:dyDescent="0.3">
      <c r="A911" s="1" t="s">
        <v>919</v>
      </c>
      <c r="B911" s="1" t="s">
        <v>10</v>
      </c>
      <c r="C911" s="1" t="s">
        <v>25</v>
      </c>
      <c r="D911" s="1" t="s">
        <v>19</v>
      </c>
      <c r="E911" s="35">
        <v>45472</v>
      </c>
      <c r="F911" s="1">
        <v>84720</v>
      </c>
      <c r="G911" s="1">
        <v>962717</v>
      </c>
      <c r="H911" s="3">
        <v>3501</v>
      </c>
      <c r="I911" s="1">
        <v>19</v>
      </c>
      <c r="J911" s="2">
        <v>45491</v>
      </c>
      <c r="K911" s="8">
        <f>(F911/G911)*100</f>
        <v>8.8000939009075356</v>
      </c>
      <c r="L911" s="8">
        <f>(H911/G911)*100</f>
        <v>0.36365827132999629</v>
      </c>
    </row>
    <row r="912" spans="1:12" x14ac:dyDescent="0.3">
      <c r="A912" s="1" t="s">
        <v>920</v>
      </c>
      <c r="B912" s="1" t="s">
        <v>10</v>
      </c>
      <c r="C912" s="1" t="s">
        <v>37</v>
      </c>
      <c r="D912" s="1" t="s">
        <v>28</v>
      </c>
      <c r="E912" s="35">
        <v>45473</v>
      </c>
      <c r="F912" s="1">
        <v>3280</v>
      </c>
      <c r="G912" s="1">
        <v>664996</v>
      </c>
      <c r="H912" s="3">
        <v>1074</v>
      </c>
      <c r="I912" s="1">
        <v>12</v>
      </c>
      <c r="J912" s="2">
        <v>45485</v>
      </c>
      <c r="K912" s="8">
        <f>(F912/G912)*100</f>
        <v>0.4932360495401476</v>
      </c>
      <c r="L912" s="8">
        <f>(H912/G912)*100</f>
        <v>0.16150473085552394</v>
      </c>
    </row>
    <row r="913" spans="1:12" x14ac:dyDescent="0.3">
      <c r="A913" s="1" t="s">
        <v>921</v>
      </c>
      <c r="B913" s="1" t="s">
        <v>24</v>
      </c>
      <c r="C913" s="1" t="s">
        <v>27</v>
      </c>
      <c r="D913" s="1" t="s">
        <v>19</v>
      </c>
      <c r="E913" s="35">
        <v>45474</v>
      </c>
      <c r="F913" s="1">
        <v>52825</v>
      </c>
      <c r="G913" s="1">
        <v>987501</v>
      </c>
      <c r="H913" s="3">
        <v>4768</v>
      </c>
      <c r="I913" s="1">
        <v>6</v>
      </c>
      <c r="J913" s="2">
        <v>45480</v>
      </c>
      <c r="K913" s="8">
        <f>(F913/G913)*100</f>
        <v>5.3493616715324839</v>
      </c>
      <c r="L913" s="8">
        <f>(H913/G913)*100</f>
        <v>0.48283495409118571</v>
      </c>
    </row>
    <row r="914" spans="1:12" x14ac:dyDescent="0.3">
      <c r="A914" s="1" t="s">
        <v>922</v>
      </c>
      <c r="B914" s="1" t="s">
        <v>24</v>
      </c>
      <c r="C914" s="1" t="s">
        <v>18</v>
      </c>
      <c r="D914" s="1" t="s">
        <v>19</v>
      </c>
      <c r="E914" s="35">
        <v>45475</v>
      </c>
      <c r="F914" s="1">
        <v>98283</v>
      </c>
      <c r="G914" s="1">
        <v>84939</v>
      </c>
      <c r="H914" s="3">
        <v>4028</v>
      </c>
      <c r="I914" s="1">
        <v>8</v>
      </c>
      <c r="J914" s="2">
        <v>45483</v>
      </c>
      <c r="K914" s="8">
        <f>(F914/G914)*100</f>
        <v>115.71009783491681</v>
      </c>
      <c r="L914" s="8">
        <f>(H914/G914)*100</f>
        <v>4.7422267745087652</v>
      </c>
    </row>
    <row r="915" spans="1:12" x14ac:dyDescent="0.3">
      <c r="A915" s="1" t="s">
        <v>923</v>
      </c>
      <c r="B915" s="1" t="s">
        <v>24</v>
      </c>
      <c r="C915" s="1" t="s">
        <v>15</v>
      </c>
      <c r="D915" s="1" t="s">
        <v>32</v>
      </c>
      <c r="E915" s="35">
        <v>45476</v>
      </c>
      <c r="F915" s="1">
        <v>20933</v>
      </c>
      <c r="G915" s="1">
        <v>158981</v>
      </c>
      <c r="H915" s="3">
        <v>1506</v>
      </c>
      <c r="I915" s="1">
        <v>20</v>
      </c>
      <c r="J915" s="2">
        <v>45496</v>
      </c>
      <c r="K915" s="8">
        <f>(F915/G915)*100</f>
        <v>13.166982218000895</v>
      </c>
      <c r="L915" s="8">
        <f>(H915/G915)*100</f>
        <v>0.94728300866141235</v>
      </c>
    </row>
    <row r="916" spans="1:12" x14ac:dyDescent="0.3">
      <c r="A916" s="1" t="s">
        <v>924</v>
      </c>
      <c r="B916" s="1" t="s">
        <v>24</v>
      </c>
      <c r="C916" s="1" t="s">
        <v>11</v>
      </c>
      <c r="D916" s="1" t="s">
        <v>32</v>
      </c>
      <c r="E916" s="35">
        <v>45477</v>
      </c>
      <c r="F916" s="1">
        <v>80289</v>
      </c>
      <c r="G916" s="1">
        <v>273306</v>
      </c>
      <c r="H916" s="3">
        <v>1505</v>
      </c>
      <c r="I916" s="1">
        <v>10</v>
      </c>
      <c r="J916" s="2">
        <v>45487</v>
      </c>
      <c r="K916" s="8">
        <f>(F916/G916)*100</f>
        <v>29.376962086452547</v>
      </c>
      <c r="L916" s="8">
        <f>(H916/G916)*100</f>
        <v>0.55066482257981897</v>
      </c>
    </row>
    <row r="917" spans="1:12" x14ac:dyDescent="0.3">
      <c r="A917" s="1" t="s">
        <v>925</v>
      </c>
      <c r="B917" s="1" t="s">
        <v>22</v>
      </c>
      <c r="C917" s="1" t="s">
        <v>15</v>
      </c>
      <c r="D917" s="1" t="s">
        <v>12</v>
      </c>
      <c r="E917" s="35">
        <v>45478</v>
      </c>
      <c r="F917" s="1">
        <v>96220</v>
      </c>
      <c r="G917" s="1">
        <v>970982</v>
      </c>
      <c r="H917" s="3">
        <v>960</v>
      </c>
      <c r="I917" s="1">
        <v>23</v>
      </c>
      <c r="J917" s="2">
        <v>45501</v>
      </c>
      <c r="K917" s="8">
        <f>(F917/G917)*100</f>
        <v>9.9095554809460928</v>
      </c>
      <c r="L917" s="8">
        <f>(H917/G917)*100</f>
        <v>9.8868980063482131E-2</v>
      </c>
    </row>
    <row r="918" spans="1:12" x14ac:dyDescent="0.3">
      <c r="A918" s="1" t="s">
        <v>926</v>
      </c>
      <c r="B918" s="1" t="s">
        <v>22</v>
      </c>
      <c r="C918" s="1" t="s">
        <v>11</v>
      </c>
      <c r="D918" s="1" t="s">
        <v>32</v>
      </c>
      <c r="E918" s="35">
        <v>45479</v>
      </c>
      <c r="F918" s="1">
        <v>46514</v>
      </c>
      <c r="G918" s="1">
        <v>290732</v>
      </c>
      <c r="H918" s="3">
        <v>1043</v>
      </c>
      <c r="I918" s="1">
        <v>12</v>
      </c>
      <c r="J918" s="2">
        <v>45491</v>
      </c>
      <c r="K918" s="8">
        <f>(F918/G918)*100</f>
        <v>15.998926846717939</v>
      </c>
      <c r="L918" s="8">
        <f>(H918/G918)*100</f>
        <v>0.35874963884264544</v>
      </c>
    </row>
    <row r="919" spans="1:12" x14ac:dyDescent="0.3">
      <c r="A919" s="1" t="s">
        <v>927</v>
      </c>
      <c r="B919" s="1" t="s">
        <v>22</v>
      </c>
      <c r="C919" s="1" t="s">
        <v>25</v>
      </c>
      <c r="D919" s="1" t="s">
        <v>32</v>
      </c>
      <c r="E919" s="35">
        <v>45480</v>
      </c>
      <c r="F919" s="1">
        <v>54995</v>
      </c>
      <c r="G919" s="1">
        <v>841989</v>
      </c>
      <c r="H919" s="3">
        <v>1661</v>
      </c>
      <c r="I919" s="1">
        <v>9</v>
      </c>
      <c r="J919" s="2">
        <v>45489</v>
      </c>
      <c r="K919" s="8">
        <f>(F919/G919)*100</f>
        <v>6.5315580132282021</v>
      </c>
      <c r="L919" s="8">
        <f>(H919/G919)*100</f>
        <v>0.19727098572546675</v>
      </c>
    </row>
    <row r="920" spans="1:12" x14ac:dyDescent="0.3">
      <c r="A920" s="1" t="s">
        <v>928</v>
      </c>
      <c r="B920" s="1" t="s">
        <v>14</v>
      </c>
      <c r="C920" s="1" t="s">
        <v>18</v>
      </c>
      <c r="D920" s="1" t="s">
        <v>16</v>
      </c>
      <c r="E920" s="35">
        <v>45481</v>
      </c>
      <c r="F920" s="1">
        <v>22055</v>
      </c>
      <c r="G920" s="1">
        <v>624188</v>
      </c>
      <c r="H920" s="3">
        <v>3427</v>
      </c>
      <c r="I920" s="1">
        <v>19</v>
      </c>
      <c r="J920" s="2">
        <v>45500</v>
      </c>
      <c r="K920" s="8">
        <f>(F920/G920)*100</f>
        <v>3.5333905810428909</v>
      </c>
      <c r="L920" s="8">
        <f>(H920/G920)*100</f>
        <v>0.54903330406864592</v>
      </c>
    </row>
    <row r="921" spans="1:12" x14ac:dyDescent="0.3">
      <c r="A921" s="1" t="s">
        <v>929</v>
      </c>
      <c r="B921" s="1" t="s">
        <v>22</v>
      </c>
      <c r="C921" s="1" t="s">
        <v>11</v>
      </c>
      <c r="D921" s="1" t="s">
        <v>12</v>
      </c>
      <c r="E921" s="35">
        <v>45482</v>
      </c>
      <c r="F921" s="1">
        <v>89086</v>
      </c>
      <c r="G921" s="1">
        <v>618968</v>
      </c>
      <c r="H921" s="3">
        <v>4317</v>
      </c>
      <c r="I921" s="1">
        <v>18</v>
      </c>
      <c r="J921" s="2">
        <v>45500</v>
      </c>
      <c r="K921" s="8">
        <f>(F921/G921)*100</f>
        <v>14.392666502953302</v>
      </c>
      <c r="L921" s="8">
        <f>(H921/G921)*100</f>
        <v>0.6974512414212044</v>
      </c>
    </row>
    <row r="922" spans="1:12" x14ac:dyDescent="0.3">
      <c r="A922" s="1" t="s">
        <v>930</v>
      </c>
      <c r="B922" s="1" t="s">
        <v>10</v>
      </c>
      <c r="C922" s="1" t="s">
        <v>25</v>
      </c>
      <c r="D922" s="1" t="s">
        <v>12</v>
      </c>
      <c r="E922" s="35">
        <v>45483</v>
      </c>
      <c r="F922" s="1">
        <v>89710</v>
      </c>
      <c r="G922" s="1">
        <v>400715</v>
      </c>
      <c r="H922" s="3">
        <v>4234</v>
      </c>
      <c r="I922" s="1">
        <v>23</v>
      </c>
      <c r="J922" s="2">
        <v>45506</v>
      </c>
      <c r="K922" s="8">
        <f>(F922/G922)*100</f>
        <v>22.387482375254233</v>
      </c>
      <c r="L922" s="8">
        <f>(H922/G922)*100</f>
        <v>1.0566113072882224</v>
      </c>
    </row>
    <row r="923" spans="1:12" x14ac:dyDescent="0.3">
      <c r="A923" s="1" t="s">
        <v>931</v>
      </c>
      <c r="B923" s="1" t="s">
        <v>14</v>
      </c>
      <c r="C923" s="1" t="s">
        <v>15</v>
      </c>
      <c r="D923" s="1" t="s">
        <v>16</v>
      </c>
      <c r="E923" s="35">
        <v>45484</v>
      </c>
      <c r="F923" s="1">
        <v>65907</v>
      </c>
      <c r="G923" s="1">
        <v>491545</v>
      </c>
      <c r="H923" s="3">
        <v>4143</v>
      </c>
      <c r="I923" s="1">
        <v>9</v>
      </c>
      <c r="J923" s="2">
        <v>45493</v>
      </c>
      <c r="K923" s="8">
        <f>(F923/G923)*100</f>
        <v>13.408131503728042</v>
      </c>
      <c r="L923" s="8">
        <f>(H923/G923)*100</f>
        <v>0.84285263811044764</v>
      </c>
    </row>
    <row r="924" spans="1:12" x14ac:dyDescent="0.3">
      <c r="A924" s="1" t="s">
        <v>932</v>
      </c>
      <c r="B924" s="1" t="s">
        <v>14</v>
      </c>
      <c r="C924" s="1" t="s">
        <v>18</v>
      </c>
      <c r="D924" s="1" t="s">
        <v>32</v>
      </c>
      <c r="E924" s="35">
        <v>45485</v>
      </c>
      <c r="F924" s="1">
        <v>14524</v>
      </c>
      <c r="G924" s="1">
        <v>340308</v>
      </c>
      <c r="H924" s="3">
        <v>3091</v>
      </c>
      <c r="I924" s="1">
        <v>13</v>
      </c>
      <c r="J924" s="2">
        <v>45498</v>
      </c>
      <c r="K924" s="8">
        <f>(F924/G924)*100</f>
        <v>4.2678984919543472</v>
      </c>
      <c r="L924" s="8">
        <f>(H924/G924)*100</f>
        <v>0.90829483879309325</v>
      </c>
    </row>
    <row r="925" spans="1:12" x14ac:dyDescent="0.3">
      <c r="A925" s="1" t="s">
        <v>933</v>
      </c>
      <c r="B925" s="1" t="s">
        <v>22</v>
      </c>
      <c r="C925" s="1" t="s">
        <v>27</v>
      </c>
      <c r="D925" s="1" t="s">
        <v>19</v>
      </c>
      <c r="E925" s="35">
        <v>45486</v>
      </c>
      <c r="F925" s="1">
        <v>11541</v>
      </c>
      <c r="G925" s="1">
        <v>700230</v>
      </c>
      <c r="H925" s="3">
        <v>1320</v>
      </c>
      <c r="I925" s="1">
        <v>18</v>
      </c>
      <c r="J925" s="2">
        <v>45504</v>
      </c>
      <c r="K925" s="8">
        <f>(F925/G925)*100</f>
        <v>1.6481727432415063</v>
      </c>
      <c r="L925" s="8">
        <f>(H925/G925)*100</f>
        <v>0.18850948973908574</v>
      </c>
    </row>
    <row r="926" spans="1:12" x14ac:dyDescent="0.3">
      <c r="A926" s="1" t="s">
        <v>934</v>
      </c>
      <c r="B926" s="1" t="s">
        <v>22</v>
      </c>
      <c r="C926" s="1" t="s">
        <v>30</v>
      </c>
      <c r="D926" s="1" t="s">
        <v>16</v>
      </c>
      <c r="E926" s="35">
        <v>45487</v>
      </c>
      <c r="F926" s="1">
        <v>17455</v>
      </c>
      <c r="G926" s="1">
        <v>476598</v>
      </c>
      <c r="H926" s="3">
        <v>1257</v>
      </c>
      <c r="I926" s="1">
        <v>15</v>
      </c>
      <c r="J926" s="2">
        <v>45502</v>
      </c>
      <c r="K926" s="8">
        <f>(F926/G926)*100</f>
        <v>3.6624157046399692</v>
      </c>
      <c r="L926" s="8">
        <f>(H926/G926)*100</f>
        <v>0.26374428763863889</v>
      </c>
    </row>
    <row r="927" spans="1:12" x14ac:dyDescent="0.3">
      <c r="A927" s="1" t="s">
        <v>935</v>
      </c>
      <c r="B927" s="1" t="s">
        <v>22</v>
      </c>
      <c r="C927" s="1" t="s">
        <v>27</v>
      </c>
      <c r="D927" s="1" t="s">
        <v>28</v>
      </c>
      <c r="E927" s="35">
        <v>45488</v>
      </c>
      <c r="F927" s="1">
        <v>28089</v>
      </c>
      <c r="G927" s="1">
        <v>678970</v>
      </c>
      <c r="H927" s="3">
        <v>932</v>
      </c>
      <c r="I927" s="1">
        <v>27</v>
      </c>
      <c r="J927" s="2">
        <v>45515</v>
      </c>
      <c r="K927" s="8">
        <f>(F927/G927)*100</f>
        <v>4.1370016348292262</v>
      </c>
      <c r="L927" s="8">
        <f>(H927/G927)*100</f>
        <v>0.13726674227138166</v>
      </c>
    </row>
    <row r="928" spans="1:12" x14ac:dyDescent="0.3">
      <c r="A928" s="1" t="s">
        <v>936</v>
      </c>
      <c r="B928" s="1" t="s">
        <v>10</v>
      </c>
      <c r="C928" s="1" t="s">
        <v>11</v>
      </c>
      <c r="D928" s="1" t="s">
        <v>32</v>
      </c>
      <c r="E928" s="35">
        <v>45489</v>
      </c>
      <c r="F928" s="1">
        <v>43803</v>
      </c>
      <c r="G928" s="1">
        <v>651320</v>
      </c>
      <c r="H928" s="3">
        <v>611</v>
      </c>
      <c r="I928" s="1">
        <v>17</v>
      </c>
      <c r="J928" s="2">
        <v>45506</v>
      </c>
      <c r="K928" s="8">
        <f>(F928/G928)*100</f>
        <v>6.7252656144445133</v>
      </c>
      <c r="L928" s="8">
        <f>(H928/G928)*100</f>
        <v>9.3809494564883619E-2</v>
      </c>
    </row>
    <row r="929" spans="1:12" x14ac:dyDescent="0.3">
      <c r="A929" s="1" t="s">
        <v>937</v>
      </c>
      <c r="B929" s="1" t="s">
        <v>14</v>
      </c>
      <c r="C929" s="1" t="s">
        <v>15</v>
      </c>
      <c r="D929" s="1" t="s">
        <v>12</v>
      </c>
      <c r="E929" s="35">
        <v>45490</v>
      </c>
      <c r="F929" s="1">
        <v>33358</v>
      </c>
      <c r="G929" s="1">
        <v>596036</v>
      </c>
      <c r="H929" s="3">
        <v>3594</v>
      </c>
      <c r="I929" s="1">
        <v>12</v>
      </c>
      <c r="J929" s="2">
        <v>45502</v>
      </c>
      <c r="K929" s="8">
        <f>(F929/G929)*100</f>
        <v>5.59664181358173</v>
      </c>
      <c r="L929" s="8">
        <f>(H929/G929)*100</f>
        <v>0.60298371239321114</v>
      </c>
    </row>
    <row r="930" spans="1:12" x14ac:dyDescent="0.3">
      <c r="A930" s="1" t="s">
        <v>938</v>
      </c>
      <c r="B930" s="1" t="s">
        <v>10</v>
      </c>
      <c r="C930" s="1" t="s">
        <v>15</v>
      </c>
      <c r="D930" s="1" t="s">
        <v>12</v>
      </c>
      <c r="E930" s="35">
        <v>45491</v>
      </c>
      <c r="F930" s="1">
        <v>52595</v>
      </c>
      <c r="G930" s="1">
        <v>315279</v>
      </c>
      <c r="H930" s="3">
        <v>4036</v>
      </c>
      <c r="I930" s="1">
        <v>9</v>
      </c>
      <c r="J930" s="2">
        <v>45500</v>
      </c>
      <c r="K930" s="8">
        <f>(F930/G930)*100</f>
        <v>16.682049866943245</v>
      </c>
      <c r="L930" s="8">
        <f>(H930/G930)*100</f>
        <v>1.2801360065212082</v>
      </c>
    </row>
    <row r="931" spans="1:12" x14ac:dyDescent="0.3">
      <c r="A931" s="1" t="s">
        <v>939</v>
      </c>
      <c r="B931" s="1" t="s">
        <v>22</v>
      </c>
      <c r="C931" s="1" t="s">
        <v>37</v>
      </c>
      <c r="D931" s="1" t="s">
        <v>28</v>
      </c>
      <c r="E931" s="35">
        <v>45492</v>
      </c>
      <c r="F931" s="1">
        <v>28007</v>
      </c>
      <c r="G931" s="1">
        <v>765052</v>
      </c>
      <c r="H931" s="3">
        <v>2168</v>
      </c>
      <c r="I931" s="1">
        <v>14</v>
      </c>
      <c r="J931" s="2">
        <v>45506</v>
      </c>
      <c r="K931" s="8">
        <f>(F931/G931)*100</f>
        <v>3.6607969131510014</v>
      </c>
      <c r="L931" s="8">
        <f>(H931/G931)*100</f>
        <v>0.28337943041780167</v>
      </c>
    </row>
    <row r="932" spans="1:12" x14ac:dyDescent="0.3">
      <c r="A932" s="1" t="s">
        <v>940</v>
      </c>
      <c r="B932" s="1" t="s">
        <v>22</v>
      </c>
      <c r="C932" s="1" t="s">
        <v>37</v>
      </c>
      <c r="D932" s="1" t="s">
        <v>32</v>
      </c>
      <c r="E932" s="35">
        <v>45493</v>
      </c>
      <c r="F932" s="1">
        <v>69451</v>
      </c>
      <c r="G932" s="1">
        <v>957623</v>
      </c>
      <c r="H932" s="3">
        <v>4765</v>
      </c>
      <c r="I932" s="1">
        <v>6</v>
      </c>
      <c r="J932" s="2">
        <v>45499</v>
      </c>
      <c r="K932" s="8">
        <f>(F932/G932)*100</f>
        <v>7.2524365016295551</v>
      </c>
      <c r="L932" s="8">
        <f>(H932/G932)*100</f>
        <v>0.49758621085750865</v>
      </c>
    </row>
    <row r="933" spans="1:12" x14ac:dyDescent="0.3">
      <c r="A933" s="1" t="s">
        <v>941</v>
      </c>
      <c r="B933" s="1" t="s">
        <v>14</v>
      </c>
      <c r="C933" s="1" t="s">
        <v>11</v>
      </c>
      <c r="D933" s="1" t="s">
        <v>32</v>
      </c>
      <c r="E933" s="35">
        <v>45494</v>
      </c>
      <c r="F933" s="1">
        <v>65175</v>
      </c>
      <c r="G933" s="1">
        <v>720471</v>
      </c>
      <c r="H933" s="3">
        <v>563</v>
      </c>
      <c r="I933" s="1">
        <v>5</v>
      </c>
      <c r="J933" s="2">
        <v>45499</v>
      </c>
      <c r="K933" s="8">
        <f>(F933/G933)*100</f>
        <v>9.0461656333148728</v>
      </c>
      <c r="L933" s="8">
        <f>(H933/G933)*100</f>
        <v>7.8143325685558471E-2</v>
      </c>
    </row>
    <row r="934" spans="1:12" x14ac:dyDescent="0.3">
      <c r="A934" s="1" t="s">
        <v>942</v>
      </c>
      <c r="B934" s="1" t="s">
        <v>10</v>
      </c>
      <c r="C934" s="1" t="s">
        <v>18</v>
      </c>
      <c r="D934" s="1" t="s">
        <v>32</v>
      </c>
      <c r="E934" s="35">
        <v>45495</v>
      </c>
      <c r="F934" s="1">
        <v>7802</v>
      </c>
      <c r="G934" s="1">
        <v>204265</v>
      </c>
      <c r="H934" s="3">
        <v>4682</v>
      </c>
      <c r="I934" s="1">
        <v>18</v>
      </c>
      <c r="J934" s="2">
        <v>45513</v>
      </c>
      <c r="K934" s="8">
        <f>(F934/G934)*100</f>
        <v>3.819548135999804</v>
      </c>
      <c r="L934" s="8">
        <f>(H934/G934)*100</f>
        <v>2.2921205297040608</v>
      </c>
    </row>
    <row r="935" spans="1:12" x14ac:dyDescent="0.3">
      <c r="A935" s="1" t="s">
        <v>943</v>
      </c>
      <c r="B935" s="1" t="s">
        <v>10</v>
      </c>
      <c r="C935" s="1" t="s">
        <v>11</v>
      </c>
      <c r="D935" s="1" t="s">
        <v>16</v>
      </c>
      <c r="E935" s="35">
        <v>45496</v>
      </c>
      <c r="F935" s="1">
        <v>44694</v>
      </c>
      <c r="G935" s="1">
        <v>138520</v>
      </c>
      <c r="H935" s="3">
        <v>2280</v>
      </c>
      <c r="I935" s="1">
        <v>27</v>
      </c>
      <c r="J935" s="2">
        <v>45523</v>
      </c>
      <c r="K935" s="8">
        <f>(F935/G935)*100</f>
        <v>32.265376840889402</v>
      </c>
      <c r="L935" s="8">
        <f>(H935/G935)*100</f>
        <v>1.6459717008374242</v>
      </c>
    </row>
    <row r="936" spans="1:12" x14ac:dyDescent="0.3">
      <c r="A936" s="1" t="s">
        <v>944</v>
      </c>
      <c r="B936" s="1" t="s">
        <v>22</v>
      </c>
      <c r="C936" s="1" t="s">
        <v>18</v>
      </c>
      <c r="D936" s="1" t="s">
        <v>16</v>
      </c>
      <c r="E936" s="35">
        <v>45497</v>
      </c>
      <c r="F936" s="1">
        <v>98614</v>
      </c>
      <c r="G936" s="1">
        <v>407526</v>
      </c>
      <c r="H936" s="3">
        <v>2824</v>
      </c>
      <c r="I936" s="1">
        <v>28</v>
      </c>
      <c r="J936" s="2">
        <v>45525</v>
      </c>
      <c r="K936" s="8">
        <f>(F936/G936)*100</f>
        <v>24.198210666313315</v>
      </c>
      <c r="L936" s="8">
        <f>(H936/G936)*100</f>
        <v>0.69296192144795665</v>
      </c>
    </row>
    <row r="937" spans="1:12" x14ac:dyDescent="0.3">
      <c r="A937" s="1" t="s">
        <v>945</v>
      </c>
      <c r="B937" s="1" t="s">
        <v>24</v>
      </c>
      <c r="C937" s="1" t="s">
        <v>27</v>
      </c>
      <c r="D937" s="1" t="s">
        <v>12</v>
      </c>
      <c r="E937" s="35">
        <v>45498</v>
      </c>
      <c r="F937" s="1">
        <v>79217</v>
      </c>
      <c r="G937" s="1">
        <v>575037</v>
      </c>
      <c r="H937" s="3">
        <v>3426</v>
      </c>
      <c r="I937" s="1">
        <v>7</v>
      </c>
      <c r="J937" s="2">
        <v>45505</v>
      </c>
      <c r="K937" s="8">
        <f>(F937/G937)*100</f>
        <v>13.77598311065201</v>
      </c>
      <c r="L937" s="8">
        <f>(H937/G937)*100</f>
        <v>0.59578774931004441</v>
      </c>
    </row>
    <row r="938" spans="1:12" x14ac:dyDescent="0.3">
      <c r="A938" s="1" t="s">
        <v>946</v>
      </c>
      <c r="B938" s="1" t="s">
        <v>22</v>
      </c>
      <c r="C938" s="1" t="s">
        <v>18</v>
      </c>
      <c r="D938" s="1" t="s">
        <v>28</v>
      </c>
      <c r="E938" s="35">
        <v>45499</v>
      </c>
      <c r="F938" s="1">
        <v>94469</v>
      </c>
      <c r="G938" s="1">
        <v>877568</v>
      </c>
      <c r="H938" s="3">
        <v>4964</v>
      </c>
      <c r="I938" s="1">
        <v>17</v>
      </c>
      <c r="J938" s="2">
        <v>45516</v>
      </c>
      <c r="K938" s="8">
        <f>(F938/G938)*100</f>
        <v>10.764863805425904</v>
      </c>
      <c r="L938" s="8">
        <f>(H938/G938)*100</f>
        <v>0.5656541715285881</v>
      </c>
    </row>
    <row r="939" spans="1:12" x14ac:dyDescent="0.3">
      <c r="A939" s="1" t="s">
        <v>947</v>
      </c>
      <c r="B939" s="1" t="s">
        <v>10</v>
      </c>
      <c r="C939" s="1" t="s">
        <v>25</v>
      </c>
      <c r="D939" s="1" t="s">
        <v>12</v>
      </c>
      <c r="E939" s="35">
        <v>45500</v>
      </c>
      <c r="F939" s="1">
        <v>29279</v>
      </c>
      <c r="G939" s="1">
        <v>457091</v>
      </c>
      <c r="H939" s="3">
        <v>531</v>
      </c>
      <c r="I939" s="1">
        <v>12</v>
      </c>
      <c r="J939" s="2">
        <v>45512</v>
      </c>
      <c r="K939" s="8">
        <f>(F939/G939)*100</f>
        <v>6.4055078747995475</v>
      </c>
      <c r="L939" s="8">
        <f>(H939/G939)*100</f>
        <v>0.11616942796948528</v>
      </c>
    </row>
    <row r="940" spans="1:12" x14ac:dyDescent="0.3">
      <c r="A940" s="1" t="s">
        <v>948</v>
      </c>
      <c r="B940" s="1" t="s">
        <v>22</v>
      </c>
      <c r="C940" s="1" t="s">
        <v>18</v>
      </c>
      <c r="D940" s="1" t="s">
        <v>12</v>
      </c>
      <c r="E940" s="35">
        <v>45501</v>
      </c>
      <c r="F940" s="1">
        <v>53699</v>
      </c>
      <c r="G940" s="1">
        <v>750206</v>
      </c>
      <c r="H940" s="3">
        <v>2471</v>
      </c>
      <c r="I940" s="1">
        <v>24</v>
      </c>
      <c r="J940" s="2">
        <v>45525</v>
      </c>
      <c r="K940" s="8">
        <f>(F940/G940)*100</f>
        <v>7.1579006299603041</v>
      </c>
      <c r="L940" s="8">
        <f>(H940/G940)*100</f>
        <v>0.32937619800428147</v>
      </c>
    </row>
    <row r="941" spans="1:12" x14ac:dyDescent="0.3">
      <c r="A941" s="1" t="s">
        <v>949</v>
      </c>
      <c r="B941" s="1" t="s">
        <v>22</v>
      </c>
      <c r="C941" s="1" t="s">
        <v>27</v>
      </c>
      <c r="D941" s="1" t="s">
        <v>32</v>
      </c>
      <c r="E941" s="35">
        <v>45502</v>
      </c>
      <c r="F941" s="1">
        <v>34661</v>
      </c>
      <c r="G941" s="1">
        <v>358324</v>
      </c>
      <c r="H941" s="3">
        <v>2572</v>
      </c>
      <c r="I941" s="1">
        <v>8</v>
      </c>
      <c r="J941" s="2">
        <v>45510</v>
      </c>
      <c r="K941" s="8">
        <f>(F941/G941)*100</f>
        <v>9.6730891595315978</v>
      </c>
      <c r="L941" s="8">
        <f>(H941/G941)*100</f>
        <v>0.71778613768544663</v>
      </c>
    </row>
    <row r="942" spans="1:12" x14ac:dyDescent="0.3">
      <c r="A942" s="1" t="s">
        <v>950</v>
      </c>
      <c r="B942" s="1" t="s">
        <v>10</v>
      </c>
      <c r="C942" s="1" t="s">
        <v>25</v>
      </c>
      <c r="D942" s="1" t="s">
        <v>12</v>
      </c>
      <c r="E942" s="35">
        <v>45503</v>
      </c>
      <c r="F942" s="1">
        <v>66065</v>
      </c>
      <c r="G942" s="1">
        <v>645941</v>
      </c>
      <c r="H942" s="3">
        <v>4909</v>
      </c>
      <c r="I942" s="1">
        <f>Table1[[#This Row],[end_date]]-Table1[[#This Row],[start_date]]</f>
        <v>4</v>
      </c>
      <c r="J942" s="2">
        <v>45507</v>
      </c>
      <c r="K942" s="8">
        <f>(F942/G942)*100</f>
        <v>10.227714295887704</v>
      </c>
      <c r="L942" s="8">
        <f>(H942/G942)*100</f>
        <v>0.7599765303642283</v>
      </c>
    </row>
    <row r="943" spans="1:12" x14ac:dyDescent="0.3">
      <c r="A943" s="1" t="s">
        <v>951</v>
      </c>
      <c r="B943" s="1" t="s">
        <v>22</v>
      </c>
      <c r="C943" s="1" t="s">
        <v>18</v>
      </c>
      <c r="D943" s="1" t="s">
        <v>19</v>
      </c>
      <c r="E943" s="35">
        <v>45504</v>
      </c>
      <c r="F943" s="1">
        <v>22182</v>
      </c>
      <c r="G943" s="1">
        <v>159598</v>
      </c>
      <c r="H943" s="3">
        <v>918</v>
      </c>
      <c r="I943" s="1">
        <f>Table1[[#This Row],[end_date]]-Table1[[#This Row],[start_date]]</f>
        <v>21</v>
      </c>
      <c r="J943" s="2">
        <v>45525</v>
      </c>
      <c r="K943" s="8">
        <f>(F943/G943)*100</f>
        <v>13.898670409403627</v>
      </c>
      <c r="L943" s="8">
        <f>(H943/G943)*100</f>
        <v>0.57519517788443464</v>
      </c>
    </row>
    <row r="944" spans="1:12" x14ac:dyDescent="0.3">
      <c r="A944" s="1" t="s">
        <v>952</v>
      </c>
      <c r="B944" s="1" t="s">
        <v>14</v>
      </c>
      <c r="C944" s="1" t="s">
        <v>27</v>
      </c>
      <c r="D944" s="1" t="s">
        <v>16</v>
      </c>
      <c r="E944" s="35">
        <v>45505</v>
      </c>
      <c r="F944" s="1">
        <v>4509</v>
      </c>
      <c r="G944" s="1">
        <v>569499</v>
      </c>
      <c r="H944" s="3">
        <v>3548</v>
      </c>
      <c r="I944" s="1">
        <f>Table1[[#This Row],[end_date]]-Table1[[#This Row],[start_date]]</f>
        <v>4</v>
      </c>
      <c r="J944" s="2">
        <v>45509</v>
      </c>
      <c r="K944" s="8">
        <f>(F944/G944)*100</f>
        <v>0.79174853687188218</v>
      </c>
      <c r="L944" s="8">
        <f>(H944/G944)*100</f>
        <v>0.62300372783797686</v>
      </c>
    </row>
    <row r="945" spans="1:12" x14ac:dyDescent="0.3">
      <c r="A945" s="1" t="s">
        <v>953</v>
      </c>
      <c r="B945" s="1" t="s">
        <v>14</v>
      </c>
      <c r="C945" s="1" t="s">
        <v>25</v>
      </c>
      <c r="D945" s="1" t="s">
        <v>12</v>
      </c>
      <c r="E945" s="35">
        <v>45506</v>
      </c>
      <c r="F945" s="1">
        <v>98389</v>
      </c>
      <c r="G945" s="1">
        <v>700237</v>
      </c>
      <c r="H945" s="3">
        <v>2760</v>
      </c>
      <c r="I945" s="1">
        <f>Table1[[#This Row],[end_date]]-Table1[[#This Row],[start_date]]</f>
        <v>1</v>
      </c>
      <c r="J945" s="2">
        <v>45507</v>
      </c>
      <c r="K945" s="8">
        <f>(F945/G945)*100</f>
        <v>14.050814224326908</v>
      </c>
      <c r="L945" s="8">
        <f>(H945/G945)*100</f>
        <v>0.39415226559007877</v>
      </c>
    </row>
    <row r="946" spans="1:12" x14ac:dyDescent="0.3">
      <c r="A946" s="1" t="s">
        <v>954</v>
      </c>
      <c r="B946" s="1" t="s">
        <v>22</v>
      </c>
      <c r="C946" s="1" t="s">
        <v>27</v>
      </c>
      <c r="D946" s="1" t="s">
        <v>16</v>
      </c>
      <c r="E946" s="35">
        <v>45507</v>
      </c>
      <c r="F946" s="1">
        <v>28012</v>
      </c>
      <c r="G946" s="1">
        <v>669065</v>
      </c>
      <c r="H946" s="3">
        <v>531</v>
      </c>
      <c r="I946" s="1">
        <v>3</v>
      </c>
      <c r="J946" s="2">
        <v>45510</v>
      </c>
      <c r="K946" s="8">
        <f>(F946/G946)*100</f>
        <v>4.1867382092920717</v>
      </c>
      <c r="L946" s="8">
        <f>(H946/G946)*100</f>
        <v>7.9364486260677214E-2</v>
      </c>
    </row>
    <row r="947" spans="1:12" x14ac:dyDescent="0.3">
      <c r="A947" s="1" t="s">
        <v>955</v>
      </c>
      <c r="B947" s="1" t="s">
        <v>10</v>
      </c>
      <c r="C947" s="1" t="s">
        <v>25</v>
      </c>
      <c r="D947" s="1" t="s">
        <v>19</v>
      </c>
      <c r="E947" s="35">
        <v>45508</v>
      </c>
      <c r="F947" s="1">
        <v>35883</v>
      </c>
      <c r="G947" s="1">
        <v>500784</v>
      </c>
      <c r="H947" s="3">
        <v>2953</v>
      </c>
      <c r="I947" s="1">
        <v>26</v>
      </c>
      <c r="J947" s="2">
        <v>45534</v>
      </c>
      <c r="K947" s="8">
        <f>(F947/G947)*100</f>
        <v>7.1653647081376404</v>
      </c>
      <c r="L947" s="8">
        <f>(H947/G947)*100</f>
        <v>0.58967538899006355</v>
      </c>
    </row>
    <row r="948" spans="1:12" x14ac:dyDescent="0.3">
      <c r="A948" s="1" t="s">
        <v>956</v>
      </c>
      <c r="B948" s="1" t="s">
        <v>10</v>
      </c>
      <c r="C948" s="1" t="s">
        <v>27</v>
      </c>
      <c r="D948" s="1" t="s">
        <v>28</v>
      </c>
      <c r="E948" s="35">
        <v>45509</v>
      </c>
      <c r="F948" s="1">
        <v>26912</v>
      </c>
      <c r="G948" s="1">
        <v>586022</v>
      </c>
      <c r="H948" s="3">
        <v>2109</v>
      </c>
      <c r="I948" s="1">
        <v>17</v>
      </c>
      <c r="J948" s="2">
        <v>45526</v>
      </c>
      <c r="K948" s="8">
        <f>(F948/G948)*100</f>
        <v>4.5923190596940051</v>
      </c>
      <c r="L948" s="8">
        <f>(H948/G948)*100</f>
        <v>0.35988409991433767</v>
      </c>
    </row>
    <row r="949" spans="1:12" x14ac:dyDescent="0.3">
      <c r="A949" s="1" t="s">
        <v>957</v>
      </c>
      <c r="B949" s="1" t="s">
        <v>10</v>
      </c>
      <c r="C949" s="1" t="s">
        <v>27</v>
      </c>
      <c r="D949" s="1" t="s">
        <v>12</v>
      </c>
      <c r="E949" s="35">
        <v>45510</v>
      </c>
      <c r="F949" s="1">
        <v>73289</v>
      </c>
      <c r="G949" s="1">
        <v>521001</v>
      </c>
      <c r="H949" s="3">
        <v>3016</v>
      </c>
      <c r="I949" s="1">
        <v>25</v>
      </c>
      <c r="J949" s="2">
        <v>45535</v>
      </c>
      <c r="K949" s="8">
        <f>(F949/G949)*100</f>
        <v>14.066959564377035</v>
      </c>
      <c r="L949" s="8">
        <f>(H949/G949)*100</f>
        <v>0.57888564513311869</v>
      </c>
    </row>
    <row r="950" spans="1:12" x14ac:dyDescent="0.3">
      <c r="A950" s="1" t="s">
        <v>958</v>
      </c>
      <c r="B950" s="1" t="s">
        <v>22</v>
      </c>
      <c r="C950" s="1" t="s">
        <v>18</v>
      </c>
      <c r="D950" s="1" t="s">
        <v>12</v>
      </c>
      <c r="E950" s="35">
        <v>45511</v>
      </c>
      <c r="F950" s="1">
        <v>22590</v>
      </c>
      <c r="G950" s="1">
        <v>279885</v>
      </c>
      <c r="H950" s="3">
        <v>977</v>
      </c>
      <c r="I950" s="1">
        <v>4</v>
      </c>
      <c r="J950" s="2">
        <v>45515</v>
      </c>
      <c r="K950" s="8">
        <f>(F950/G950)*100</f>
        <v>8.0711720885363629</v>
      </c>
      <c r="L950" s="8">
        <f>(H950/G950)*100</f>
        <v>0.34907194026117871</v>
      </c>
    </row>
    <row r="951" spans="1:12" x14ac:dyDescent="0.3">
      <c r="A951" s="1" t="s">
        <v>959</v>
      </c>
      <c r="B951" s="1" t="s">
        <v>14</v>
      </c>
      <c r="C951" s="1" t="s">
        <v>15</v>
      </c>
      <c r="D951" s="1" t="s">
        <v>16</v>
      </c>
      <c r="E951" s="35">
        <v>45512</v>
      </c>
      <c r="F951" s="1">
        <v>1208</v>
      </c>
      <c r="G951" s="1">
        <v>350758</v>
      </c>
      <c r="H951" s="3">
        <v>4830</v>
      </c>
      <c r="I951" s="1">
        <v>10</v>
      </c>
      <c r="J951" s="2">
        <v>45522</v>
      </c>
      <c r="K951" s="8">
        <f>(F951/G951)*100</f>
        <v>0.34439699165806625</v>
      </c>
      <c r="L951" s="8">
        <f>(H951/G951)*100</f>
        <v>1.3770177729374669</v>
      </c>
    </row>
    <row r="952" spans="1:12" x14ac:dyDescent="0.3">
      <c r="A952" s="1" t="s">
        <v>960</v>
      </c>
      <c r="B952" s="1" t="s">
        <v>22</v>
      </c>
      <c r="C952" s="1" t="s">
        <v>27</v>
      </c>
      <c r="D952" s="1" t="s">
        <v>28</v>
      </c>
      <c r="E952" s="35">
        <v>45513</v>
      </c>
      <c r="F952" s="1">
        <v>97434</v>
      </c>
      <c r="G952" s="1">
        <v>983959</v>
      </c>
      <c r="H952" s="3">
        <v>4849</v>
      </c>
      <c r="I952" s="1">
        <v>5</v>
      </c>
      <c r="J952" s="2">
        <v>45518</v>
      </c>
      <c r="K952" s="8">
        <f>(F952/G952)*100</f>
        <v>9.9022418617035868</v>
      </c>
      <c r="L952" s="8">
        <f>(H952/G952)*100</f>
        <v>0.49280508639079473</v>
      </c>
    </row>
    <row r="953" spans="1:12" x14ac:dyDescent="0.3">
      <c r="A953" s="1" t="s">
        <v>961</v>
      </c>
      <c r="B953" s="1" t="s">
        <v>22</v>
      </c>
      <c r="C953" s="1" t="s">
        <v>30</v>
      </c>
      <c r="D953" s="1" t="s">
        <v>32</v>
      </c>
      <c r="E953" s="35">
        <v>45514</v>
      </c>
      <c r="F953" s="1">
        <v>48694</v>
      </c>
      <c r="G953" s="1">
        <v>559500</v>
      </c>
      <c r="H953" s="3">
        <v>4649</v>
      </c>
      <c r="I953" s="1">
        <v>16</v>
      </c>
      <c r="J953" s="2">
        <v>45530</v>
      </c>
      <c r="K953" s="8">
        <f>(F953/G953)*100</f>
        <v>8.7031277926720296</v>
      </c>
      <c r="L953" s="8">
        <f>(H953/G953)*100</f>
        <v>0.83092046470062542</v>
      </c>
    </row>
    <row r="954" spans="1:12" x14ac:dyDescent="0.3">
      <c r="A954" s="1" t="s">
        <v>962</v>
      </c>
      <c r="B954" s="1" t="s">
        <v>22</v>
      </c>
      <c r="C954" s="1" t="s">
        <v>11</v>
      </c>
      <c r="D954" s="1" t="s">
        <v>16</v>
      </c>
      <c r="E954" s="35">
        <v>45515</v>
      </c>
      <c r="F954" s="1">
        <v>38989</v>
      </c>
      <c r="G954" s="1">
        <v>153817</v>
      </c>
      <c r="H954" s="3">
        <v>377</v>
      </c>
      <c r="I954" s="1">
        <v>26</v>
      </c>
      <c r="J954" s="2">
        <v>45541</v>
      </c>
      <c r="K954" s="8">
        <f>(F954/G954)*100</f>
        <v>25.34765338031557</v>
      </c>
      <c r="L954" s="8">
        <f>(H954/G954)*100</f>
        <v>0.24509644577647466</v>
      </c>
    </row>
    <row r="955" spans="1:12" x14ac:dyDescent="0.3">
      <c r="A955" s="1" t="s">
        <v>963</v>
      </c>
      <c r="B955" s="1" t="s">
        <v>24</v>
      </c>
      <c r="C955" s="1" t="s">
        <v>25</v>
      </c>
      <c r="D955" s="1" t="s">
        <v>28</v>
      </c>
      <c r="E955" s="35">
        <v>45516</v>
      </c>
      <c r="F955" s="1">
        <v>58971</v>
      </c>
      <c r="G955" s="1">
        <v>268554</v>
      </c>
      <c r="H955" s="3">
        <v>4875</v>
      </c>
      <c r="I955" s="1">
        <v>4</v>
      </c>
      <c r="J955" s="2">
        <v>45520</v>
      </c>
      <c r="K955" s="8">
        <f>(F955/G955)*100</f>
        <v>21.958712214303269</v>
      </c>
      <c r="L955" s="8">
        <f>(H955/G955)*100</f>
        <v>1.8152773743828055</v>
      </c>
    </row>
    <row r="956" spans="1:12" x14ac:dyDescent="0.3">
      <c r="A956" s="1" t="s">
        <v>964</v>
      </c>
      <c r="B956" s="1" t="s">
        <v>10</v>
      </c>
      <c r="C956" s="1" t="s">
        <v>37</v>
      </c>
      <c r="D956" s="1" t="s">
        <v>32</v>
      </c>
      <c r="E956" s="35">
        <v>45517</v>
      </c>
      <c r="F956" s="1">
        <v>40453</v>
      </c>
      <c r="G956" s="1">
        <v>421532</v>
      </c>
      <c r="H956" s="3">
        <v>447</v>
      </c>
      <c r="I956" s="1">
        <v>17</v>
      </c>
      <c r="J956" s="2">
        <v>45534</v>
      </c>
      <c r="K956" s="8">
        <f>(F956/G956)*100</f>
        <v>9.5966617006538044</v>
      </c>
      <c r="L956" s="8">
        <f>(H956/G956)*100</f>
        <v>0.1060417714432119</v>
      </c>
    </row>
    <row r="957" spans="1:12" x14ac:dyDescent="0.3">
      <c r="A957" s="1" t="s">
        <v>965</v>
      </c>
      <c r="B957" s="1" t="s">
        <v>10</v>
      </c>
      <c r="C957" s="1" t="s">
        <v>15</v>
      </c>
      <c r="D957" s="1" t="s">
        <v>19</v>
      </c>
      <c r="E957" s="35">
        <v>45518</v>
      </c>
      <c r="F957" s="1">
        <v>65858</v>
      </c>
      <c r="G957" s="1">
        <v>969351</v>
      </c>
      <c r="H957" s="3">
        <v>4808</v>
      </c>
      <c r="I957" s="1">
        <v>7</v>
      </c>
      <c r="J957" s="2">
        <v>45525</v>
      </c>
      <c r="K957" s="8">
        <f>(F957/G957)*100</f>
        <v>6.7940302325989244</v>
      </c>
      <c r="L957" s="8">
        <f>(H957/G957)*100</f>
        <v>0.49600196420079001</v>
      </c>
    </row>
    <row r="958" spans="1:12" x14ac:dyDescent="0.3">
      <c r="A958" s="1" t="s">
        <v>966</v>
      </c>
      <c r="B958" s="1" t="s">
        <v>14</v>
      </c>
      <c r="C958" s="1" t="s">
        <v>27</v>
      </c>
      <c r="D958" s="1" t="s">
        <v>28</v>
      </c>
      <c r="E958" s="35">
        <v>45519</v>
      </c>
      <c r="F958" s="1">
        <v>63148</v>
      </c>
      <c r="G958" s="1">
        <v>864210</v>
      </c>
      <c r="H958" s="3">
        <v>4994</v>
      </c>
      <c r="I958" s="1">
        <v>18</v>
      </c>
      <c r="J958" s="2">
        <v>45537</v>
      </c>
      <c r="K958" s="8">
        <f>(F958/G958)*100</f>
        <v>7.3070202844216103</v>
      </c>
      <c r="L958" s="8">
        <f>(H958/G958)*100</f>
        <v>0.57786880503581306</v>
      </c>
    </row>
    <row r="959" spans="1:12" x14ac:dyDescent="0.3">
      <c r="A959" s="1" t="s">
        <v>967</v>
      </c>
      <c r="B959" s="1" t="s">
        <v>14</v>
      </c>
      <c r="C959" s="1" t="s">
        <v>18</v>
      </c>
      <c r="D959" s="1" t="s">
        <v>16</v>
      </c>
      <c r="E959" s="35">
        <v>45520</v>
      </c>
      <c r="F959" s="1">
        <v>30451</v>
      </c>
      <c r="G959" s="1">
        <v>779048</v>
      </c>
      <c r="H959" s="3">
        <v>2058</v>
      </c>
      <c r="I959" s="1">
        <v>25</v>
      </c>
      <c r="J959" s="2">
        <v>45545</v>
      </c>
      <c r="K959" s="8">
        <f>(F959/G959)*100</f>
        <v>3.9087450323985173</v>
      </c>
      <c r="L959" s="8">
        <f>(H959/G959)*100</f>
        <v>0.26416857497869195</v>
      </c>
    </row>
    <row r="960" spans="1:12" x14ac:dyDescent="0.3">
      <c r="A960" s="1" t="s">
        <v>968</v>
      </c>
      <c r="B960" s="1" t="s">
        <v>14</v>
      </c>
      <c r="C960" s="1" t="s">
        <v>18</v>
      </c>
      <c r="D960" s="1" t="s">
        <v>19</v>
      </c>
      <c r="E960" s="35">
        <v>45521</v>
      </c>
      <c r="F960" s="1">
        <v>30469</v>
      </c>
      <c r="G960" s="1">
        <v>541213</v>
      </c>
      <c r="H960" s="3">
        <v>4408</v>
      </c>
      <c r="I960" s="1">
        <v>23</v>
      </c>
      <c r="J960" s="2">
        <v>45544</v>
      </c>
      <c r="K960" s="8">
        <f>(F960/G960)*100</f>
        <v>5.6297612954603826</v>
      </c>
      <c r="L960" s="8">
        <f>(H960/G960)*100</f>
        <v>0.81446676262395767</v>
      </c>
    </row>
    <row r="961" spans="1:12" x14ac:dyDescent="0.3">
      <c r="A961" s="1" t="s">
        <v>969</v>
      </c>
      <c r="B961" s="1" t="s">
        <v>14</v>
      </c>
      <c r="C961" s="1" t="s">
        <v>27</v>
      </c>
      <c r="D961" s="1" t="s">
        <v>19</v>
      </c>
      <c r="E961" s="35">
        <v>45522</v>
      </c>
      <c r="F961" s="1">
        <v>47207</v>
      </c>
      <c r="G961" s="1">
        <v>842309</v>
      </c>
      <c r="H961" s="3">
        <v>4939</v>
      </c>
      <c r="I961" s="1">
        <v>21</v>
      </c>
      <c r="J961" s="2">
        <v>45543</v>
      </c>
      <c r="K961" s="8">
        <f>(F961/G961)*100</f>
        <v>5.6044753172529322</v>
      </c>
      <c r="L961" s="8">
        <f>(H961/G961)*100</f>
        <v>0.58636438646624933</v>
      </c>
    </row>
    <row r="962" spans="1:12" x14ac:dyDescent="0.3">
      <c r="A962" s="1" t="s">
        <v>970</v>
      </c>
      <c r="B962" s="1" t="s">
        <v>14</v>
      </c>
      <c r="C962" s="1" t="s">
        <v>15</v>
      </c>
      <c r="D962" s="1" t="s">
        <v>12</v>
      </c>
      <c r="E962" s="35">
        <v>45523</v>
      </c>
      <c r="F962" s="1">
        <v>87382</v>
      </c>
      <c r="G962" s="1">
        <v>986466</v>
      </c>
      <c r="H962" s="3">
        <v>184</v>
      </c>
      <c r="I962" s="1">
        <v>24</v>
      </c>
      <c r="J962" s="2">
        <v>45547</v>
      </c>
      <c r="K962" s="8">
        <f>(F962/G962)*100</f>
        <v>8.8580853268130877</v>
      </c>
      <c r="L962" s="8">
        <f>(H962/G962)*100</f>
        <v>1.8652442152086335E-2</v>
      </c>
    </row>
    <row r="963" spans="1:12" x14ac:dyDescent="0.3">
      <c r="A963" s="1" t="s">
        <v>971</v>
      </c>
      <c r="B963" s="1" t="s">
        <v>22</v>
      </c>
      <c r="C963" s="1" t="s">
        <v>27</v>
      </c>
      <c r="D963" s="1" t="s">
        <v>28</v>
      </c>
      <c r="E963" s="35">
        <v>45524</v>
      </c>
      <c r="F963" s="1">
        <v>24181</v>
      </c>
      <c r="G963" s="1">
        <v>513941</v>
      </c>
      <c r="H963" s="3">
        <v>1052</v>
      </c>
      <c r="I963" s="1">
        <v>4</v>
      </c>
      <c r="J963" s="2">
        <v>45528</v>
      </c>
      <c r="K963" s="8">
        <f>(F963/G963)*100</f>
        <v>4.7050147779608942</v>
      </c>
      <c r="L963" s="8">
        <f>(H963/G963)*100</f>
        <v>0.20469275656155084</v>
      </c>
    </row>
    <row r="964" spans="1:12" x14ac:dyDescent="0.3">
      <c r="A964" s="1" t="s">
        <v>972</v>
      </c>
      <c r="B964" s="1" t="s">
        <v>22</v>
      </c>
      <c r="C964" s="1" t="s">
        <v>15</v>
      </c>
      <c r="D964" s="1" t="s">
        <v>32</v>
      </c>
      <c r="E964" s="35">
        <v>45525</v>
      </c>
      <c r="F964" s="1">
        <v>85825</v>
      </c>
      <c r="G964" s="1">
        <v>11518</v>
      </c>
      <c r="H964" s="3">
        <v>4760</v>
      </c>
      <c r="I964" s="1">
        <v>12</v>
      </c>
      <c r="J964" s="2">
        <v>45537</v>
      </c>
      <c r="K964" s="8">
        <f>(F964/G964)*100</f>
        <v>745.1380447994444</v>
      </c>
      <c r="L964" s="8">
        <f>(H964/G964)*100</f>
        <v>41.326619204723045</v>
      </c>
    </row>
    <row r="965" spans="1:12" x14ac:dyDescent="0.3">
      <c r="A965" s="1" t="s">
        <v>973</v>
      </c>
      <c r="B965" s="1" t="s">
        <v>24</v>
      </c>
      <c r="C965" s="1" t="s">
        <v>25</v>
      </c>
      <c r="D965" s="1" t="s">
        <v>28</v>
      </c>
      <c r="E965" s="35">
        <v>45526</v>
      </c>
      <c r="F965" s="1">
        <v>61969</v>
      </c>
      <c r="G965" s="1">
        <v>368521</v>
      </c>
      <c r="H965" s="3">
        <v>4325</v>
      </c>
      <c r="I965" s="1">
        <f>Table1[[#This Row],[end_date]]-Table1[[#This Row],[start_date]]</f>
        <v>14</v>
      </c>
      <c r="J965" s="2">
        <v>45540</v>
      </c>
      <c r="K965" s="8">
        <f>(F965/G965)*100</f>
        <v>16.815595312071768</v>
      </c>
      <c r="L965" s="8">
        <f>(H965/G965)*100</f>
        <v>1.1736101877504945</v>
      </c>
    </row>
    <row r="966" spans="1:12" x14ac:dyDescent="0.3">
      <c r="A966" s="1" t="s">
        <v>974</v>
      </c>
      <c r="B966" s="1" t="s">
        <v>14</v>
      </c>
      <c r="C966" s="1" t="s">
        <v>25</v>
      </c>
      <c r="D966" s="1" t="s">
        <v>32</v>
      </c>
      <c r="E966" s="35">
        <v>45527</v>
      </c>
      <c r="F966" s="1">
        <v>34346</v>
      </c>
      <c r="G966" s="1">
        <v>498013</v>
      </c>
      <c r="H966" s="3">
        <v>2639</v>
      </c>
      <c r="I966" s="1">
        <f>Table1[[#This Row],[end_date]]-Table1[[#This Row],[start_date]]</f>
        <v>11</v>
      </c>
      <c r="J966" s="2">
        <v>45538</v>
      </c>
      <c r="K966" s="8">
        <f>(F966/G966)*100</f>
        <v>6.8966071166816922</v>
      </c>
      <c r="L966" s="8">
        <f>(H966/G966)*100</f>
        <v>0.52990584583133371</v>
      </c>
    </row>
    <row r="967" spans="1:12" x14ac:dyDescent="0.3">
      <c r="A967" s="1" t="s">
        <v>975</v>
      </c>
      <c r="B967" s="1" t="s">
        <v>24</v>
      </c>
      <c r="C967" s="1" t="s">
        <v>27</v>
      </c>
      <c r="D967" s="1" t="s">
        <v>16</v>
      </c>
      <c r="E967" s="35">
        <v>45528</v>
      </c>
      <c r="F967" s="1">
        <v>24338</v>
      </c>
      <c r="G967" s="1">
        <v>919344</v>
      </c>
      <c r="H967" s="3">
        <v>298</v>
      </c>
      <c r="I967" s="1">
        <f>Table1[[#This Row],[end_date]]-Table1[[#This Row],[start_date]]</f>
        <v>18</v>
      </c>
      <c r="J967" s="2">
        <v>45546</v>
      </c>
      <c r="K967" s="8">
        <f>(F967/G967)*100</f>
        <v>2.6473224386083993</v>
      </c>
      <c r="L967" s="8">
        <f>(H967/G967)*100</f>
        <v>3.24144172366383E-2</v>
      </c>
    </row>
    <row r="968" spans="1:12" x14ac:dyDescent="0.3">
      <c r="A968" s="1" t="s">
        <v>976</v>
      </c>
      <c r="B968" s="1" t="s">
        <v>22</v>
      </c>
      <c r="C968" s="1" t="s">
        <v>27</v>
      </c>
      <c r="D968" s="1" t="s">
        <v>32</v>
      </c>
      <c r="E968" s="35">
        <v>45529</v>
      </c>
      <c r="F968" s="1">
        <v>20338</v>
      </c>
      <c r="G968" s="1">
        <v>583306</v>
      </c>
      <c r="H968" s="3">
        <v>1049</v>
      </c>
      <c r="I968" s="1">
        <f>Table1[[#This Row],[end_date]]-Table1[[#This Row],[start_date]]</f>
        <v>13</v>
      </c>
      <c r="J968" s="2">
        <v>45542</v>
      </c>
      <c r="K968" s="8">
        <f>(F968/G968)*100</f>
        <v>3.4866776614675659</v>
      </c>
      <c r="L968" s="8">
        <f>(H968/G968)*100</f>
        <v>0.17983699807648132</v>
      </c>
    </row>
    <row r="969" spans="1:12" x14ac:dyDescent="0.3">
      <c r="A969" s="1" t="s">
        <v>977</v>
      </c>
      <c r="B969" s="1" t="s">
        <v>14</v>
      </c>
      <c r="C969" s="1" t="s">
        <v>11</v>
      </c>
      <c r="D969" s="1" t="s">
        <v>16</v>
      </c>
      <c r="E969" s="35">
        <v>45530</v>
      </c>
      <c r="F969" s="1">
        <v>2423</v>
      </c>
      <c r="G969" s="1">
        <v>680534</v>
      </c>
      <c r="H969" s="3">
        <v>1258</v>
      </c>
      <c r="I969" s="1">
        <f>Table1[[#This Row],[end_date]]-Table1[[#This Row],[start_date]]</f>
        <v>21</v>
      </c>
      <c r="J969" s="2">
        <v>45551</v>
      </c>
      <c r="K969" s="8">
        <f>(F969/G969)*100</f>
        <v>0.3560439302077486</v>
      </c>
      <c r="L969" s="8">
        <f>(H969/G969)*100</f>
        <v>0.18485483458578117</v>
      </c>
    </row>
    <row r="970" spans="1:12" x14ac:dyDescent="0.3">
      <c r="A970" s="1" t="s">
        <v>978</v>
      </c>
      <c r="B970" s="1" t="s">
        <v>22</v>
      </c>
      <c r="C970" s="1" t="s">
        <v>37</v>
      </c>
      <c r="D970" s="1" t="s">
        <v>19</v>
      </c>
      <c r="E970" s="35">
        <v>45531</v>
      </c>
      <c r="F970" s="1">
        <v>4707</v>
      </c>
      <c r="G970" s="1">
        <v>874765</v>
      </c>
      <c r="H970" s="3">
        <v>3253</v>
      </c>
      <c r="I970" s="1">
        <f>Table1[[#This Row],[end_date]]-Table1[[#This Row],[start_date]]</f>
        <v>13</v>
      </c>
      <c r="J970" s="2">
        <v>45544</v>
      </c>
      <c r="K970" s="8">
        <f>(F970/G970)*100</f>
        <v>0.53808737203706136</v>
      </c>
      <c r="L970" s="8">
        <f>(H970/G970)*100</f>
        <v>0.37187130257840678</v>
      </c>
    </row>
    <row r="971" spans="1:12" x14ac:dyDescent="0.3">
      <c r="A971" s="1" t="s">
        <v>979</v>
      </c>
      <c r="B971" s="1" t="s">
        <v>22</v>
      </c>
      <c r="C971" s="1" t="s">
        <v>11</v>
      </c>
      <c r="D971" s="1" t="s">
        <v>19</v>
      </c>
      <c r="E971" s="35">
        <v>45532</v>
      </c>
      <c r="F971" s="1">
        <v>39516</v>
      </c>
      <c r="G971" s="1">
        <v>708267</v>
      </c>
      <c r="H971" s="3">
        <v>4203</v>
      </c>
      <c r="I971" s="1">
        <v>29</v>
      </c>
      <c r="J971" s="2">
        <v>45561</v>
      </c>
      <c r="K971" s="8">
        <f>(F971/G971)*100</f>
        <v>5.5792518922948551</v>
      </c>
      <c r="L971" s="8">
        <f>(H971/G971)*100</f>
        <v>0.59342027794602881</v>
      </c>
    </row>
    <row r="972" spans="1:12" x14ac:dyDescent="0.3">
      <c r="A972" s="1" t="s">
        <v>980</v>
      </c>
      <c r="B972" s="1" t="s">
        <v>22</v>
      </c>
      <c r="C972" s="1" t="s">
        <v>25</v>
      </c>
      <c r="D972" s="1" t="s">
        <v>28</v>
      </c>
      <c r="E972" s="35">
        <v>45533</v>
      </c>
      <c r="F972" s="1">
        <v>13968</v>
      </c>
      <c r="G972" s="1">
        <v>345818</v>
      </c>
      <c r="H972" s="3">
        <v>589</v>
      </c>
      <c r="I972" s="1">
        <v>16</v>
      </c>
      <c r="J972" s="2">
        <v>45549</v>
      </c>
      <c r="K972" s="8">
        <f>(F972/G972)*100</f>
        <v>4.0391188428595388</v>
      </c>
      <c r="L972" s="8">
        <f>(H972/G972)*100</f>
        <v>0.17032080458507076</v>
      </c>
    </row>
    <row r="973" spans="1:12" x14ac:dyDescent="0.3">
      <c r="A973" s="1" t="s">
        <v>981</v>
      </c>
      <c r="B973" s="1" t="s">
        <v>22</v>
      </c>
      <c r="C973" s="1" t="s">
        <v>18</v>
      </c>
      <c r="D973" s="1" t="s">
        <v>28</v>
      </c>
      <c r="E973" s="35">
        <v>45534</v>
      </c>
      <c r="F973" s="1">
        <v>11520</v>
      </c>
      <c r="G973" s="1">
        <v>230813</v>
      </c>
      <c r="H973" s="3">
        <v>4397</v>
      </c>
      <c r="I973" s="1">
        <v>15</v>
      </c>
      <c r="J973" s="2">
        <v>45549</v>
      </c>
      <c r="K973" s="8">
        <f>(F973/G973)*100</f>
        <v>4.9910533635453804</v>
      </c>
      <c r="L973" s="8">
        <f>(H973/G973)*100</f>
        <v>1.9050053506518263</v>
      </c>
    </row>
    <row r="974" spans="1:12" x14ac:dyDescent="0.3">
      <c r="A974" s="1" t="s">
        <v>982</v>
      </c>
      <c r="B974" s="1" t="s">
        <v>24</v>
      </c>
      <c r="C974" s="1" t="s">
        <v>25</v>
      </c>
      <c r="D974" s="1" t="s">
        <v>12</v>
      </c>
      <c r="E974" s="35">
        <v>45535</v>
      </c>
      <c r="F974" s="1">
        <v>73547</v>
      </c>
      <c r="G974" s="1">
        <v>281624</v>
      </c>
      <c r="H974" s="3">
        <v>3134</v>
      </c>
      <c r="I974" s="1">
        <v>18</v>
      </c>
      <c r="J974" s="2">
        <v>45553</v>
      </c>
      <c r="K974" s="8">
        <f>(F974/G974)*100</f>
        <v>26.115316876402577</v>
      </c>
      <c r="L974" s="8">
        <f>(H974/G974)*100</f>
        <v>1.1128312927875466</v>
      </c>
    </row>
    <row r="975" spans="1:12" x14ac:dyDescent="0.3">
      <c r="A975" s="1" t="s">
        <v>983</v>
      </c>
      <c r="B975" s="1" t="s">
        <v>22</v>
      </c>
      <c r="C975" s="1" t="s">
        <v>15</v>
      </c>
      <c r="D975" s="1" t="s">
        <v>16</v>
      </c>
      <c r="E975" s="35">
        <v>45536</v>
      </c>
      <c r="F975" s="1">
        <v>38487</v>
      </c>
      <c r="G975" s="1">
        <v>353411</v>
      </c>
      <c r="H975" s="3">
        <v>792</v>
      </c>
      <c r="I975" s="1">
        <v>6</v>
      </c>
      <c r="J975" s="2">
        <v>45542</v>
      </c>
      <c r="K975" s="8">
        <f>(F975/G975)*100</f>
        <v>10.890153390811266</v>
      </c>
      <c r="L975" s="8">
        <f>(H975/G975)*100</f>
        <v>0.22410168330923488</v>
      </c>
    </row>
    <row r="976" spans="1:12" x14ac:dyDescent="0.3">
      <c r="A976" s="1" t="s">
        <v>984</v>
      </c>
      <c r="B976" s="1" t="s">
        <v>14</v>
      </c>
      <c r="C976" s="1" t="s">
        <v>27</v>
      </c>
      <c r="D976" s="1" t="s">
        <v>28</v>
      </c>
      <c r="E976" s="35">
        <v>45537</v>
      </c>
      <c r="F976" s="1">
        <v>58372</v>
      </c>
      <c r="G976" s="1">
        <v>444318</v>
      </c>
      <c r="H976" s="3">
        <v>3729</v>
      </c>
      <c r="I976" s="1">
        <v>3</v>
      </c>
      <c r="J976" s="2">
        <v>45540</v>
      </c>
      <c r="K976" s="8">
        <f>(F976/G976)*100</f>
        <v>13.137437600997485</v>
      </c>
      <c r="L976" s="8">
        <f>(H976/G976)*100</f>
        <v>0.83926377054271939</v>
      </c>
    </row>
    <row r="977" spans="1:12" x14ac:dyDescent="0.3">
      <c r="A977" s="1" t="s">
        <v>985</v>
      </c>
      <c r="B977" s="1" t="s">
        <v>14</v>
      </c>
      <c r="C977" s="1" t="s">
        <v>37</v>
      </c>
      <c r="D977" s="1" t="s">
        <v>28</v>
      </c>
      <c r="E977" s="35">
        <v>45538</v>
      </c>
      <c r="F977" s="1">
        <v>13159</v>
      </c>
      <c r="G977" s="1">
        <v>408533</v>
      </c>
      <c r="H977" s="3">
        <v>2467</v>
      </c>
      <c r="I977" s="1">
        <v>21</v>
      </c>
      <c r="J977" s="2">
        <v>45559</v>
      </c>
      <c r="K977" s="8">
        <f>(F977/G977)*100</f>
        <v>3.2210372234311548</v>
      </c>
      <c r="L977" s="8">
        <f>(H977/G977)*100</f>
        <v>0.6038679861847146</v>
      </c>
    </row>
    <row r="978" spans="1:12" x14ac:dyDescent="0.3">
      <c r="A978" s="1" t="s">
        <v>986</v>
      </c>
      <c r="B978" s="1" t="s">
        <v>14</v>
      </c>
      <c r="C978" s="1" t="s">
        <v>30</v>
      </c>
      <c r="D978" s="1" t="s">
        <v>28</v>
      </c>
      <c r="E978" s="35">
        <v>45539</v>
      </c>
      <c r="F978" s="1">
        <v>70970</v>
      </c>
      <c r="G978" s="1">
        <v>386654</v>
      </c>
      <c r="H978" s="3">
        <v>340</v>
      </c>
      <c r="I978" s="1">
        <v>18</v>
      </c>
      <c r="J978" s="2">
        <v>45557</v>
      </c>
      <c r="K978" s="8">
        <f>(F978/G978)*100</f>
        <v>18.354911626415348</v>
      </c>
      <c r="L978" s="8">
        <f>(H978/G978)*100</f>
        <v>8.7933915076528368E-2</v>
      </c>
    </row>
    <row r="979" spans="1:12" x14ac:dyDescent="0.3">
      <c r="A979" s="1" t="s">
        <v>987</v>
      </c>
      <c r="B979" s="1" t="s">
        <v>14</v>
      </c>
      <c r="C979" s="1" t="s">
        <v>27</v>
      </c>
      <c r="D979" s="1" t="s">
        <v>28</v>
      </c>
      <c r="E979" s="35">
        <v>45540</v>
      </c>
      <c r="F979" s="1">
        <v>12458</v>
      </c>
      <c r="G979" s="1">
        <v>690320</v>
      </c>
      <c r="H979" s="3">
        <v>3856</v>
      </c>
      <c r="I979" s="1">
        <v>2</v>
      </c>
      <c r="J979" s="2">
        <v>45542</v>
      </c>
      <c r="K979" s="8">
        <f>(F979/G979)*100</f>
        <v>1.8046702978328892</v>
      </c>
      <c r="L979" s="8">
        <f>(H979/G979)*100</f>
        <v>0.55858152740757905</v>
      </c>
    </row>
    <row r="980" spans="1:12" x14ac:dyDescent="0.3">
      <c r="A980" s="1" t="s">
        <v>988</v>
      </c>
      <c r="B980" s="1" t="s">
        <v>22</v>
      </c>
      <c r="C980" s="1" t="s">
        <v>25</v>
      </c>
      <c r="D980" s="1" t="s">
        <v>12</v>
      </c>
      <c r="E980" s="35">
        <v>45541</v>
      </c>
      <c r="F980" s="1">
        <v>54008</v>
      </c>
      <c r="G980" s="1">
        <v>283412</v>
      </c>
      <c r="H980" s="3">
        <v>1.296</v>
      </c>
      <c r="I980" s="1">
        <v>3</v>
      </c>
      <c r="J980" s="2">
        <v>45544</v>
      </c>
      <c r="K980" s="8">
        <f>(F980/G980)*100</f>
        <v>19.056356117595584</v>
      </c>
      <c r="L980" s="8">
        <f>(H980/G980)*100</f>
        <v>4.5728480092586054E-4</v>
      </c>
    </row>
    <row r="981" spans="1:12" x14ac:dyDescent="0.3">
      <c r="A981" s="1" t="s">
        <v>989</v>
      </c>
      <c r="B981" s="1" t="s">
        <v>24</v>
      </c>
      <c r="C981" s="1" t="s">
        <v>30</v>
      </c>
      <c r="D981" s="1" t="s">
        <v>19</v>
      </c>
      <c r="E981" s="35">
        <v>45542</v>
      </c>
      <c r="F981" s="1">
        <v>94489</v>
      </c>
      <c r="G981" s="1">
        <v>291659</v>
      </c>
      <c r="H981" s="3">
        <v>3708</v>
      </c>
      <c r="I981" s="1">
        <v>26</v>
      </c>
      <c r="J981" s="2">
        <v>45568</v>
      </c>
      <c r="K981" s="8">
        <f>(F981/G981)*100</f>
        <v>32.397080151821136</v>
      </c>
      <c r="L981" s="8">
        <f>(H981/G981)*100</f>
        <v>1.2713477039967909</v>
      </c>
    </row>
    <row r="982" spans="1:12" x14ac:dyDescent="0.3">
      <c r="A982" s="1" t="s">
        <v>990</v>
      </c>
      <c r="B982" s="1" t="s">
        <v>10</v>
      </c>
      <c r="C982" s="1" t="s">
        <v>25</v>
      </c>
      <c r="D982" s="1" t="s">
        <v>28</v>
      </c>
      <c r="E982" s="35">
        <v>45543</v>
      </c>
      <c r="F982" s="1">
        <v>40750</v>
      </c>
      <c r="G982" s="1">
        <v>583999</v>
      </c>
      <c r="H982" s="3">
        <v>4079</v>
      </c>
      <c r="I982" s="1">
        <v>6</v>
      </c>
      <c r="J982" s="2">
        <v>45549</v>
      </c>
      <c r="K982" s="8">
        <f>(F982/G982)*100</f>
        <v>6.9777516742323185</v>
      </c>
      <c r="L982" s="8">
        <f>(H982/G982)*100</f>
        <v>0.69846010010291115</v>
      </c>
    </row>
    <row r="983" spans="1:12" x14ac:dyDescent="0.3">
      <c r="A983" s="1" t="s">
        <v>991</v>
      </c>
      <c r="B983" s="1" t="s">
        <v>10</v>
      </c>
      <c r="C983" s="1" t="s">
        <v>25</v>
      </c>
      <c r="D983" s="1" t="s">
        <v>12</v>
      </c>
      <c r="E983" s="35">
        <v>45544</v>
      </c>
      <c r="F983" s="1">
        <v>51278</v>
      </c>
      <c r="G983" s="1">
        <v>236573</v>
      </c>
      <c r="H983" s="3">
        <v>1508</v>
      </c>
      <c r="I983" s="1">
        <v>4</v>
      </c>
      <c r="J983" s="2">
        <v>45548</v>
      </c>
      <c r="K983" s="8">
        <f>(F983/G983)*100</f>
        <v>21.675339113085602</v>
      </c>
      <c r="L983" s="8">
        <f>(H983/G983)*100</f>
        <v>0.63743537935436412</v>
      </c>
    </row>
    <row r="984" spans="1:12" x14ac:dyDescent="0.3">
      <c r="A984" s="1" t="s">
        <v>992</v>
      </c>
      <c r="B984" s="1" t="s">
        <v>14</v>
      </c>
      <c r="C984" s="1" t="s">
        <v>25</v>
      </c>
      <c r="D984" s="1" t="s">
        <v>12</v>
      </c>
      <c r="E984" s="35">
        <v>45545</v>
      </c>
      <c r="F984" s="1">
        <v>47964</v>
      </c>
      <c r="G984" s="1">
        <v>276234</v>
      </c>
      <c r="H984" s="3">
        <v>1512</v>
      </c>
      <c r="I984" s="1">
        <v>17</v>
      </c>
      <c r="J984" s="2">
        <v>45562</v>
      </c>
      <c r="K984" s="8">
        <f>(F984/G984)*100</f>
        <v>17.363539607723887</v>
      </c>
      <c r="L984" s="8">
        <f>(H984/G984)*100</f>
        <v>0.54736201915767069</v>
      </c>
    </row>
    <row r="985" spans="1:12" x14ac:dyDescent="0.3">
      <c r="A985" s="1" t="s">
        <v>993</v>
      </c>
      <c r="B985" s="1" t="s">
        <v>22</v>
      </c>
      <c r="C985" s="1" t="s">
        <v>37</v>
      </c>
      <c r="D985" s="1" t="s">
        <v>12</v>
      </c>
      <c r="E985" s="35">
        <v>45546</v>
      </c>
      <c r="F985" s="1">
        <v>20351</v>
      </c>
      <c r="G985" s="1">
        <v>453521</v>
      </c>
      <c r="H985" s="3">
        <v>4136</v>
      </c>
      <c r="I985" s="1">
        <v>11</v>
      </c>
      <c r="J985" s="2">
        <v>45557</v>
      </c>
      <c r="K985" s="8">
        <f>(F985/G985)*100</f>
        <v>4.48733355236031</v>
      </c>
      <c r="L985" s="8">
        <f>(H985/G985)*100</f>
        <v>0.9119754101794626</v>
      </c>
    </row>
    <row r="986" spans="1:12" x14ac:dyDescent="0.3">
      <c r="A986" s="1" t="s">
        <v>994</v>
      </c>
      <c r="B986" s="1" t="s">
        <v>24</v>
      </c>
      <c r="C986" s="1" t="s">
        <v>30</v>
      </c>
      <c r="D986" s="1" t="s">
        <v>28</v>
      </c>
      <c r="E986" s="35">
        <v>45547</v>
      </c>
      <c r="F986" s="1">
        <v>15889</v>
      </c>
      <c r="G986" s="1">
        <v>704679</v>
      </c>
      <c r="H986" s="3">
        <v>4539</v>
      </c>
      <c r="I986" s="1">
        <v>11</v>
      </c>
      <c r="J986" s="2">
        <v>45558</v>
      </c>
      <c r="K986" s="8">
        <f>(F986/G986)*100</f>
        <v>2.2547855122687066</v>
      </c>
      <c r="L986" s="8">
        <f>(H986/G986)*100</f>
        <v>0.64412306880153936</v>
      </c>
    </row>
    <row r="987" spans="1:12" x14ac:dyDescent="0.3">
      <c r="A987" s="1" t="s">
        <v>995</v>
      </c>
      <c r="B987" s="1" t="s">
        <v>22</v>
      </c>
      <c r="C987" s="1" t="s">
        <v>11</v>
      </c>
      <c r="D987" s="1" t="s">
        <v>12</v>
      </c>
      <c r="E987" s="35">
        <v>45548</v>
      </c>
      <c r="F987" s="1">
        <v>9727</v>
      </c>
      <c r="G987" s="1">
        <v>958908</v>
      </c>
      <c r="H987" s="3">
        <v>2579</v>
      </c>
      <c r="I987" s="1">
        <v>23</v>
      </c>
      <c r="J987" s="2">
        <v>45571</v>
      </c>
      <c r="K987" s="8">
        <f>(F987/G987)*100</f>
        <v>1.014383027360289</v>
      </c>
      <c r="L987" s="8">
        <f>(H987/G987)*100</f>
        <v>0.26895176596712095</v>
      </c>
    </row>
    <row r="988" spans="1:12" x14ac:dyDescent="0.3">
      <c r="A988" s="1" t="s">
        <v>996</v>
      </c>
      <c r="B988" s="1" t="s">
        <v>22</v>
      </c>
      <c r="C988" s="1" t="s">
        <v>37</v>
      </c>
      <c r="D988" s="1" t="s">
        <v>32</v>
      </c>
      <c r="E988" s="35">
        <v>45549</v>
      </c>
      <c r="F988" s="1">
        <v>46920</v>
      </c>
      <c r="G988" s="1">
        <v>798950</v>
      </c>
      <c r="H988" s="3">
        <v>3323</v>
      </c>
      <c r="I988" s="1">
        <v>11</v>
      </c>
      <c r="J988" s="2">
        <v>45560</v>
      </c>
      <c r="K988" s="8">
        <f>(F988/G988)*100</f>
        <v>5.872707929157019</v>
      </c>
      <c r="L988" s="8">
        <f>(H988/G988)*100</f>
        <v>0.41592089617623129</v>
      </c>
    </row>
    <row r="989" spans="1:12" x14ac:dyDescent="0.3">
      <c r="A989" s="1" t="s">
        <v>997</v>
      </c>
      <c r="B989" s="1" t="s">
        <v>22</v>
      </c>
      <c r="C989" s="1" t="s">
        <v>30</v>
      </c>
      <c r="D989" s="1" t="s">
        <v>28</v>
      </c>
      <c r="E989" s="35">
        <v>45550</v>
      </c>
      <c r="F989" s="1">
        <v>90772</v>
      </c>
      <c r="G989" s="1">
        <v>946166</v>
      </c>
      <c r="H989" s="3">
        <v>3335</v>
      </c>
      <c r="I989" s="1">
        <v>26</v>
      </c>
      <c r="J989" s="2">
        <v>45576</v>
      </c>
      <c r="K989" s="8">
        <f>(F989/G989)*100</f>
        <v>9.5936653821845219</v>
      </c>
      <c r="L989" s="8">
        <f>(H989/G989)*100</f>
        <v>0.35247514706721655</v>
      </c>
    </row>
    <row r="990" spans="1:12" x14ac:dyDescent="0.3">
      <c r="A990" s="1" t="s">
        <v>998</v>
      </c>
      <c r="B990" s="1" t="s">
        <v>10</v>
      </c>
      <c r="C990" s="1" t="s">
        <v>11</v>
      </c>
      <c r="D990" s="1" t="s">
        <v>28</v>
      </c>
      <c r="E990" s="35">
        <v>45551</v>
      </c>
      <c r="F990" s="1">
        <v>75539</v>
      </c>
      <c r="G990" s="1">
        <v>35970</v>
      </c>
      <c r="H990" s="3">
        <v>2733</v>
      </c>
      <c r="I990" s="1">
        <v>29</v>
      </c>
      <c r="J990" s="2">
        <v>45580</v>
      </c>
      <c r="K990" s="8">
        <f>(F990/G990)*100</f>
        <v>210.00556018904643</v>
      </c>
      <c r="L990" s="8">
        <f>(H990/G990)*100</f>
        <v>7.5979983319432858</v>
      </c>
    </row>
    <row r="991" spans="1:12" x14ac:dyDescent="0.3">
      <c r="A991" s="1" t="s">
        <v>999</v>
      </c>
      <c r="B991" s="1" t="s">
        <v>14</v>
      </c>
      <c r="C991" s="1" t="s">
        <v>11</v>
      </c>
      <c r="D991" s="1" t="s">
        <v>28</v>
      </c>
      <c r="E991" s="35">
        <v>45552</v>
      </c>
      <c r="F991" s="1">
        <v>43507</v>
      </c>
      <c r="G991" s="1">
        <v>8926</v>
      </c>
      <c r="H991" s="3">
        <v>393</v>
      </c>
      <c r="I991" s="1">
        <v>3</v>
      </c>
      <c r="J991" s="2">
        <v>45555</v>
      </c>
      <c r="K991" s="8">
        <f>(F991/G991)*100</f>
        <v>487.41877660766295</v>
      </c>
      <c r="L991" s="8">
        <f>(H991/G991)*100</f>
        <v>4.4028680259914852</v>
      </c>
    </row>
    <row r="992" spans="1:12" x14ac:dyDescent="0.3">
      <c r="A992" s="1" t="s">
        <v>1000</v>
      </c>
      <c r="B992" s="1" t="s">
        <v>10</v>
      </c>
      <c r="C992" s="1" t="s">
        <v>15</v>
      </c>
      <c r="D992" s="1" t="s">
        <v>19</v>
      </c>
      <c r="E992" s="35">
        <v>45553</v>
      </c>
      <c r="F992" s="1">
        <v>95332</v>
      </c>
      <c r="G992" s="1">
        <v>779332</v>
      </c>
      <c r="H992" s="3">
        <v>3082</v>
      </c>
      <c r="I992" s="1">
        <v>5</v>
      </c>
      <c r="J992" s="2">
        <v>45558</v>
      </c>
      <c r="K992" s="8">
        <f>(F992/G992)*100</f>
        <v>12.232527343930442</v>
      </c>
      <c r="L992" s="8">
        <f>(H992/G992)*100</f>
        <v>0.3954668870263251</v>
      </c>
    </row>
    <row r="993" spans="1:12" x14ac:dyDescent="0.3">
      <c r="A993" s="1" t="s">
        <v>1001</v>
      </c>
      <c r="B993" s="1" t="s">
        <v>10</v>
      </c>
      <c r="C993" s="1" t="s">
        <v>15</v>
      </c>
      <c r="D993" s="1" t="s">
        <v>16</v>
      </c>
      <c r="E993" s="35">
        <v>45554</v>
      </c>
      <c r="F993" s="1">
        <v>93783</v>
      </c>
      <c r="G993" s="1">
        <v>457078</v>
      </c>
      <c r="H993" s="3">
        <v>677</v>
      </c>
      <c r="I993" s="1">
        <v>21</v>
      </c>
      <c r="J993" s="2">
        <v>45575</v>
      </c>
      <c r="K993" s="8">
        <f>(F993/G993)*100</f>
        <v>20.517942233054313</v>
      </c>
      <c r="L993" s="8">
        <f>(H993/G993)*100</f>
        <v>0.14811476378211161</v>
      </c>
    </row>
    <row r="994" spans="1:12" x14ac:dyDescent="0.3">
      <c r="A994" s="1" t="s">
        <v>1002</v>
      </c>
      <c r="B994" s="1" t="s">
        <v>22</v>
      </c>
      <c r="C994" s="1" t="s">
        <v>27</v>
      </c>
      <c r="D994" s="1" t="s">
        <v>32</v>
      </c>
      <c r="E994" s="35">
        <v>45555</v>
      </c>
      <c r="F994" s="1">
        <v>98036</v>
      </c>
      <c r="G994" s="1">
        <v>542885</v>
      </c>
      <c r="H994" s="3">
        <v>2046</v>
      </c>
      <c r="I994" s="1">
        <v>6</v>
      </c>
      <c r="J994" s="2">
        <v>45561</v>
      </c>
      <c r="K994" s="8">
        <f>(F994/G994)*100</f>
        <v>18.058336480101676</v>
      </c>
      <c r="L994" s="8">
        <f>(H994/G994)*100</f>
        <v>0.37687539718356561</v>
      </c>
    </row>
    <row r="995" spans="1:12" x14ac:dyDescent="0.3">
      <c r="A995" s="1" t="s">
        <v>1003</v>
      </c>
      <c r="B995" s="1" t="s">
        <v>24</v>
      </c>
      <c r="C995" s="1" t="s">
        <v>18</v>
      </c>
      <c r="D995" s="1" t="s">
        <v>32</v>
      </c>
      <c r="E995" s="35">
        <v>45556</v>
      </c>
      <c r="F995" s="1">
        <v>22563</v>
      </c>
      <c r="G995" s="1">
        <v>456338</v>
      </c>
      <c r="H995" s="3">
        <v>4230</v>
      </c>
      <c r="I995" s="1">
        <v>7</v>
      </c>
      <c r="J995" s="2">
        <v>45563</v>
      </c>
      <c r="K995" s="8">
        <f>(F995/G995)*100</f>
        <v>4.944361416318606</v>
      </c>
      <c r="L995" s="8">
        <f>(H995/G995)*100</f>
        <v>0.92694450166324083</v>
      </c>
    </row>
    <row r="996" spans="1:12" x14ac:dyDescent="0.3">
      <c r="A996" s="1" t="s">
        <v>1004</v>
      </c>
      <c r="B996" s="1" t="s">
        <v>14</v>
      </c>
      <c r="C996" s="1" t="s">
        <v>37</v>
      </c>
      <c r="D996" s="1" t="s">
        <v>12</v>
      </c>
      <c r="E996" s="35">
        <v>45557</v>
      </c>
      <c r="F996" s="1">
        <v>64470</v>
      </c>
      <c r="G996" s="1">
        <v>327764</v>
      </c>
      <c r="H996" s="3">
        <v>2838</v>
      </c>
      <c r="I996" s="1">
        <v>21</v>
      </c>
      <c r="J996" s="2">
        <v>45578</v>
      </c>
      <c r="K996" s="8">
        <f>(F996/G996)*100</f>
        <v>19.669640350984245</v>
      </c>
      <c r="L996" s="8">
        <f>(H996/G996)*100</f>
        <v>0.86586690423597468</v>
      </c>
    </row>
    <row r="997" spans="1:12" x14ac:dyDescent="0.3">
      <c r="A997" s="1" t="s">
        <v>1005</v>
      </c>
      <c r="B997" s="1" t="s">
        <v>14</v>
      </c>
      <c r="C997" s="1" t="s">
        <v>15</v>
      </c>
      <c r="D997" s="1" t="s">
        <v>28</v>
      </c>
      <c r="E997" s="35">
        <v>45558</v>
      </c>
      <c r="F997" s="1">
        <v>27888</v>
      </c>
      <c r="G997" s="1">
        <v>52993</v>
      </c>
      <c r="H997" s="3">
        <v>2628</v>
      </c>
      <c r="I997" s="1">
        <v>9</v>
      </c>
      <c r="J997" s="2">
        <v>45567</v>
      </c>
      <c r="K997" s="8">
        <f>(F997/G997)*100</f>
        <v>52.625818504330759</v>
      </c>
      <c r="L997" s="8">
        <f>(H997/G997)*100</f>
        <v>4.9591455475251447</v>
      </c>
    </row>
    <row r="998" spans="1:12" x14ac:dyDescent="0.3">
      <c r="A998" s="1" t="s">
        <v>1006</v>
      </c>
      <c r="B998" s="1" t="s">
        <v>22</v>
      </c>
      <c r="C998" s="1" t="s">
        <v>27</v>
      </c>
      <c r="D998" s="1" t="s">
        <v>19</v>
      </c>
      <c r="E998" s="35">
        <v>45559</v>
      </c>
      <c r="F998" s="1">
        <v>59515</v>
      </c>
      <c r="G998" s="1">
        <v>924889</v>
      </c>
      <c r="H998" s="3">
        <v>2787</v>
      </c>
      <c r="I998" s="1">
        <v>7</v>
      </c>
      <c r="J998" s="2">
        <v>45566</v>
      </c>
      <c r="K998" s="8">
        <f>(F998/G998)*100</f>
        <v>6.4348262332020383</v>
      </c>
      <c r="L998" s="8">
        <f>(H998/G998)*100</f>
        <v>0.30133345731217476</v>
      </c>
    </row>
    <row r="999" spans="1:12" x14ac:dyDescent="0.3">
      <c r="A999" s="1" t="s">
        <v>1007</v>
      </c>
      <c r="B999" s="1" t="s">
        <v>24</v>
      </c>
      <c r="C999" s="1" t="s">
        <v>15</v>
      </c>
      <c r="D999" s="1" t="s">
        <v>16</v>
      </c>
      <c r="E999" s="35">
        <v>45560</v>
      </c>
      <c r="F999" s="1">
        <v>25653</v>
      </c>
      <c r="G999" s="1">
        <v>879661</v>
      </c>
      <c r="H999" s="3">
        <v>4645</v>
      </c>
      <c r="I999" s="1">
        <v>15</v>
      </c>
      <c r="J999" s="2">
        <v>45575</v>
      </c>
      <c r="K999" s="8">
        <f>(F999/G999)*100</f>
        <v>2.9162370504091917</v>
      </c>
      <c r="L999" s="8">
        <f>(H999/G999)*100</f>
        <v>0.52804432616655739</v>
      </c>
    </row>
    <row r="1000" spans="1:12" x14ac:dyDescent="0.3">
      <c r="A1000" s="1" t="s">
        <v>1008</v>
      </c>
      <c r="B1000" s="1" t="s">
        <v>22</v>
      </c>
      <c r="C1000" s="1" t="s">
        <v>30</v>
      </c>
      <c r="D1000" s="1" t="s">
        <v>19</v>
      </c>
      <c r="E1000" s="35">
        <v>45561</v>
      </c>
      <c r="F1000" s="1">
        <v>62616</v>
      </c>
      <c r="G1000" s="1">
        <v>753385</v>
      </c>
      <c r="H1000" s="3">
        <v>3382</v>
      </c>
      <c r="I1000" s="1">
        <v>18</v>
      </c>
      <c r="J1000" s="2">
        <v>45579</v>
      </c>
      <c r="K1000" s="8">
        <f>(F1000/G1000)*100</f>
        <v>8.3112883850886341</v>
      </c>
      <c r="L1000" s="8">
        <f>(H1000/G1000)*100</f>
        <v>0.44890726520968699</v>
      </c>
    </row>
    <row r="1001" spans="1:12" x14ac:dyDescent="0.3">
      <c r="A1001" s="1" t="s">
        <v>1009</v>
      </c>
      <c r="B1001" s="1" t="s">
        <v>22</v>
      </c>
      <c r="C1001" s="1" t="s">
        <v>27</v>
      </c>
      <c r="D1001" s="1" t="s">
        <v>19</v>
      </c>
      <c r="E1001" s="35">
        <v>45562</v>
      </c>
      <c r="F1001" s="1">
        <v>76686</v>
      </c>
      <c r="G1001" s="1">
        <v>845576</v>
      </c>
      <c r="H1001" s="3">
        <v>2046</v>
      </c>
      <c r="I1001" s="1">
        <v>7</v>
      </c>
      <c r="J1001" s="2">
        <v>45569</v>
      </c>
      <c r="K1001" s="8">
        <f>(F1001/G1001)*100</f>
        <v>9.0690842691845557</v>
      </c>
      <c r="L1001" s="8">
        <f>(H1001/G1001)*100</f>
        <v>0.2419652402622591</v>
      </c>
    </row>
    <row r="1002" spans="1:12" x14ac:dyDescent="0.3">
      <c r="A1002" s="1" t="s">
        <v>1010</v>
      </c>
      <c r="B1002" s="1" t="s">
        <v>14</v>
      </c>
      <c r="C1002" s="1" t="s">
        <v>27</v>
      </c>
      <c r="D1002" s="1" t="s">
        <v>19</v>
      </c>
      <c r="E1002" s="35">
        <v>45563</v>
      </c>
      <c r="F1002" s="1">
        <v>57151</v>
      </c>
      <c r="G1002" s="1">
        <v>20715</v>
      </c>
      <c r="H1002" s="3">
        <v>3032</v>
      </c>
      <c r="I1002" s="1">
        <v>2</v>
      </c>
      <c r="J1002" s="2">
        <v>45565</v>
      </c>
      <c r="K1002" s="8">
        <f>(F1002/G1002)*100</f>
        <v>275.89186579773116</v>
      </c>
      <c r="L1002" s="8">
        <f>(H1002/G1002)*100</f>
        <v>14.636736664252956</v>
      </c>
    </row>
    <row r="1003" spans="1:12" x14ac:dyDescent="0.3">
      <c r="A1003" s="1" t="s">
        <v>1011</v>
      </c>
      <c r="B1003" s="1" t="s">
        <v>22</v>
      </c>
      <c r="C1003" s="1" t="s">
        <v>11</v>
      </c>
      <c r="D1003" s="1" t="s">
        <v>28</v>
      </c>
      <c r="E1003" s="35">
        <v>45564</v>
      </c>
      <c r="F1003" s="1">
        <v>75895</v>
      </c>
      <c r="G1003" s="1">
        <v>991422</v>
      </c>
      <c r="H1003" s="3">
        <v>3891</v>
      </c>
      <c r="I1003" s="1">
        <v>17</v>
      </c>
      <c r="J1003" s="2">
        <v>45581</v>
      </c>
      <c r="K1003" s="8">
        <f>(F1003/G1003)*100</f>
        <v>7.6551660140686817</v>
      </c>
      <c r="L1003" s="8">
        <f>(H1003/G1003)*100</f>
        <v>0.39246657830873233</v>
      </c>
    </row>
    <row r="1004" spans="1:12" x14ac:dyDescent="0.3">
      <c r="A1004" s="1" t="s">
        <v>1012</v>
      </c>
      <c r="B1004" s="1" t="s">
        <v>22</v>
      </c>
      <c r="C1004" s="1" t="s">
        <v>37</v>
      </c>
      <c r="D1004" s="1" t="s">
        <v>32</v>
      </c>
      <c r="E1004" s="35">
        <v>45565</v>
      </c>
      <c r="F1004" s="1">
        <v>82255</v>
      </c>
      <c r="G1004" s="1">
        <v>785007</v>
      </c>
      <c r="H1004" s="3">
        <v>10</v>
      </c>
      <c r="I1004" s="1">
        <v>17</v>
      </c>
      <c r="J1004" s="2">
        <v>45582</v>
      </c>
      <c r="K1004" s="8">
        <f>(F1004/G1004)*100</f>
        <v>10.478250512415812</v>
      </c>
      <c r="L1004" s="8">
        <f>(H1004/G1004)*100</f>
        <v>1.273873990932565E-3</v>
      </c>
    </row>
    <row r="1005" spans="1:12" x14ac:dyDescent="0.3">
      <c r="A1005" s="1" t="s">
        <v>1013</v>
      </c>
      <c r="B1005" s="1" t="s">
        <v>14</v>
      </c>
      <c r="C1005" s="1" t="s">
        <v>18</v>
      </c>
      <c r="D1005" s="1" t="s">
        <v>19</v>
      </c>
      <c r="E1005" s="35">
        <v>45566</v>
      </c>
      <c r="F1005" s="1">
        <v>24607</v>
      </c>
      <c r="G1005" s="1">
        <v>628814</v>
      </c>
      <c r="H1005" s="3">
        <v>1778</v>
      </c>
      <c r="I1005" s="1">
        <v>17</v>
      </c>
      <c r="J1005" s="2">
        <v>45583</v>
      </c>
      <c r="K1005" s="8">
        <f>(F1005/G1005)*100</f>
        <v>3.9132398451688415</v>
      </c>
      <c r="L1005" s="8">
        <f>(H1005/G1005)*100</f>
        <v>0.2827545188243264</v>
      </c>
    </row>
    <row r="1006" spans="1:12" x14ac:dyDescent="0.3">
      <c r="A1006" s="1" t="s">
        <v>1014</v>
      </c>
      <c r="B1006" s="1" t="s">
        <v>22</v>
      </c>
      <c r="C1006" s="1" t="s">
        <v>25</v>
      </c>
      <c r="D1006" s="1" t="s">
        <v>12</v>
      </c>
      <c r="E1006" s="35">
        <v>45567</v>
      </c>
      <c r="F1006" s="1">
        <v>58262</v>
      </c>
      <c r="G1006" s="1">
        <v>300799</v>
      </c>
      <c r="H1006" s="3">
        <v>190</v>
      </c>
      <c r="I1006" s="1">
        <v>5</v>
      </c>
      <c r="J1006" s="2">
        <v>45572</v>
      </c>
      <c r="K1006" s="8">
        <f>(F1006/G1006)*100</f>
        <v>19.369080349336269</v>
      </c>
      <c r="L1006" s="8">
        <f>(H1006/G1006)*100</f>
        <v>6.3165103607392317E-2</v>
      </c>
    </row>
    <row r="1007" spans="1:12" x14ac:dyDescent="0.3">
      <c r="A1007" s="1" t="s">
        <v>1015</v>
      </c>
      <c r="B1007" s="1" t="s">
        <v>24</v>
      </c>
      <c r="C1007" s="1" t="s">
        <v>27</v>
      </c>
      <c r="D1007" s="1" t="s">
        <v>28</v>
      </c>
      <c r="E1007" s="35">
        <v>45568</v>
      </c>
      <c r="F1007" s="1">
        <v>24626</v>
      </c>
      <c r="G1007" s="1">
        <v>571171</v>
      </c>
      <c r="H1007" s="3">
        <v>4382</v>
      </c>
      <c r="I1007" s="1">
        <v>1</v>
      </c>
      <c r="J1007" s="2">
        <v>45569</v>
      </c>
      <c r="K1007" s="8">
        <f>(F1007/G1007)*100</f>
        <v>4.3114934056525982</v>
      </c>
      <c r="L1007" s="8">
        <f>(H1007/G1007)*100</f>
        <v>0.76719581351294097</v>
      </c>
    </row>
    <row r="1008" spans="1:12" x14ac:dyDescent="0.3">
      <c r="A1008" s="1" t="s">
        <v>1016</v>
      </c>
      <c r="B1008" s="1" t="s">
        <v>22</v>
      </c>
      <c r="C1008" s="1" t="s">
        <v>25</v>
      </c>
      <c r="D1008" s="1" t="s">
        <v>28</v>
      </c>
      <c r="E1008" s="35">
        <v>45569</v>
      </c>
      <c r="F1008" s="1">
        <v>48969</v>
      </c>
      <c r="G1008" s="1">
        <v>219369</v>
      </c>
      <c r="H1008" s="3">
        <v>3238</v>
      </c>
      <c r="I1008" s="1">
        <v>14</v>
      </c>
      <c r="J1008" s="2">
        <v>45583</v>
      </c>
      <c r="K1008" s="8">
        <f>(F1008/G1008)*100</f>
        <v>22.322661816391559</v>
      </c>
      <c r="L1008" s="8">
        <f>(H1008/G1008)*100</f>
        <v>1.4760517666580053</v>
      </c>
    </row>
    <row r="1009" spans="1:12" x14ac:dyDescent="0.3">
      <c r="A1009" s="1" t="s">
        <v>1017</v>
      </c>
      <c r="B1009" s="1" t="s">
        <v>10</v>
      </c>
      <c r="C1009" s="1" t="s">
        <v>18</v>
      </c>
      <c r="D1009" s="1" t="s">
        <v>28</v>
      </c>
      <c r="E1009" s="35">
        <v>45570</v>
      </c>
      <c r="F1009" s="1">
        <v>94580</v>
      </c>
      <c r="G1009" s="1">
        <v>175391</v>
      </c>
      <c r="H1009" s="3">
        <v>2750</v>
      </c>
      <c r="I1009" s="1">
        <v>2</v>
      </c>
      <c r="J1009" s="2">
        <v>45572</v>
      </c>
      <c r="K1009" s="8">
        <f>(F1009/G1009)*100</f>
        <v>53.925229914875906</v>
      </c>
      <c r="L1009" s="8">
        <f>(H1009/G1009)*100</f>
        <v>1.5679253781550935</v>
      </c>
    </row>
    <row r="1010" spans="1:12" x14ac:dyDescent="0.3">
      <c r="A1010" s="1" t="s">
        <v>1018</v>
      </c>
      <c r="B1010" s="1" t="s">
        <v>14</v>
      </c>
      <c r="C1010" s="1" t="s">
        <v>15</v>
      </c>
      <c r="D1010" s="1" t="s">
        <v>12</v>
      </c>
      <c r="E1010" s="35">
        <v>45571</v>
      </c>
      <c r="F1010" s="1">
        <v>67950</v>
      </c>
      <c r="G1010" s="1">
        <v>259651</v>
      </c>
      <c r="H1010" s="3">
        <v>1306</v>
      </c>
      <c r="I1010" s="1">
        <v>4</v>
      </c>
      <c r="J1010" s="2">
        <v>45575</v>
      </c>
      <c r="K1010" s="8">
        <f>(F1010/G1010)*100</f>
        <v>26.169743232261766</v>
      </c>
      <c r="L1010" s="8">
        <f>(H1010/G1010)*100</f>
        <v>0.50298285005642185</v>
      </c>
    </row>
    <row r="1011" spans="1:12" x14ac:dyDescent="0.3">
      <c r="A1011" s="1" t="s">
        <v>1019</v>
      </c>
      <c r="B1011" s="1" t="s">
        <v>14</v>
      </c>
      <c r="C1011" s="1" t="s">
        <v>15</v>
      </c>
      <c r="D1011" s="1" t="s">
        <v>19</v>
      </c>
      <c r="E1011" s="35">
        <v>45572</v>
      </c>
      <c r="F1011" s="1">
        <v>69070</v>
      </c>
      <c r="G1011" s="1">
        <v>302234</v>
      </c>
      <c r="H1011" s="3">
        <v>969</v>
      </c>
      <c r="I1011" s="1">
        <v>17</v>
      </c>
      <c r="J1011" s="2">
        <v>45589</v>
      </c>
      <c r="K1011" s="8">
        <f>(F1011/G1011)*100</f>
        <v>22.853153516811478</v>
      </c>
      <c r="L1011" s="8">
        <f>(H1011/G1011)*100</f>
        <v>0.32061250554206344</v>
      </c>
    </row>
    <row r="1012" spans="1:12" x14ac:dyDescent="0.3">
      <c r="A1012" s="1" t="s">
        <v>1020</v>
      </c>
      <c r="B1012" s="1" t="s">
        <v>14</v>
      </c>
      <c r="C1012" s="1" t="s">
        <v>27</v>
      </c>
      <c r="D1012" s="1" t="s">
        <v>32</v>
      </c>
      <c r="E1012" s="35">
        <v>45573</v>
      </c>
      <c r="F1012" s="1">
        <v>26194</v>
      </c>
      <c r="G1012" s="1">
        <v>774483</v>
      </c>
      <c r="H1012" s="3">
        <v>2445</v>
      </c>
      <c r="I1012" s="1">
        <v>16</v>
      </c>
      <c r="J1012" s="2">
        <v>45589</v>
      </c>
      <c r="K1012" s="8">
        <f>(F1012/G1012)*100</f>
        <v>3.3821271738695362</v>
      </c>
      <c r="L1012" s="8">
        <f>(H1012/G1012)*100</f>
        <v>0.31569446973012966</v>
      </c>
    </row>
    <row r="1013" spans="1:12" x14ac:dyDescent="0.3">
      <c r="A1013" s="1" t="s">
        <v>1021</v>
      </c>
      <c r="B1013" s="1" t="s">
        <v>14</v>
      </c>
      <c r="C1013" s="1" t="s">
        <v>37</v>
      </c>
      <c r="D1013" s="1" t="s">
        <v>28</v>
      </c>
      <c r="E1013" s="35">
        <v>45574</v>
      </c>
      <c r="F1013" s="1">
        <v>7904</v>
      </c>
      <c r="G1013" s="1">
        <v>22548</v>
      </c>
      <c r="H1013" s="3">
        <v>77</v>
      </c>
      <c r="I1013" s="1">
        <v>1</v>
      </c>
      <c r="J1013" s="2">
        <v>45575</v>
      </c>
      <c r="K1013" s="8">
        <f>(F1013/G1013)*100</f>
        <v>35.05410679439418</v>
      </c>
      <c r="L1013" s="8">
        <f>(H1013/G1013)*100</f>
        <v>0.34149370232393117</v>
      </c>
    </row>
    <row r="1014" spans="1:12" x14ac:dyDescent="0.3">
      <c r="A1014" s="1" t="s">
        <v>1022</v>
      </c>
      <c r="B1014" s="1" t="s">
        <v>24</v>
      </c>
      <c r="C1014" s="1" t="s">
        <v>15</v>
      </c>
      <c r="D1014" s="1" t="s">
        <v>28</v>
      </c>
      <c r="E1014" s="35">
        <v>45575</v>
      </c>
      <c r="F1014" s="1">
        <v>49247</v>
      </c>
      <c r="G1014" s="1">
        <v>823477</v>
      </c>
      <c r="H1014" s="3">
        <v>1292</v>
      </c>
      <c r="I1014" s="1">
        <v>4</v>
      </c>
      <c r="J1014" s="2">
        <v>45579</v>
      </c>
      <c r="K1014" s="8">
        <f>(F1014/G1014)*100</f>
        <v>5.9803734651969638</v>
      </c>
      <c r="L1014" s="8">
        <f>(H1014/G1014)*100</f>
        <v>0.15689569957630875</v>
      </c>
    </row>
    <row r="1015" spans="1:12" x14ac:dyDescent="0.3">
      <c r="A1015" s="1" t="s">
        <v>1023</v>
      </c>
      <c r="B1015" s="1" t="s">
        <v>22</v>
      </c>
      <c r="C1015" s="1" t="s">
        <v>30</v>
      </c>
      <c r="D1015" s="1" t="s">
        <v>28</v>
      </c>
      <c r="E1015" s="35">
        <v>45576</v>
      </c>
      <c r="F1015" s="1">
        <v>21452</v>
      </c>
      <c r="G1015" s="1">
        <v>630310</v>
      </c>
      <c r="H1015" s="3">
        <v>663</v>
      </c>
      <c r="I1015" s="1">
        <v>16</v>
      </c>
      <c r="J1015" s="2">
        <v>45592</v>
      </c>
      <c r="K1015" s="8">
        <f>(F1015/G1015)*100</f>
        <v>3.4034046738906252</v>
      </c>
      <c r="L1015" s="8">
        <f>(H1015/G1015)*100</f>
        <v>0.10518633688185179</v>
      </c>
    </row>
    <row r="1016" spans="1:12" x14ac:dyDescent="0.3">
      <c r="A1016" s="1" t="s">
        <v>1024</v>
      </c>
      <c r="B1016" s="1" t="s">
        <v>22</v>
      </c>
      <c r="C1016" s="1" t="s">
        <v>37</v>
      </c>
      <c r="D1016" s="1" t="s">
        <v>12</v>
      </c>
      <c r="E1016" s="35">
        <v>45577</v>
      </c>
      <c r="F1016" s="1">
        <v>51315</v>
      </c>
      <c r="G1016" s="1">
        <v>256142</v>
      </c>
      <c r="H1016" s="3">
        <v>915</v>
      </c>
      <c r="I1016" s="1">
        <v>27</v>
      </c>
      <c r="J1016" s="2">
        <v>45604</v>
      </c>
      <c r="K1016" s="8">
        <f>(F1016/G1016)*100</f>
        <v>20.033809371364324</v>
      </c>
      <c r="L1016" s="8">
        <f>(H1016/G1016)*100</f>
        <v>0.35722372746367248</v>
      </c>
    </row>
    <row r="1017" spans="1:12" x14ac:dyDescent="0.3">
      <c r="A1017" s="1" t="s">
        <v>1025</v>
      </c>
      <c r="B1017" s="1" t="s">
        <v>14</v>
      </c>
      <c r="C1017" s="1" t="s">
        <v>11</v>
      </c>
      <c r="D1017" s="1" t="s">
        <v>32</v>
      </c>
      <c r="E1017" s="35">
        <v>45578</v>
      </c>
      <c r="F1017" s="1">
        <v>70315</v>
      </c>
      <c r="G1017" s="1">
        <v>846834</v>
      </c>
      <c r="H1017" s="3">
        <v>4815</v>
      </c>
      <c r="I1017" s="1">
        <v>20</v>
      </c>
      <c r="J1017" s="2">
        <v>45598</v>
      </c>
      <c r="K1017" s="8">
        <f>(F1017/G1017)*100</f>
        <v>8.3032802178467087</v>
      </c>
      <c r="L1017" s="8">
        <f>(H1017/G1017)*100</f>
        <v>0.56858841284124162</v>
      </c>
    </row>
    <row r="1018" spans="1:12" x14ac:dyDescent="0.3">
      <c r="A1018" s="1" t="s">
        <v>1026</v>
      </c>
      <c r="B1018" s="1" t="s">
        <v>10</v>
      </c>
      <c r="C1018" s="1" t="s">
        <v>25</v>
      </c>
      <c r="D1018" s="1" t="s">
        <v>19</v>
      </c>
      <c r="E1018" s="35">
        <v>45579</v>
      </c>
      <c r="F1018" s="1">
        <v>73541</v>
      </c>
      <c r="G1018" s="1">
        <v>94547</v>
      </c>
      <c r="H1018" s="3">
        <v>2012</v>
      </c>
      <c r="I1018" s="1">
        <v>14</v>
      </c>
      <c r="J1018" s="2">
        <v>45593</v>
      </c>
      <c r="K1018" s="8">
        <f>(F1018/G1018)*100</f>
        <v>77.782478555638988</v>
      </c>
      <c r="L1018" s="8">
        <f>(H1018/G1018)*100</f>
        <v>2.1280421377727476</v>
      </c>
    </row>
    <row r="1019" spans="1:12" x14ac:dyDescent="0.3">
      <c r="A1019" s="1" t="s">
        <v>1027</v>
      </c>
      <c r="B1019" s="1" t="s">
        <v>22</v>
      </c>
      <c r="C1019" s="1" t="s">
        <v>27</v>
      </c>
      <c r="D1019" s="1" t="s">
        <v>19</v>
      </c>
      <c r="E1019" s="35">
        <v>45580</v>
      </c>
      <c r="F1019" s="1">
        <v>31960</v>
      </c>
      <c r="G1019" s="1">
        <v>293661</v>
      </c>
      <c r="H1019" s="3">
        <v>429</v>
      </c>
      <c r="I1019" s="1">
        <v>23</v>
      </c>
      <c r="J1019" s="2">
        <v>45603</v>
      </c>
      <c r="K1019" s="8">
        <f>(F1019/G1019)*100</f>
        <v>10.88329740755497</v>
      </c>
      <c r="L1019" s="8">
        <f>(H1019/G1019)*100</f>
        <v>0.14608681438801882</v>
      </c>
    </row>
    <row r="1020" spans="1:12" x14ac:dyDescent="0.3">
      <c r="A1020" s="1" t="s">
        <v>1028</v>
      </c>
      <c r="B1020" s="1" t="s">
        <v>14</v>
      </c>
      <c r="C1020" s="1" t="s">
        <v>11</v>
      </c>
      <c r="D1020" s="1" t="s">
        <v>16</v>
      </c>
      <c r="E1020" s="35">
        <v>45581</v>
      </c>
      <c r="F1020" s="1">
        <v>24179</v>
      </c>
      <c r="G1020" s="1">
        <v>520700</v>
      </c>
      <c r="H1020" s="3">
        <v>2082</v>
      </c>
      <c r="I1020" s="1">
        <v>14</v>
      </c>
      <c r="J1020" s="2">
        <v>45595</v>
      </c>
      <c r="K1020" s="8">
        <f>(F1020/G1020)*100</f>
        <v>4.6435567505281359</v>
      </c>
      <c r="L1020" s="8">
        <f>(H1020/G1020)*100</f>
        <v>0.39984636066833112</v>
      </c>
    </row>
    <row r="1021" spans="1:12" x14ac:dyDescent="0.3">
      <c r="A1021" s="1" t="s">
        <v>1029</v>
      </c>
      <c r="B1021" s="1" t="s">
        <v>10</v>
      </c>
      <c r="C1021" s="1" t="s">
        <v>11</v>
      </c>
      <c r="D1021" s="1" t="s">
        <v>19</v>
      </c>
      <c r="E1021" s="35">
        <v>45582</v>
      </c>
      <c r="F1021" s="1">
        <v>82556</v>
      </c>
      <c r="G1021" s="1">
        <v>710493</v>
      </c>
      <c r="H1021" s="3">
        <v>700</v>
      </c>
      <c r="I1021" s="1">
        <v>28</v>
      </c>
      <c r="J1021" s="2">
        <v>45610</v>
      </c>
      <c r="K1021" s="8">
        <f>(F1021/G1021)*100</f>
        <v>11.619537419791609</v>
      </c>
      <c r="L1021" s="8">
        <f>(H1021/G1021)*100</f>
        <v>9.8523138158996645E-2</v>
      </c>
    </row>
    <row r="1022" spans="1:12" x14ac:dyDescent="0.3">
      <c r="A1022" s="1" t="s">
        <v>1030</v>
      </c>
      <c r="B1022" s="1" t="s">
        <v>10</v>
      </c>
      <c r="C1022" s="1" t="s">
        <v>25</v>
      </c>
      <c r="D1022" s="1" t="s">
        <v>19</v>
      </c>
      <c r="E1022" s="35">
        <v>45583</v>
      </c>
      <c r="F1022" s="1">
        <v>84862</v>
      </c>
      <c r="G1022" s="1">
        <v>901550</v>
      </c>
      <c r="H1022" s="3">
        <v>1658</v>
      </c>
      <c r="I1022" s="1">
        <v>25</v>
      </c>
      <c r="J1022" s="2">
        <v>45608</v>
      </c>
      <c r="K1022" s="8">
        <f>(F1022/G1022)*100</f>
        <v>9.412900005546005</v>
      </c>
      <c r="L1022" s="8">
        <f>(H1022/G1022)*100</f>
        <v>0.18390549609006709</v>
      </c>
    </row>
    <row r="1023" spans="1:12" x14ac:dyDescent="0.3">
      <c r="A1023" s="1" t="s">
        <v>1031</v>
      </c>
      <c r="B1023" s="1" t="s">
        <v>24</v>
      </c>
      <c r="C1023" s="1" t="s">
        <v>25</v>
      </c>
      <c r="D1023" s="1" t="s">
        <v>12</v>
      </c>
      <c r="E1023" s="35">
        <v>45584</v>
      </c>
      <c r="F1023" s="1">
        <v>76110</v>
      </c>
      <c r="G1023" s="1">
        <v>892070</v>
      </c>
      <c r="H1023" s="3">
        <v>2419</v>
      </c>
      <c r="I1023" s="1">
        <v>24</v>
      </c>
      <c r="J1023" s="2">
        <v>45608</v>
      </c>
      <c r="K1023" s="8">
        <f>(F1023/G1023)*100</f>
        <v>8.5318416716176984</v>
      </c>
      <c r="L1023" s="8">
        <f>(H1023/G1023)*100</f>
        <v>0.27116706088087261</v>
      </c>
    </row>
    <row r="1024" spans="1:12" x14ac:dyDescent="0.3">
      <c r="A1024" s="1" t="s">
        <v>1032</v>
      </c>
      <c r="B1024" s="1" t="s">
        <v>14</v>
      </c>
      <c r="C1024" s="1" t="s">
        <v>18</v>
      </c>
      <c r="D1024" s="1" t="s">
        <v>32</v>
      </c>
      <c r="E1024" s="35">
        <v>45585</v>
      </c>
      <c r="F1024" s="1">
        <v>61535</v>
      </c>
      <c r="G1024" s="1">
        <v>637899</v>
      </c>
      <c r="H1024" s="3">
        <v>2292</v>
      </c>
      <c r="I1024" s="1">
        <v>18</v>
      </c>
      <c r="J1024" s="2">
        <v>45603</v>
      </c>
      <c r="K1024" s="8">
        <f>(F1024/G1024)*100</f>
        <v>9.6465114383311477</v>
      </c>
      <c r="L1024" s="8">
        <f>(H1024/G1024)*100</f>
        <v>0.35930452940042235</v>
      </c>
    </row>
    <row r="1025" spans="1:12" x14ac:dyDescent="0.3">
      <c r="A1025" s="1" t="s">
        <v>1033</v>
      </c>
      <c r="B1025" s="1" t="s">
        <v>14</v>
      </c>
      <c r="C1025" s="1" t="s">
        <v>30</v>
      </c>
      <c r="D1025" s="1" t="s">
        <v>16</v>
      </c>
      <c r="E1025" s="35">
        <v>45586</v>
      </c>
      <c r="F1025" s="1">
        <v>73544</v>
      </c>
      <c r="G1025" s="1">
        <v>464292</v>
      </c>
      <c r="H1025" s="3">
        <v>65</v>
      </c>
      <c r="I1025" s="1">
        <v>18</v>
      </c>
      <c r="J1025" s="2">
        <v>45604</v>
      </c>
      <c r="K1025" s="8">
        <f>(F1025/G1025)*100</f>
        <v>15.840031704186158</v>
      </c>
      <c r="L1025" s="8">
        <f>(H1025/G1025)*100</f>
        <v>1.3999810464104485E-2</v>
      </c>
    </row>
    <row r="1026" spans="1:12" x14ac:dyDescent="0.3">
      <c r="A1026" s="1" t="s">
        <v>1034</v>
      </c>
      <c r="B1026" s="1" t="s">
        <v>22</v>
      </c>
      <c r="C1026" s="1" t="s">
        <v>15</v>
      </c>
      <c r="D1026" s="1" t="s">
        <v>12</v>
      </c>
      <c r="E1026" s="35">
        <v>45587</v>
      </c>
      <c r="F1026" s="1">
        <v>61844</v>
      </c>
      <c r="G1026" s="1">
        <v>214838</v>
      </c>
      <c r="H1026" s="3">
        <v>4717</v>
      </c>
      <c r="I1026" s="1">
        <v>11</v>
      </c>
      <c r="J1026" s="2">
        <v>45598</v>
      </c>
      <c r="K1026" s="8">
        <f>(F1026/G1026)*100</f>
        <v>28.786341336262673</v>
      </c>
      <c r="L1026" s="8">
        <f>(H1026/G1026)*100</f>
        <v>2.1956078533592756</v>
      </c>
    </row>
    <row r="1027" spans="1:12" x14ac:dyDescent="0.3">
      <c r="A1027" s="1" t="s">
        <v>1035</v>
      </c>
      <c r="B1027" s="1" t="s">
        <v>24</v>
      </c>
      <c r="C1027" s="1" t="s">
        <v>15</v>
      </c>
      <c r="D1027" s="1" t="s">
        <v>32</v>
      </c>
      <c r="E1027" s="35">
        <v>45588</v>
      </c>
      <c r="F1027" s="1">
        <v>44670</v>
      </c>
      <c r="G1027" s="1">
        <v>767421</v>
      </c>
      <c r="H1027" s="3">
        <v>1439</v>
      </c>
      <c r="I1027" s="1">
        <v>24</v>
      </c>
      <c r="J1027" s="2">
        <v>45612</v>
      </c>
      <c r="K1027" s="8">
        <f>(F1027/G1027)*100</f>
        <v>5.8207945834164043</v>
      </c>
      <c r="L1027" s="8">
        <f>(H1027/G1027)*100</f>
        <v>0.18751115750025082</v>
      </c>
    </row>
    <row r="1028" spans="1:12" x14ac:dyDescent="0.3">
      <c r="A1028" s="1" t="s">
        <v>1036</v>
      </c>
      <c r="B1028" s="1" t="s">
        <v>22</v>
      </c>
      <c r="C1028" s="1" t="s">
        <v>18</v>
      </c>
      <c r="D1028" s="1" t="s">
        <v>12</v>
      </c>
      <c r="E1028" s="35">
        <v>45589</v>
      </c>
      <c r="F1028" s="1">
        <v>74456</v>
      </c>
      <c r="G1028" s="1">
        <v>293489</v>
      </c>
      <c r="H1028" s="3">
        <v>109</v>
      </c>
      <c r="I1028" s="1">
        <v>18</v>
      </c>
      <c r="J1028" s="2">
        <v>45607</v>
      </c>
      <c r="K1028" s="8">
        <f>(F1028/G1028)*100</f>
        <v>25.369264265440954</v>
      </c>
      <c r="L1028" s="8">
        <f>(H1028/G1028)*100</f>
        <v>3.7139381714476526E-2</v>
      </c>
    </row>
    <row r="1029" spans="1:12" x14ac:dyDescent="0.3">
      <c r="A1029" s="1" t="s">
        <v>1037</v>
      </c>
      <c r="B1029" s="1" t="s">
        <v>10</v>
      </c>
      <c r="C1029" s="1" t="s">
        <v>37</v>
      </c>
      <c r="D1029" s="1" t="s">
        <v>16</v>
      </c>
      <c r="E1029" s="35">
        <v>45590</v>
      </c>
      <c r="F1029" s="1">
        <v>28617</v>
      </c>
      <c r="G1029" s="1">
        <v>733903</v>
      </c>
      <c r="H1029" s="3">
        <v>2547</v>
      </c>
      <c r="I1029" s="1">
        <v>10</v>
      </c>
      <c r="J1029" s="2">
        <v>45600</v>
      </c>
      <c r="K1029" s="8">
        <f>(F1029/G1029)*100</f>
        <v>3.8992891431156433</v>
      </c>
      <c r="L1029" s="8">
        <f>(H1029/G1029)*100</f>
        <v>0.34704858816492101</v>
      </c>
    </row>
    <row r="1030" spans="1:12" x14ac:dyDescent="0.3">
      <c r="A1030" s="1" t="s">
        <v>1038</v>
      </c>
      <c r="B1030" s="1" t="s">
        <v>14</v>
      </c>
      <c r="C1030" s="1" t="s">
        <v>37</v>
      </c>
      <c r="D1030" s="1" t="s">
        <v>32</v>
      </c>
      <c r="E1030" s="35">
        <v>45591</v>
      </c>
      <c r="F1030" s="1">
        <v>79602</v>
      </c>
      <c r="G1030" s="1">
        <v>344484</v>
      </c>
      <c r="H1030" s="3">
        <v>404</v>
      </c>
      <c r="I1030" s="1">
        <v>2</v>
      </c>
      <c r="J1030" s="2">
        <v>45593</v>
      </c>
      <c r="K1030" s="8">
        <f>(F1030/G1030)*100</f>
        <v>23.107604417041138</v>
      </c>
      <c r="L1030" s="8">
        <f>(H1030/G1030)*100</f>
        <v>0.11727685465798121</v>
      </c>
    </row>
    <row r="1031" spans="1:12" x14ac:dyDescent="0.3">
      <c r="A1031" s="1" t="s">
        <v>1039</v>
      </c>
      <c r="B1031" s="1" t="s">
        <v>14</v>
      </c>
      <c r="C1031" s="1" t="s">
        <v>27</v>
      </c>
      <c r="D1031" s="1" t="s">
        <v>12</v>
      </c>
      <c r="E1031" s="35">
        <v>45592</v>
      </c>
      <c r="F1031" s="1">
        <v>17363</v>
      </c>
      <c r="G1031" s="1">
        <v>228642</v>
      </c>
      <c r="H1031" s="3">
        <v>3722</v>
      </c>
      <c r="I1031" s="1">
        <v>20</v>
      </c>
      <c r="J1031" s="2">
        <v>45612</v>
      </c>
      <c r="K1031" s="8">
        <f>(F1031/G1031)*100</f>
        <v>7.5939678624224767</v>
      </c>
      <c r="L1031" s="8">
        <f>(H1031/G1031)*100</f>
        <v>1.6278723943982296</v>
      </c>
    </row>
    <row r="1032" spans="1:12" x14ac:dyDescent="0.3">
      <c r="A1032" s="1" t="s">
        <v>1040</v>
      </c>
      <c r="B1032" s="1" t="s">
        <v>10</v>
      </c>
      <c r="C1032" s="1" t="s">
        <v>25</v>
      </c>
      <c r="D1032" s="1" t="s">
        <v>19</v>
      </c>
      <c r="E1032" s="35">
        <v>45593</v>
      </c>
      <c r="F1032" s="1">
        <v>57885</v>
      </c>
      <c r="G1032" s="1">
        <v>615330</v>
      </c>
      <c r="H1032" s="3">
        <v>4497</v>
      </c>
      <c r="I1032" s="1">
        <v>9</v>
      </c>
      <c r="J1032" s="2">
        <v>45602</v>
      </c>
      <c r="K1032" s="8">
        <f>(F1032/G1032)*100</f>
        <v>9.4071473843303597</v>
      </c>
      <c r="L1032" s="8">
        <f>(H1032/G1032)*100</f>
        <v>0.73082736092828238</v>
      </c>
    </row>
    <row r="1033" spans="1:12" x14ac:dyDescent="0.3">
      <c r="A1033" s="1" t="s">
        <v>1041</v>
      </c>
      <c r="B1033" s="1" t="s">
        <v>14</v>
      </c>
      <c r="C1033" s="1" t="s">
        <v>11</v>
      </c>
      <c r="D1033" s="1" t="s">
        <v>12</v>
      </c>
      <c r="E1033" s="35">
        <v>45594</v>
      </c>
      <c r="F1033" s="1">
        <v>32595</v>
      </c>
      <c r="G1033" s="1">
        <v>290299</v>
      </c>
      <c r="H1033" s="3">
        <v>3546</v>
      </c>
      <c r="I1033" s="1">
        <v>28</v>
      </c>
      <c r="J1033" s="2">
        <v>45622</v>
      </c>
      <c r="K1033" s="8">
        <f>(F1033/G1033)*100</f>
        <v>11.228078636164781</v>
      </c>
      <c r="L1033" s="8">
        <f>(H1033/G1033)*100</f>
        <v>1.2214992128805129</v>
      </c>
    </row>
    <row r="1034" spans="1:12" x14ac:dyDescent="0.3">
      <c r="A1034" s="1" t="s">
        <v>1042</v>
      </c>
      <c r="B1034" s="1" t="s">
        <v>24</v>
      </c>
      <c r="C1034" s="1" t="s">
        <v>25</v>
      </c>
      <c r="D1034" s="1" t="s">
        <v>28</v>
      </c>
      <c r="E1034" s="35">
        <v>45595</v>
      </c>
      <c r="F1034" s="1">
        <v>53278</v>
      </c>
      <c r="G1034" s="1">
        <v>538349</v>
      </c>
      <c r="H1034" s="3">
        <v>168</v>
      </c>
      <c r="I1034" s="1">
        <v>12</v>
      </c>
      <c r="J1034" s="2">
        <v>45607</v>
      </c>
      <c r="K1034" s="8">
        <f>(F1034/G1034)*100</f>
        <v>9.8965540940913801</v>
      </c>
      <c r="L1034" s="8">
        <f>(H1034/G1034)*100</f>
        <v>3.1206522163132092E-2</v>
      </c>
    </row>
    <row r="1035" spans="1:12" x14ac:dyDescent="0.3">
      <c r="A1035" s="1" t="s">
        <v>1043</v>
      </c>
      <c r="B1035" s="1" t="s">
        <v>14</v>
      </c>
      <c r="C1035" s="1" t="s">
        <v>27</v>
      </c>
      <c r="D1035" s="1" t="s">
        <v>32</v>
      </c>
      <c r="E1035" s="35">
        <v>45596</v>
      </c>
      <c r="F1035" s="1">
        <v>72450</v>
      </c>
      <c r="G1035" s="1">
        <v>862362</v>
      </c>
      <c r="H1035" s="3">
        <v>2193</v>
      </c>
      <c r="I1035" s="1">
        <v>1</v>
      </c>
      <c r="J1035" s="2">
        <v>45597</v>
      </c>
      <c r="K1035" s="8">
        <f>(F1035/G1035)*100</f>
        <v>8.4013442150744115</v>
      </c>
      <c r="L1035" s="8">
        <f>(H1035/G1035)*100</f>
        <v>0.25430155781446773</v>
      </c>
    </row>
    <row r="1036" spans="1:12" x14ac:dyDescent="0.3">
      <c r="A1036" s="1" t="s">
        <v>1044</v>
      </c>
      <c r="B1036" s="1" t="s">
        <v>14</v>
      </c>
      <c r="C1036" s="1" t="s">
        <v>25</v>
      </c>
      <c r="D1036" s="1" t="s">
        <v>28</v>
      </c>
      <c r="E1036" s="35">
        <v>45597</v>
      </c>
      <c r="F1036" s="1">
        <v>97330</v>
      </c>
      <c r="G1036" s="1">
        <v>563023</v>
      </c>
      <c r="H1036" s="3">
        <v>3833</v>
      </c>
      <c r="I1036" s="1">
        <v>19</v>
      </c>
      <c r="J1036" s="2">
        <v>45616</v>
      </c>
      <c r="K1036" s="8">
        <f>(F1036/G1036)*100</f>
        <v>17.287038007328299</v>
      </c>
      <c r="L1036" s="8">
        <f>(H1036/G1036)*100</f>
        <v>0.68078923951597003</v>
      </c>
    </row>
    <row r="1037" spans="1:12" x14ac:dyDescent="0.3">
      <c r="A1037" s="1" t="s">
        <v>1045</v>
      </c>
      <c r="B1037" s="1" t="s">
        <v>22</v>
      </c>
      <c r="C1037" s="1" t="s">
        <v>37</v>
      </c>
      <c r="D1037" s="1" t="s">
        <v>12</v>
      </c>
      <c r="E1037" s="35">
        <v>45598</v>
      </c>
      <c r="F1037" s="1">
        <v>92953</v>
      </c>
      <c r="G1037" s="1">
        <v>366478</v>
      </c>
      <c r="H1037" s="3">
        <v>895</v>
      </c>
      <c r="I1037" s="1">
        <v>17</v>
      </c>
      <c r="J1037" s="2">
        <v>45615</v>
      </c>
      <c r="K1037" s="8">
        <f>(F1037/G1037)*100</f>
        <v>25.363869045345151</v>
      </c>
      <c r="L1037" s="8">
        <f>(H1037/G1037)*100</f>
        <v>0.24421656961673005</v>
      </c>
    </row>
    <row r="1038" spans="1:12" x14ac:dyDescent="0.3">
      <c r="A1038" s="1" t="s">
        <v>1046</v>
      </c>
      <c r="B1038" s="1" t="s">
        <v>14</v>
      </c>
      <c r="C1038" s="1" t="s">
        <v>37</v>
      </c>
      <c r="D1038" s="1" t="s">
        <v>28</v>
      </c>
      <c r="E1038" s="35">
        <v>45599</v>
      </c>
      <c r="F1038" s="1">
        <v>31681</v>
      </c>
      <c r="G1038" s="1">
        <v>435815</v>
      </c>
      <c r="H1038" s="3">
        <v>3635</v>
      </c>
      <c r="I1038" s="1">
        <v>22</v>
      </c>
      <c r="J1038" s="2">
        <v>45621</v>
      </c>
      <c r="K1038" s="8">
        <f>(F1038/G1038)*100</f>
        <v>7.2693688835859245</v>
      </c>
      <c r="L1038" s="8">
        <f>(H1038/G1038)*100</f>
        <v>0.83406950196757801</v>
      </c>
    </row>
    <row r="1039" spans="1:12" x14ac:dyDescent="0.3">
      <c r="A1039" s="1" t="s">
        <v>1047</v>
      </c>
      <c r="B1039" s="1" t="s">
        <v>14</v>
      </c>
      <c r="C1039" s="1" t="s">
        <v>11</v>
      </c>
      <c r="D1039" s="1" t="s">
        <v>12</v>
      </c>
      <c r="E1039" s="35">
        <v>45600</v>
      </c>
      <c r="F1039" s="1">
        <v>11880</v>
      </c>
      <c r="G1039" s="1">
        <v>188042</v>
      </c>
      <c r="H1039" s="3">
        <v>2271</v>
      </c>
      <c r="I1039" s="1">
        <v>5</v>
      </c>
      <c r="J1039" s="2">
        <v>45605</v>
      </c>
      <c r="K1039" s="8">
        <f>(F1039/G1039)*100</f>
        <v>6.3177375267227536</v>
      </c>
      <c r="L1039" s="8">
        <f>(H1039/G1039)*100</f>
        <v>1.2077089160932131</v>
      </c>
    </row>
    <row r="1040" spans="1:12" x14ac:dyDescent="0.3">
      <c r="A1040" s="1" t="s">
        <v>1048</v>
      </c>
      <c r="B1040" s="1" t="s">
        <v>22</v>
      </c>
      <c r="C1040" s="1" t="s">
        <v>37</v>
      </c>
      <c r="D1040" s="1" t="s">
        <v>28</v>
      </c>
      <c r="E1040" s="35">
        <v>45601</v>
      </c>
      <c r="F1040" s="1">
        <v>24377</v>
      </c>
      <c r="G1040" s="1">
        <v>209808</v>
      </c>
      <c r="H1040" s="3">
        <v>3366</v>
      </c>
      <c r="I1040" s="1">
        <v>25</v>
      </c>
      <c r="J1040" s="2">
        <v>45626</v>
      </c>
      <c r="K1040" s="8">
        <f>(F1040/G1040)*100</f>
        <v>11.618718066041334</v>
      </c>
      <c r="L1040" s="8">
        <f>(H1040/G1040)*100</f>
        <v>1.6043239533287579</v>
      </c>
    </row>
    <row r="1041" spans="1:12" x14ac:dyDescent="0.3">
      <c r="A1041" s="1" t="s">
        <v>1049</v>
      </c>
      <c r="B1041" s="1" t="s">
        <v>22</v>
      </c>
      <c r="C1041" s="1" t="s">
        <v>18</v>
      </c>
      <c r="D1041" s="1" t="s">
        <v>28</v>
      </c>
      <c r="E1041" s="35">
        <v>45602</v>
      </c>
      <c r="F1041" s="1">
        <v>72152</v>
      </c>
      <c r="G1041" s="1">
        <v>418051</v>
      </c>
      <c r="H1041" s="3">
        <v>4337</v>
      </c>
      <c r="I1041" s="1">
        <v>21</v>
      </c>
      <c r="J1041" s="2">
        <v>45623</v>
      </c>
      <c r="K1041" s="8">
        <f>(F1041/G1041)*100</f>
        <v>17.259138239114368</v>
      </c>
      <c r="L1041" s="8">
        <f>(H1041/G1041)*100</f>
        <v>1.0374332318305661</v>
      </c>
    </row>
    <row r="1042" spans="1:12" x14ac:dyDescent="0.3">
      <c r="A1042" s="1" t="s">
        <v>1050</v>
      </c>
      <c r="B1042" s="1" t="s">
        <v>14</v>
      </c>
      <c r="C1042" s="1" t="s">
        <v>15</v>
      </c>
      <c r="D1042" s="1" t="s">
        <v>16</v>
      </c>
      <c r="E1042" s="35">
        <v>45603</v>
      </c>
      <c r="F1042" s="1">
        <v>32278</v>
      </c>
      <c r="G1042" s="1">
        <v>949979</v>
      </c>
      <c r="H1042" s="3">
        <v>314</v>
      </c>
      <c r="I1042" s="1">
        <v>6</v>
      </c>
      <c r="J1042" s="2">
        <v>45609</v>
      </c>
      <c r="K1042" s="8">
        <f>(F1042/G1042)*100</f>
        <v>3.3977593188902069</v>
      </c>
      <c r="L1042" s="8">
        <f>(H1042/G1042)*100</f>
        <v>3.3053362232217769E-2</v>
      </c>
    </row>
    <row r="1043" spans="1:12" x14ac:dyDescent="0.3">
      <c r="A1043" s="1" t="s">
        <v>1051</v>
      </c>
      <c r="B1043" s="1" t="s">
        <v>14</v>
      </c>
      <c r="C1043" s="1" t="s">
        <v>30</v>
      </c>
      <c r="D1043" s="1" t="s">
        <v>19</v>
      </c>
      <c r="E1043" s="35">
        <v>45604</v>
      </c>
      <c r="F1043" s="1">
        <v>68341</v>
      </c>
      <c r="G1043" s="1">
        <v>312578</v>
      </c>
      <c r="H1043" s="3">
        <v>3482</v>
      </c>
      <c r="I1043" s="1">
        <v>14</v>
      </c>
      <c r="J1043" s="2">
        <v>45618</v>
      </c>
      <c r="K1043" s="8">
        <f>(F1043/G1043)*100</f>
        <v>21.863662829757693</v>
      </c>
      <c r="L1043" s="8">
        <f>(H1043/G1043)*100</f>
        <v>1.113961955096008</v>
      </c>
    </row>
    <row r="1044" spans="1:12" x14ac:dyDescent="0.3">
      <c r="A1044" s="1" t="s">
        <v>1052</v>
      </c>
      <c r="B1044" s="1" t="s">
        <v>14</v>
      </c>
      <c r="C1044" s="1" t="s">
        <v>25</v>
      </c>
      <c r="D1044" s="1" t="s">
        <v>12</v>
      </c>
      <c r="E1044" s="35">
        <v>45605</v>
      </c>
      <c r="F1044" s="1">
        <v>79804</v>
      </c>
      <c r="G1044" s="1">
        <v>806063</v>
      </c>
      <c r="H1044" s="3">
        <v>4279</v>
      </c>
      <c r="I1044" s="1">
        <v>6</v>
      </c>
      <c r="J1044" s="2">
        <v>45611</v>
      </c>
      <c r="K1044" s="8">
        <f>(F1044/G1044)*100</f>
        <v>9.900466836959394</v>
      </c>
      <c r="L1044" s="8">
        <f>(H1044/G1044)*100</f>
        <v>0.53085180686869393</v>
      </c>
    </row>
    <row r="1045" spans="1:12" x14ac:dyDescent="0.3">
      <c r="A1045" s="1" t="s">
        <v>1053</v>
      </c>
      <c r="B1045" s="1" t="s">
        <v>22</v>
      </c>
      <c r="C1045" s="1" t="s">
        <v>15</v>
      </c>
      <c r="D1045" s="1" t="s">
        <v>16</v>
      </c>
      <c r="E1045" s="35">
        <v>45606</v>
      </c>
      <c r="F1045" s="1">
        <v>24817</v>
      </c>
      <c r="G1045" s="1">
        <v>209006</v>
      </c>
      <c r="H1045" s="3">
        <v>453</v>
      </c>
      <c r="I1045" s="1">
        <v>23</v>
      </c>
      <c r="J1045" s="2">
        <v>45629</v>
      </c>
      <c r="K1045" s="8">
        <f>(F1045/G1045)*100</f>
        <v>11.873821804158732</v>
      </c>
      <c r="L1045" s="8">
        <f>(H1045/G1045)*100</f>
        <v>0.21674018927686287</v>
      </c>
    </row>
    <row r="1046" spans="1:12" x14ac:dyDescent="0.3">
      <c r="A1046" s="1" t="s">
        <v>1054</v>
      </c>
      <c r="B1046" s="1" t="s">
        <v>22</v>
      </c>
      <c r="C1046" s="1" t="s">
        <v>27</v>
      </c>
      <c r="D1046" s="1" t="s">
        <v>12</v>
      </c>
      <c r="E1046" s="35">
        <v>45607</v>
      </c>
      <c r="F1046" s="1">
        <v>50816</v>
      </c>
      <c r="G1046" s="1">
        <v>333523</v>
      </c>
      <c r="H1046" s="3">
        <v>2167</v>
      </c>
      <c r="I1046" s="1">
        <v>29</v>
      </c>
      <c r="J1046" s="2">
        <v>45636</v>
      </c>
      <c r="K1046" s="8">
        <f>(F1046/G1046)*100</f>
        <v>15.236130641664895</v>
      </c>
      <c r="L1046" s="8">
        <f>(H1046/G1046)*100</f>
        <v>0.64973030345733285</v>
      </c>
    </row>
    <row r="1047" spans="1:12" x14ac:dyDescent="0.3">
      <c r="A1047" s="1" t="s">
        <v>1055</v>
      </c>
      <c r="B1047" s="1" t="s">
        <v>22</v>
      </c>
      <c r="C1047" s="1" t="s">
        <v>18</v>
      </c>
      <c r="D1047" s="1" t="s">
        <v>28</v>
      </c>
      <c r="E1047" s="35">
        <v>45608</v>
      </c>
      <c r="F1047" s="1">
        <v>84200</v>
      </c>
      <c r="G1047" s="1">
        <v>887944</v>
      </c>
      <c r="H1047" s="3">
        <v>2539</v>
      </c>
      <c r="I1047" s="1">
        <v>9</v>
      </c>
      <c r="J1047" s="2">
        <v>45617</v>
      </c>
      <c r="K1047" s="8">
        <f>(F1047/G1047)*100</f>
        <v>9.4825799825214201</v>
      </c>
      <c r="L1047" s="8">
        <f>(H1047/G1047)*100</f>
        <v>0.28594145576748087</v>
      </c>
    </row>
    <row r="1048" spans="1:12" x14ac:dyDescent="0.3">
      <c r="A1048" s="1" t="s">
        <v>1056</v>
      </c>
      <c r="B1048" s="1" t="s">
        <v>10</v>
      </c>
      <c r="C1048" s="1" t="s">
        <v>27</v>
      </c>
      <c r="D1048" s="1" t="s">
        <v>19</v>
      </c>
      <c r="E1048" s="35">
        <v>45609</v>
      </c>
      <c r="F1048" s="1">
        <v>19468</v>
      </c>
      <c r="G1048" s="1">
        <v>764568</v>
      </c>
      <c r="H1048" s="3">
        <v>2730</v>
      </c>
      <c r="I1048" s="1">
        <v>28</v>
      </c>
      <c r="J1048" s="2">
        <v>45637</v>
      </c>
      <c r="K1048" s="8">
        <f>(F1048/G1048)*100</f>
        <v>2.5462744974940095</v>
      </c>
      <c r="L1048" s="8">
        <f>(H1048/G1048)*100</f>
        <v>0.35706438145462532</v>
      </c>
    </row>
    <row r="1049" spans="1:12" x14ac:dyDescent="0.3">
      <c r="A1049" s="1" t="s">
        <v>1057</v>
      </c>
      <c r="B1049" s="1" t="s">
        <v>10</v>
      </c>
      <c r="C1049" s="1" t="s">
        <v>18</v>
      </c>
      <c r="D1049" s="1" t="s">
        <v>12</v>
      </c>
      <c r="E1049" s="35">
        <v>45610</v>
      </c>
      <c r="F1049" s="1">
        <v>719</v>
      </c>
      <c r="G1049" s="1">
        <v>677206</v>
      </c>
      <c r="H1049" s="3">
        <v>4880</v>
      </c>
      <c r="I1049" s="1">
        <v>4</v>
      </c>
      <c r="J1049" s="2">
        <v>45614</v>
      </c>
      <c r="K1049" s="8">
        <f>(F1049/G1049)*100</f>
        <v>0.10617153421558581</v>
      </c>
      <c r="L1049" s="8">
        <f>(H1049/G1049)*100</f>
        <v>0.72060790955780074</v>
      </c>
    </row>
    <row r="1050" spans="1:12" x14ac:dyDescent="0.3">
      <c r="A1050" s="1" t="s">
        <v>1058</v>
      </c>
      <c r="B1050" s="1" t="s">
        <v>22</v>
      </c>
      <c r="C1050" s="1" t="s">
        <v>18</v>
      </c>
      <c r="D1050" s="1" t="s">
        <v>32</v>
      </c>
      <c r="E1050" s="35">
        <v>45611</v>
      </c>
      <c r="F1050" s="1">
        <v>94947</v>
      </c>
      <c r="G1050" s="1">
        <v>704081</v>
      </c>
      <c r="H1050" s="3">
        <v>2</v>
      </c>
      <c r="I1050" s="1">
        <v>25</v>
      </c>
      <c r="J1050" s="2">
        <v>45636</v>
      </c>
      <c r="K1050" s="8">
        <f>(F1050/G1050)*100</f>
        <v>13.485238204127082</v>
      </c>
      <c r="L1050" s="8">
        <f>(H1050/G1050)*100</f>
        <v>2.840582262552178E-4</v>
      </c>
    </row>
    <row r="1051" spans="1:12" x14ac:dyDescent="0.3">
      <c r="A1051" s="1" t="s">
        <v>1059</v>
      </c>
      <c r="B1051" s="1" t="s">
        <v>14</v>
      </c>
      <c r="C1051" s="1" t="s">
        <v>18</v>
      </c>
      <c r="D1051" s="1" t="s">
        <v>12</v>
      </c>
      <c r="E1051" s="35">
        <v>45612</v>
      </c>
      <c r="F1051" s="1">
        <v>93134</v>
      </c>
      <c r="G1051" s="1">
        <v>210252</v>
      </c>
      <c r="H1051" s="3">
        <v>764</v>
      </c>
      <c r="I1051" s="1">
        <v>24</v>
      </c>
      <c r="J1051" s="2">
        <v>45636</v>
      </c>
      <c r="K1051" s="8">
        <f>(F1051/G1051)*100</f>
        <v>44.296368167722541</v>
      </c>
      <c r="L1051" s="8">
        <f>(H1051/G1051)*100</f>
        <v>0.36337347563875727</v>
      </c>
    </row>
    <row r="1052" spans="1:12" x14ac:dyDescent="0.3">
      <c r="A1052" s="1" t="s">
        <v>1060</v>
      </c>
      <c r="B1052" s="1" t="s">
        <v>22</v>
      </c>
      <c r="C1052" s="1" t="s">
        <v>30</v>
      </c>
      <c r="D1052" s="1" t="s">
        <v>28</v>
      </c>
      <c r="E1052" s="35">
        <v>45613</v>
      </c>
      <c r="F1052" s="1">
        <v>84001</v>
      </c>
      <c r="G1052" s="1">
        <v>425080</v>
      </c>
      <c r="H1052" s="3">
        <v>1802</v>
      </c>
      <c r="I1052" s="1">
        <v>24</v>
      </c>
      <c r="J1052" s="2">
        <v>45637</v>
      </c>
      <c r="K1052" s="8">
        <f>(F1052/G1052)*100</f>
        <v>19.761221417145009</v>
      </c>
      <c r="L1052" s="8">
        <f>(H1052/G1052)*100</f>
        <v>0.42392020325585772</v>
      </c>
    </row>
    <row r="1053" spans="1:12" x14ac:dyDescent="0.3">
      <c r="A1053" s="1" t="s">
        <v>1061</v>
      </c>
      <c r="B1053" s="1" t="s">
        <v>22</v>
      </c>
      <c r="C1053" s="1" t="s">
        <v>15</v>
      </c>
      <c r="D1053" s="1" t="s">
        <v>32</v>
      </c>
      <c r="E1053" s="35">
        <v>45614</v>
      </c>
      <c r="F1053" s="1">
        <v>67900</v>
      </c>
      <c r="G1053" s="1">
        <v>876014</v>
      </c>
      <c r="H1053" s="3">
        <v>3699</v>
      </c>
      <c r="I1053" s="1">
        <v>27</v>
      </c>
      <c r="J1053" s="2">
        <v>45641</v>
      </c>
      <c r="K1053" s="8">
        <f>(F1053/G1053)*100</f>
        <v>7.7510176777996698</v>
      </c>
      <c r="L1053" s="8">
        <f>(H1053/G1053)*100</f>
        <v>0.42225352562858581</v>
      </c>
    </row>
    <row r="1054" spans="1:12" x14ac:dyDescent="0.3">
      <c r="A1054" s="1" t="s">
        <v>1062</v>
      </c>
      <c r="B1054" s="1" t="s">
        <v>22</v>
      </c>
      <c r="C1054" s="1" t="s">
        <v>15</v>
      </c>
      <c r="D1054" s="1" t="s">
        <v>16</v>
      </c>
      <c r="E1054" s="35">
        <v>45615</v>
      </c>
      <c r="F1054" s="1">
        <v>76813</v>
      </c>
      <c r="G1054" s="1">
        <v>417099</v>
      </c>
      <c r="H1054" s="3">
        <v>2317</v>
      </c>
      <c r="I1054" s="1">
        <v>14</v>
      </c>
      <c r="J1054" s="2">
        <v>45629</v>
      </c>
      <c r="K1054" s="8">
        <f>(F1054/G1054)*100</f>
        <v>18.416011546419437</v>
      </c>
      <c r="L1054" s="8">
        <f>(H1054/G1054)*100</f>
        <v>0.55550360945482968</v>
      </c>
    </row>
    <row r="1055" spans="1:12" x14ac:dyDescent="0.3">
      <c r="A1055" s="1" t="s">
        <v>1063</v>
      </c>
      <c r="B1055" s="1" t="s">
        <v>22</v>
      </c>
      <c r="C1055" s="1" t="s">
        <v>25</v>
      </c>
      <c r="D1055" s="1" t="s">
        <v>32</v>
      </c>
      <c r="E1055" s="35">
        <v>45616</v>
      </c>
      <c r="F1055" s="1">
        <v>36084</v>
      </c>
      <c r="G1055" s="1">
        <v>269229</v>
      </c>
      <c r="H1055" s="3">
        <v>3468</v>
      </c>
      <c r="I1055" s="1">
        <v>6</v>
      </c>
      <c r="J1055" s="2">
        <v>45622</v>
      </c>
      <c r="K1055" s="8">
        <f>(F1055/G1055)*100</f>
        <v>13.402716646423677</v>
      </c>
      <c r="L1055" s="8">
        <f>(H1055/G1055)*100</f>
        <v>1.2881227505209318</v>
      </c>
    </row>
    <row r="1056" spans="1:12" x14ac:dyDescent="0.3">
      <c r="A1056" s="1" t="s">
        <v>1064</v>
      </c>
      <c r="B1056" s="1" t="s">
        <v>14</v>
      </c>
      <c r="C1056" s="1" t="s">
        <v>30</v>
      </c>
      <c r="D1056" s="1" t="s">
        <v>28</v>
      </c>
      <c r="E1056" s="35">
        <v>45617</v>
      </c>
      <c r="F1056" s="1">
        <v>863</v>
      </c>
      <c r="G1056" s="1">
        <v>404881</v>
      </c>
      <c r="H1056" s="3">
        <v>1947</v>
      </c>
      <c r="I1056" s="1">
        <v>3</v>
      </c>
      <c r="J1056" s="2">
        <v>45620</v>
      </c>
      <c r="K1056" s="8">
        <f>(F1056/G1056)*100</f>
        <v>0.21314904873283752</v>
      </c>
      <c r="L1056" s="8">
        <f>(H1056/G1056)*100</f>
        <v>0.48088203694418852</v>
      </c>
    </row>
    <row r="1057" spans="1:12" x14ac:dyDescent="0.3">
      <c r="A1057" s="1" t="s">
        <v>1065</v>
      </c>
      <c r="B1057" s="1" t="s">
        <v>24</v>
      </c>
      <c r="C1057" s="1" t="s">
        <v>27</v>
      </c>
      <c r="D1057" s="1" t="s">
        <v>32</v>
      </c>
      <c r="E1057" s="35">
        <v>45618</v>
      </c>
      <c r="F1057" s="1">
        <v>26446</v>
      </c>
      <c r="G1057" s="1">
        <v>98085</v>
      </c>
      <c r="H1057" s="3">
        <v>2749</v>
      </c>
      <c r="I1057" s="1">
        <v>23</v>
      </c>
      <c r="J1057" s="2">
        <v>45641</v>
      </c>
      <c r="K1057" s="8">
        <f>(F1057/G1057)*100</f>
        <v>26.96232859254728</v>
      </c>
      <c r="L1057" s="8">
        <f>(H1057/G1057)*100</f>
        <v>2.8026711525717491</v>
      </c>
    </row>
    <row r="1058" spans="1:12" x14ac:dyDescent="0.3">
      <c r="A1058" s="1" t="s">
        <v>1066</v>
      </c>
      <c r="B1058" s="1" t="s">
        <v>22</v>
      </c>
      <c r="C1058" s="1" t="s">
        <v>25</v>
      </c>
      <c r="D1058" s="1" t="s">
        <v>28</v>
      </c>
      <c r="E1058" s="35">
        <v>45619</v>
      </c>
      <c r="F1058" s="1">
        <v>57389</v>
      </c>
      <c r="G1058" s="1">
        <v>702464</v>
      </c>
      <c r="H1058" s="3">
        <v>2371</v>
      </c>
      <c r="I1058" s="1">
        <v>8</v>
      </c>
      <c r="J1058" s="2">
        <v>45627</v>
      </c>
      <c r="K1058" s="8">
        <f>(F1058/G1058)*100</f>
        <v>8.16967132835277</v>
      </c>
      <c r="L1058" s="8">
        <f>(H1058/G1058)*100</f>
        <v>0.33752619351311952</v>
      </c>
    </row>
    <row r="1059" spans="1:12" x14ac:dyDescent="0.3">
      <c r="A1059" s="1" t="s">
        <v>1067</v>
      </c>
      <c r="B1059" s="1" t="s">
        <v>14</v>
      </c>
      <c r="C1059" s="1" t="s">
        <v>37</v>
      </c>
      <c r="D1059" s="1" t="s">
        <v>19</v>
      </c>
      <c r="E1059" s="35">
        <v>45620</v>
      </c>
      <c r="F1059" s="1">
        <v>12420</v>
      </c>
      <c r="G1059" s="1">
        <v>974970</v>
      </c>
      <c r="H1059" s="3">
        <v>4413</v>
      </c>
      <c r="I1059" s="1">
        <v>7</v>
      </c>
      <c r="J1059" s="2">
        <v>45627</v>
      </c>
      <c r="K1059" s="8">
        <f>(F1059/G1059)*100</f>
        <v>1.2738853503184715</v>
      </c>
      <c r="L1059" s="8">
        <f>(H1059/G1059)*100</f>
        <v>0.45262931167112835</v>
      </c>
    </row>
    <row r="1060" spans="1:12" x14ac:dyDescent="0.3">
      <c r="A1060" s="1" t="s">
        <v>1068</v>
      </c>
      <c r="B1060" s="1" t="s">
        <v>10</v>
      </c>
      <c r="C1060" s="1" t="s">
        <v>27</v>
      </c>
      <c r="D1060" s="1" t="s">
        <v>32</v>
      </c>
      <c r="E1060" s="35">
        <v>45621</v>
      </c>
      <c r="F1060" s="1">
        <v>52315</v>
      </c>
      <c r="G1060" s="1">
        <v>709046</v>
      </c>
      <c r="H1060" s="3">
        <v>1900</v>
      </c>
      <c r="I1060" s="1">
        <v>9</v>
      </c>
      <c r="J1060" s="2">
        <v>45630</v>
      </c>
      <c r="K1060" s="8">
        <f>(F1060/G1060)*100</f>
        <v>7.3782236977572673</v>
      </c>
      <c r="L1060" s="8">
        <f>(H1060/G1060)*100</f>
        <v>0.26796568910902818</v>
      </c>
    </row>
    <row r="1061" spans="1:12" x14ac:dyDescent="0.3">
      <c r="A1061" s="1" t="s">
        <v>1069</v>
      </c>
      <c r="B1061" s="1" t="s">
        <v>24</v>
      </c>
      <c r="C1061" s="1" t="s">
        <v>27</v>
      </c>
      <c r="D1061" s="1" t="s">
        <v>28</v>
      </c>
      <c r="E1061" s="35">
        <v>45622</v>
      </c>
      <c r="F1061" s="1">
        <v>47790</v>
      </c>
      <c r="G1061" s="1">
        <v>93946</v>
      </c>
      <c r="H1061" s="3">
        <v>2703</v>
      </c>
      <c r="I1061" s="1">
        <v>26</v>
      </c>
      <c r="J1061" s="2">
        <v>45648</v>
      </c>
      <c r="K1061" s="8">
        <f>(F1061/G1061)*100</f>
        <v>50.869648521491072</v>
      </c>
      <c r="L1061" s="8">
        <f>(H1061/G1061)*100</f>
        <v>2.8771847657164753</v>
      </c>
    </row>
    <row r="1062" spans="1:12" x14ac:dyDescent="0.3">
      <c r="A1062" s="1" t="s">
        <v>1070</v>
      </c>
      <c r="B1062" s="1" t="s">
        <v>14</v>
      </c>
      <c r="C1062" s="1" t="s">
        <v>11</v>
      </c>
      <c r="D1062" s="1" t="s">
        <v>32</v>
      </c>
      <c r="E1062" s="35">
        <v>45623</v>
      </c>
      <c r="F1062" s="1">
        <v>71916</v>
      </c>
      <c r="G1062" s="1">
        <v>424042</v>
      </c>
      <c r="H1062" s="3">
        <v>1998</v>
      </c>
      <c r="I1062" s="1">
        <v>29</v>
      </c>
      <c r="J1062" s="2">
        <v>45652</v>
      </c>
      <c r="K1062" s="8">
        <f>(F1062/G1062)*100</f>
        <v>16.959640790299073</v>
      </c>
      <c r="L1062" s="8">
        <f>(H1062/G1062)*100</f>
        <v>0.47117974162936688</v>
      </c>
    </row>
    <row r="1063" spans="1:12" x14ac:dyDescent="0.3">
      <c r="A1063" s="1" t="s">
        <v>1071</v>
      </c>
      <c r="B1063" s="1" t="s">
        <v>22</v>
      </c>
      <c r="C1063" s="1" t="s">
        <v>30</v>
      </c>
      <c r="D1063" s="1" t="s">
        <v>28</v>
      </c>
      <c r="E1063" s="35">
        <v>45624</v>
      </c>
      <c r="F1063" s="1">
        <v>35269</v>
      </c>
      <c r="G1063" s="1">
        <v>879229</v>
      </c>
      <c r="H1063" s="3">
        <v>4401</v>
      </c>
      <c r="I1063" s="1">
        <v>19</v>
      </c>
      <c r="J1063" s="2">
        <v>45643</v>
      </c>
      <c r="K1063" s="8">
        <f>(F1063/G1063)*100</f>
        <v>4.0113554034273209</v>
      </c>
      <c r="L1063" s="8">
        <f>(H1063/G1063)*100</f>
        <v>0.50055218833773685</v>
      </c>
    </row>
    <row r="1064" spans="1:12" x14ac:dyDescent="0.3">
      <c r="A1064" s="1" t="s">
        <v>1072</v>
      </c>
      <c r="B1064" s="1" t="s">
        <v>14</v>
      </c>
      <c r="C1064" s="1" t="s">
        <v>30</v>
      </c>
      <c r="D1064" s="1" t="s">
        <v>19</v>
      </c>
      <c r="E1064" s="35">
        <v>45625</v>
      </c>
      <c r="F1064" s="1">
        <v>35628</v>
      </c>
      <c r="G1064" s="1">
        <v>830082</v>
      </c>
      <c r="H1064" s="3">
        <v>94</v>
      </c>
      <c r="I1064" s="1">
        <v>3</v>
      </c>
      <c r="J1064" s="2">
        <v>45628</v>
      </c>
      <c r="K1064" s="8">
        <f>(F1064/G1064)*100</f>
        <v>4.292106081085965</v>
      </c>
      <c r="L1064" s="8">
        <f>(H1064/G1064)*100</f>
        <v>1.132418243016955E-2</v>
      </c>
    </row>
    <row r="1065" spans="1:12" x14ac:dyDescent="0.3">
      <c r="A1065" s="1" t="s">
        <v>1073</v>
      </c>
      <c r="B1065" s="1" t="s">
        <v>22</v>
      </c>
      <c r="C1065" s="1" t="s">
        <v>18</v>
      </c>
      <c r="D1065" s="1" t="s">
        <v>12</v>
      </c>
      <c r="E1065" s="35">
        <v>45626</v>
      </c>
      <c r="F1065" s="1">
        <v>81033</v>
      </c>
      <c r="G1065" s="1">
        <v>570682</v>
      </c>
      <c r="H1065" s="3">
        <v>3343</v>
      </c>
      <c r="I1065" s="1">
        <v>3</v>
      </c>
      <c r="J1065" s="2">
        <v>45629</v>
      </c>
      <c r="K1065" s="8">
        <f>(F1065/G1065)*100</f>
        <v>14.199326419967687</v>
      </c>
      <c r="L1065" s="8">
        <f>(H1065/G1065)*100</f>
        <v>0.58579033507277256</v>
      </c>
    </row>
    <row r="1066" spans="1:12" x14ac:dyDescent="0.3">
      <c r="A1066" s="1" t="s">
        <v>1074</v>
      </c>
      <c r="B1066" s="1" t="s">
        <v>24</v>
      </c>
      <c r="C1066" s="1" t="s">
        <v>15</v>
      </c>
      <c r="D1066" s="1" t="s">
        <v>32</v>
      </c>
      <c r="E1066" s="35">
        <v>45627</v>
      </c>
      <c r="F1066" s="1">
        <v>48881</v>
      </c>
      <c r="G1066" s="1">
        <v>381876</v>
      </c>
      <c r="H1066" s="3">
        <v>4157</v>
      </c>
      <c r="I1066" s="1">
        <v>26</v>
      </c>
      <c r="J1066" s="2">
        <v>45653</v>
      </c>
      <c r="K1066" s="8">
        <f>(F1066/G1066)*100</f>
        <v>12.800228346374215</v>
      </c>
      <c r="L1066" s="8">
        <f>(H1066/G1066)*100</f>
        <v>1.0885732541453248</v>
      </c>
    </row>
    <row r="1067" spans="1:12" x14ac:dyDescent="0.3">
      <c r="A1067" s="1" t="s">
        <v>1075</v>
      </c>
      <c r="B1067" s="1" t="s">
        <v>22</v>
      </c>
      <c r="C1067" s="1" t="s">
        <v>15</v>
      </c>
      <c r="D1067" s="1" t="s">
        <v>28</v>
      </c>
      <c r="E1067" s="35">
        <v>45628</v>
      </c>
      <c r="F1067" s="1">
        <v>77234</v>
      </c>
      <c r="G1067" s="1">
        <v>282894</v>
      </c>
      <c r="H1067" s="3">
        <v>980</v>
      </c>
      <c r="I1067" s="1">
        <v>2</v>
      </c>
      <c r="J1067" s="2">
        <v>45630</v>
      </c>
      <c r="K1067" s="8">
        <f>(F1067/G1067)*100</f>
        <v>27.301392040835083</v>
      </c>
      <c r="L1067" s="8">
        <f>(H1067/G1067)*100</f>
        <v>0.34641950695313439</v>
      </c>
    </row>
    <row r="1068" spans="1:12" x14ac:dyDescent="0.3">
      <c r="A1068" s="1" t="s">
        <v>1076</v>
      </c>
      <c r="B1068" s="1" t="s">
        <v>14</v>
      </c>
      <c r="C1068" s="1" t="s">
        <v>18</v>
      </c>
      <c r="D1068" s="1" t="s">
        <v>19</v>
      </c>
      <c r="E1068" s="35">
        <v>45629</v>
      </c>
      <c r="F1068" s="1">
        <v>76393</v>
      </c>
      <c r="G1068" s="1">
        <v>275434</v>
      </c>
      <c r="H1068" s="3">
        <v>4924</v>
      </c>
      <c r="I1068" s="1">
        <v>10</v>
      </c>
      <c r="J1068" s="2">
        <v>45639</v>
      </c>
      <c r="K1068" s="8">
        <f>(F1068/G1068)*100</f>
        <v>27.735501063775715</v>
      </c>
      <c r="L1068" s="8">
        <f>(H1068/G1068)*100</f>
        <v>1.7877241008735307</v>
      </c>
    </row>
    <row r="1069" spans="1:12" x14ac:dyDescent="0.3">
      <c r="A1069" s="1" t="s">
        <v>1077</v>
      </c>
      <c r="B1069" s="1" t="s">
        <v>22</v>
      </c>
      <c r="C1069" s="1" t="s">
        <v>18</v>
      </c>
      <c r="D1069" s="1" t="s">
        <v>19</v>
      </c>
      <c r="E1069" s="35">
        <v>45630</v>
      </c>
      <c r="F1069" s="1">
        <v>10537</v>
      </c>
      <c r="G1069" s="1">
        <v>904352</v>
      </c>
      <c r="H1069" s="3">
        <v>4805</v>
      </c>
      <c r="I1069" s="1">
        <v>25</v>
      </c>
      <c r="J1069" s="2">
        <v>45655</v>
      </c>
      <c r="K1069" s="8">
        <f>(F1069/G1069)*100</f>
        <v>1.1651436608754113</v>
      </c>
      <c r="L1069" s="8">
        <f>(H1069/G1069)*100</f>
        <v>0.53131966314001633</v>
      </c>
    </row>
    <row r="1070" spans="1:12" x14ac:dyDescent="0.3">
      <c r="A1070" s="1" t="s">
        <v>1078</v>
      </c>
      <c r="B1070" s="1" t="s">
        <v>14</v>
      </c>
      <c r="C1070" s="1" t="s">
        <v>25</v>
      </c>
      <c r="D1070" s="1" t="s">
        <v>19</v>
      </c>
      <c r="E1070" s="35">
        <v>45631</v>
      </c>
      <c r="F1070" s="1">
        <v>71590</v>
      </c>
      <c r="G1070" s="1">
        <v>983840</v>
      </c>
      <c r="H1070" s="3">
        <v>1882</v>
      </c>
      <c r="I1070" s="1">
        <v>5</v>
      </c>
      <c r="J1070" s="2">
        <v>45636</v>
      </c>
      <c r="K1070" s="8">
        <f>(F1070/G1070)*100</f>
        <v>7.2765896893803879</v>
      </c>
      <c r="L1070" s="8">
        <f>(H1070/G1070)*100</f>
        <v>0.19129126687266221</v>
      </c>
    </row>
    <row r="1071" spans="1:12" x14ac:dyDescent="0.3">
      <c r="A1071" s="1" t="s">
        <v>1079</v>
      </c>
      <c r="B1071" s="1" t="s">
        <v>10</v>
      </c>
      <c r="C1071" s="1" t="s">
        <v>18</v>
      </c>
      <c r="D1071" s="1" t="s">
        <v>16</v>
      </c>
      <c r="E1071" s="35">
        <v>45632</v>
      </c>
      <c r="F1071" s="1">
        <v>9331</v>
      </c>
      <c r="G1071" s="1">
        <v>182868</v>
      </c>
      <c r="H1071" s="3">
        <v>3624</v>
      </c>
      <c r="I1071" s="1">
        <v>16</v>
      </c>
      <c r="J1071" s="2">
        <v>45648</v>
      </c>
      <c r="K1071" s="8">
        <f>(F1071/G1071)*100</f>
        <v>5.1025876588577557</v>
      </c>
      <c r="L1071" s="8">
        <f>(H1071/G1071)*100</f>
        <v>1.9817573331583436</v>
      </c>
    </row>
    <row r="1072" spans="1:12" x14ac:dyDescent="0.3">
      <c r="A1072" s="1" t="s">
        <v>1080</v>
      </c>
      <c r="B1072" s="1" t="s">
        <v>14</v>
      </c>
      <c r="C1072" s="1" t="s">
        <v>15</v>
      </c>
      <c r="D1072" s="1" t="s">
        <v>12</v>
      </c>
      <c r="E1072" s="35">
        <v>45633</v>
      </c>
      <c r="F1072" s="1">
        <v>50790</v>
      </c>
      <c r="G1072" s="1">
        <v>156332</v>
      </c>
      <c r="H1072" s="3">
        <v>1582</v>
      </c>
      <c r="I1072" s="1">
        <v>6</v>
      </c>
      <c r="J1072" s="2">
        <v>45639</v>
      </c>
      <c r="K1072" s="8">
        <f>(F1072/G1072)*100</f>
        <v>32.488550008955301</v>
      </c>
      <c r="L1072" s="8">
        <f>(H1072/G1072)*100</f>
        <v>1.0119489292019548</v>
      </c>
    </row>
    <row r="1073" spans="1:12" x14ac:dyDescent="0.3">
      <c r="A1073" s="1" t="s">
        <v>1081</v>
      </c>
      <c r="B1073" s="1" t="s">
        <v>14</v>
      </c>
      <c r="C1073" s="1" t="s">
        <v>37</v>
      </c>
      <c r="D1073" s="1" t="s">
        <v>19</v>
      </c>
      <c r="E1073" s="35">
        <v>45634</v>
      </c>
      <c r="F1073" s="1">
        <v>1854</v>
      </c>
      <c r="G1073" s="1">
        <v>690017</v>
      </c>
      <c r="H1073" s="3">
        <v>407</v>
      </c>
      <c r="I1073" s="1">
        <v>1</v>
      </c>
      <c r="J1073" s="2">
        <v>45635</v>
      </c>
      <c r="K1073" s="8">
        <f>(F1073/G1073)*100</f>
        <v>0.26868903229920421</v>
      </c>
      <c r="L1073" s="8">
        <f>(H1073/G1073)*100</f>
        <v>5.8984054016060473E-2</v>
      </c>
    </row>
    <row r="1074" spans="1:12" x14ac:dyDescent="0.3">
      <c r="A1074" s="1" t="s">
        <v>1082</v>
      </c>
      <c r="B1074" s="1" t="s">
        <v>24</v>
      </c>
      <c r="C1074" s="1" t="s">
        <v>37</v>
      </c>
      <c r="D1074" s="1" t="s">
        <v>28</v>
      </c>
      <c r="E1074" s="35">
        <v>45635</v>
      </c>
      <c r="F1074" s="1">
        <v>46435</v>
      </c>
      <c r="G1074" s="1">
        <v>319538</v>
      </c>
      <c r="H1074" s="3">
        <v>348</v>
      </c>
      <c r="I1074" s="1">
        <v>14</v>
      </c>
      <c r="J1074" s="2">
        <v>45649</v>
      </c>
      <c r="K1074" s="8">
        <f>(F1074/G1074)*100</f>
        <v>14.531917956549769</v>
      </c>
      <c r="L1074" s="8">
        <f>(H1074/G1074)*100</f>
        <v>0.10890723482027177</v>
      </c>
    </row>
    <row r="1075" spans="1:12" x14ac:dyDescent="0.3">
      <c r="A1075" s="1" t="s">
        <v>1083</v>
      </c>
      <c r="B1075" s="1" t="s">
        <v>10</v>
      </c>
      <c r="C1075" s="1" t="s">
        <v>11</v>
      </c>
      <c r="D1075" s="1" t="s">
        <v>32</v>
      </c>
      <c r="E1075" s="35">
        <v>45636</v>
      </c>
      <c r="F1075" s="1">
        <v>78401</v>
      </c>
      <c r="G1075" s="1">
        <v>644217</v>
      </c>
      <c r="H1075" s="3">
        <v>2396</v>
      </c>
      <c r="I1075" s="1">
        <v>26</v>
      </c>
      <c r="J1075" s="2">
        <v>45662</v>
      </c>
      <c r="K1075" s="8">
        <f>(F1075/G1075)*100</f>
        <v>12.169967573038278</v>
      </c>
      <c r="L1075" s="8">
        <f>(H1075/G1075)*100</f>
        <v>0.37192436709990578</v>
      </c>
    </row>
    <row r="1076" spans="1:12" x14ac:dyDescent="0.3">
      <c r="A1076" s="1" t="s">
        <v>1084</v>
      </c>
      <c r="B1076" s="1" t="s">
        <v>22</v>
      </c>
      <c r="C1076" s="1" t="s">
        <v>37</v>
      </c>
      <c r="D1076" s="1" t="s">
        <v>12</v>
      </c>
      <c r="E1076" s="35">
        <v>45637</v>
      </c>
      <c r="F1076" s="1">
        <v>9860</v>
      </c>
      <c r="G1076" s="1">
        <v>315266</v>
      </c>
      <c r="H1076" s="3">
        <v>3876</v>
      </c>
      <c r="I1076" s="1">
        <v>14</v>
      </c>
      <c r="J1076" s="2">
        <v>45651</v>
      </c>
      <c r="K1076" s="8">
        <f>(F1076/G1076)*100</f>
        <v>3.1275177151992288</v>
      </c>
      <c r="L1076" s="8">
        <f>(H1076/G1076)*100</f>
        <v>1.2294379983886623</v>
      </c>
    </row>
    <row r="1077" spans="1:12" x14ac:dyDescent="0.3">
      <c r="A1077" s="1" t="s">
        <v>1085</v>
      </c>
      <c r="B1077" s="1" t="s">
        <v>14</v>
      </c>
      <c r="C1077" s="1" t="s">
        <v>27</v>
      </c>
      <c r="D1077" s="1" t="s">
        <v>12</v>
      </c>
      <c r="E1077" s="35">
        <v>45638</v>
      </c>
      <c r="F1077" s="1">
        <v>28032</v>
      </c>
      <c r="G1077" s="1">
        <v>316476</v>
      </c>
      <c r="H1077" s="3">
        <v>4025</v>
      </c>
      <c r="I1077" s="1">
        <v>22</v>
      </c>
      <c r="J1077" s="2">
        <v>45660</v>
      </c>
      <c r="K1077" s="8">
        <f>(F1077/G1077)*100</f>
        <v>8.8575436999962083</v>
      </c>
      <c r="L1077" s="8">
        <f>(H1077/G1077)*100</f>
        <v>1.2718184001314474</v>
      </c>
    </row>
    <row r="1078" spans="1:12" x14ac:dyDescent="0.3">
      <c r="A1078" s="1" t="s">
        <v>1086</v>
      </c>
      <c r="B1078" s="1" t="s">
        <v>14</v>
      </c>
      <c r="C1078" s="1" t="s">
        <v>27</v>
      </c>
      <c r="D1078" s="1" t="s">
        <v>19</v>
      </c>
      <c r="E1078" s="35">
        <v>45639</v>
      </c>
      <c r="F1078" s="1">
        <v>88670</v>
      </c>
      <c r="G1078" s="1">
        <v>687083</v>
      </c>
      <c r="H1078" s="3">
        <v>1238</v>
      </c>
      <c r="I1078" s="1">
        <v>22</v>
      </c>
      <c r="J1078" s="2">
        <v>45661</v>
      </c>
      <c r="K1078" s="8">
        <f>(F1078/G1078)*100</f>
        <v>12.905282185703912</v>
      </c>
      <c r="L1078" s="8">
        <f>(H1078/G1078)*100</f>
        <v>0.18018201585543522</v>
      </c>
    </row>
    <row r="1079" spans="1:12" x14ac:dyDescent="0.3">
      <c r="A1079" s="1" t="s">
        <v>1087</v>
      </c>
      <c r="B1079" s="1" t="s">
        <v>14</v>
      </c>
      <c r="C1079" s="1" t="s">
        <v>37</v>
      </c>
      <c r="D1079" s="1" t="s">
        <v>12</v>
      </c>
      <c r="E1079" s="35">
        <v>45640</v>
      </c>
      <c r="F1079" s="1">
        <v>36737</v>
      </c>
      <c r="G1079" s="1">
        <v>374183</v>
      </c>
      <c r="H1079" s="3">
        <v>1277</v>
      </c>
      <c r="I1079" s="1">
        <v>22</v>
      </c>
      <c r="J1079" s="2">
        <v>45662</v>
      </c>
      <c r="K1079" s="8">
        <f>(F1079/G1079)*100</f>
        <v>9.8179233155969143</v>
      </c>
      <c r="L1079" s="8">
        <f>(H1079/G1079)*100</f>
        <v>0.34127686185636441</v>
      </c>
    </row>
    <row r="1080" spans="1:12" x14ac:dyDescent="0.3">
      <c r="A1080" s="1" t="s">
        <v>1088</v>
      </c>
      <c r="B1080" s="1" t="s">
        <v>22</v>
      </c>
      <c r="C1080" s="1" t="s">
        <v>37</v>
      </c>
      <c r="D1080" s="1" t="s">
        <v>19</v>
      </c>
      <c r="E1080" s="35">
        <v>45641</v>
      </c>
      <c r="F1080" s="1">
        <v>95175</v>
      </c>
      <c r="G1080" s="1">
        <v>963017</v>
      </c>
      <c r="H1080" s="3">
        <v>1965</v>
      </c>
      <c r="I1080" s="1">
        <v>8</v>
      </c>
      <c r="J1080" s="2">
        <v>45649</v>
      </c>
      <c r="K1080" s="8">
        <f>(F1080/G1080)*100</f>
        <v>9.8830031037873685</v>
      </c>
      <c r="L1080" s="8">
        <f>(H1080/G1080)*100</f>
        <v>0.20404624217433337</v>
      </c>
    </row>
    <row r="1081" spans="1:12" x14ac:dyDescent="0.3">
      <c r="A1081" s="1" t="s">
        <v>1089</v>
      </c>
      <c r="B1081" s="1" t="s">
        <v>22</v>
      </c>
      <c r="C1081" s="1" t="s">
        <v>11</v>
      </c>
      <c r="D1081" s="1" t="s">
        <v>12</v>
      </c>
      <c r="E1081" s="35">
        <v>45642</v>
      </c>
      <c r="F1081" s="1">
        <v>66813</v>
      </c>
      <c r="G1081" s="1">
        <v>763296</v>
      </c>
      <c r="H1081" s="3">
        <v>4641</v>
      </c>
      <c r="I1081" s="1">
        <v>27</v>
      </c>
      <c r="J1081" s="2">
        <v>45669</v>
      </c>
      <c r="K1081" s="8">
        <f>(F1081/G1081)*100</f>
        <v>8.7532228650484214</v>
      </c>
      <c r="L1081" s="8">
        <f>(H1081/G1081)*100</f>
        <v>0.60802100364734002</v>
      </c>
    </row>
    <row r="1082" spans="1:12" x14ac:dyDescent="0.3">
      <c r="A1082" s="1" t="s">
        <v>1090</v>
      </c>
      <c r="B1082" s="1" t="s">
        <v>24</v>
      </c>
      <c r="C1082" s="1" t="s">
        <v>15</v>
      </c>
      <c r="D1082" s="1" t="s">
        <v>12</v>
      </c>
      <c r="E1082" s="35">
        <v>45643</v>
      </c>
      <c r="F1082" s="1">
        <v>83875</v>
      </c>
      <c r="G1082" s="1">
        <v>844484</v>
      </c>
      <c r="H1082" s="3">
        <v>3556</v>
      </c>
      <c r="I1082" s="1">
        <v>18</v>
      </c>
      <c r="J1082" s="2">
        <v>45661</v>
      </c>
      <c r="K1082" s="8">
        <f>(F1082/G1082)*100</f>
        <v>9.9321005489742848</v>
      </c>
      <c r="L1082" s="8">
        <f>(H1082/G1082)*100</f>
        <v>0.42108553862476966</v>
      </c>
    </row>
    <row r="1083" spans="1:12" x14ac:dyDescent="0.3">
      <c r="A1083" s="1" t="s">
        <v>1091</v>
      </c>
      <c r="B1083" s="1" t="s">
        <v>24</v>
      </c>
      <c r="C1083" s="1" t="s">
        <v>18</v>
      </c>
      <c r="D1083" s="1" t="s">
        <v>16</v>
      </c>
      <c r="E1083" s="35">
        <v>45644</v>
      </c>
      <c r="F1083" s="1">
        <v>60630</v>
      </c>
      <c r="G1083" s="1">
        <v>977470</v>
      </c>
      <c r="H1083" s="3">
        <v>327</v>
      </c>
      <c r="I1083" s="1">
        <v>13</v>
      </c>
      <c r="J1083" s="2">
        <v>45657</v>
      </c>
      <c r="K1083" s="8">
        <f>(F1083/G1083)*100</f>
        <v>6.2027479104218033</v>
      </c>
      <c r="L1083" s="8">
        <f>(H1083/G1083)*100</f>
        <v>3.3453712134387761E-2</v>
      </c>
    </row>
    <row r="1084" spans="1:12" x14ac:dyDescent="0.3">
      <c r="A1084" s="1" t="s">
        <v>1092</v>
      </c>
      <c r="B1084" s="1" t="s">
        <v>10</v>
      </c>
      <c r="C1084" s="1" t="s">
        <v>30</v>
      </c>
      <c r="D1084" s="1" t="s">
        <v>32</v>
      </c>
      <c r="E1084" s="35">
        <v>45645</v>
      </c>
      <c r="F1084" s="1">
        <v>14047</v>
      </c>
      <c r="G1084" s="1">
        <v>83533</v>
      </c>
      <c r="H1084" s="3">
        <v>3169</v>
      </c>
      <c r="I1084" s="1">
        <v>17</v>
      </c>
      <c r="J1084" s="2">
        <v>45662</v>
      </c>
      <c r="K1084" s="8">
        <f>(F1084/G1084)*100</f>
        <v>16.816108603785331</v>
      </c>
      <c r="L1084" s="8">
        <f>(H1084/G1084)*100</f>
        <v>3.7937102701926184</v>
      </c>
    </row>
    <row r="1085" spans="1:12" x14ac:dyDescent="0.3">
      <c r="A1085" s="1" t="s">
        <v>1093</v>
      </c>
      <c r="B1085" s="1" t="s">
        <v>24</v>
      </c>
      <c r="C1085" s="1" t="s">
        <v>11</v>
      </c>
      <c r="D1085" s="1" t="s">
        <v>12</v>
      </c>
      <c r="E1085" s="35">
        <v>45646</v>
      </c>
      <c r="F1085" s="1">
        <v>51596</v>
      </c>
      <c r="G1085" s="1">
        <v>588165</v>
      </c>
      <c r="H1085" s="3">
        <v>3590</v>
      </c>
      <c r="I1085" s="1">
        <v>23</v>
      </c>
      <c r="J1085" s="2">
        <v>45669</v>
      </c>
      <c r="K1085" s="8">
        <f>(F1085/G1085)*100</f>
        <v>8.772368298011612</v>
      </c>
      <c r="L1085" s="8">
        <f>(H1085/G1085)*100</f>
        <v>0.61037293956627814</v>
      </c>
    </row>
    <row r="1086" spans="1:12" x14ac:dyDescent="0.3">
      <c r="A1086" s="1" t="s">
        <v>1094</v>
      </c>
      <c r="B1086" s="1" t="s">
        <v>10</v>
      </c>
      <c r="C1086" s="1" t="s">
        <v>27</v>
      </c>
      <c r="D1086" s="1" t="s">
        <v>16</v>
      </c>
      <c r="E1086" s="35">
        <v>45647</v>
      </c>
      <c r="F1086" s="1">
        <v>62463</v>
      </c>
      <c r="G1086" s="1">
        <v>727960</v>
      </c>
      <c r="H1086" s="3">
        <v>3889</v>
      </c>
      <c r="I1086" s="1">
        <v>8</v>
      </c>
      <c r="J1086" s="2">
        <v>45655</v>
      </c>
      <c r="K1086" s="8">
        <f>(F1086/G1086)*100</f>
        <v>8.5805538765866256</v>
      </c>
      <c r="L1086" s="8">
        <f>(H1086/G1086)*100</f>
        <v>0.53423265014561239</v>
      </c>
    </row>
    <row r="1087" spans="1:12" x14ac:dyDescent="0.3">
      <c r="A1087" s="1" t="s">
        <v>1095</v>
      </c>
      <c r="B1087" s="1" t="s">
        <v>10</v>
      </c>
      <c r="C1087" s="1" t="s">
        <v>25</v>
      </c>
      <c r="D1087" s="1" t="s">
        <v>28</v>
      </c>
      <c r="E1087" s="35">
        <v>45648</v>
      </c>
      <c r="F1087" s="1">
        <v>68700</v>
      </c>
      <c r="G1087" s="1">
        <v>671990</v>
      </c>
      <c r="H1087" s="3">
        <v>3487</v>
      </c>
      <c r="I1087" s="1">
        <v>3</v>
      </c>
      <c r="J1087" s="2">
        <v>45651</v>
      </c>
      <c r="K1087" s="8">
        <f>(F1087/G1087)*100</f>
        <v>10.223366419143142</v>
      </c>
      <c r="L1087" s="8">
        <f>(H1087/G1087)*100</f>
        <v>0.51890653134719267</v>
      </c>
    </row>
    <row r="1088" spans="1:12" x14ac:dyDescent="0.3">
      <c r="A1088" s="1" t="s">
        <v>1096</v>
      </c>
      <c r="B1088" s="1" t="s">
        <v>10</v>
      </c>
      <c r="C1088" s="1" t="s">
        <v>37</v>
      </c>
      <c r="D1088" s="1" t="s">
        <v>19</v>
      </c>
      <c r="E1088" s="35">
        <v>45649</v>
      </c>
      <c r="F1088" s="1">
        <v>43669</v>
      </c>
      <c r="G1088" s="1">
        <v>103969</v>
      </c>
      <c r="H1088" s="3">
        <v>2768</v>
      </c>
      <c r="I1088" s="1">
        <v>10</v>
      </c>
      <c r="J1088" s="2">
        <v>45659</v>
      </c>
      <c r="K1088" s="8">
        <f>(F1088/G1088)*100</f>
        <v>42.001942886822036</v>
      </c>
      <c r="L1088" s="8">
        <f>(H1088/G1088)*100</f>
        <v>2.6623320412815357</v>
      </c>
    </row>
    <row r="1089" spans="1:12" x14ac:dyDescent="0.3">
      <c r="A1089" s="1" t="s">
        <v>1097</v>
      </c>
      <c r="B1089" s="1" t="s">
        <v>14</v>
      </c>
      <c r="C1089" s="1" t="s">
        <v>25</v>
      </c>
      <c r="D1089" s="1" t="s">
        <v>28</v>
      </c>
      <c r="E1089" s="35">
        <v>45650</v>
      </c>
      <c r="F1089" s="1">
        <v>31251</v>
      </c>
      <c r="G1089" s="1">
        <v>670217</v>
      </c>
      <c r="H1089" s="3">
        <v>3950</v>
      </c>
      <c r="I1089" s="1">
        <v>10</v>
      </c>
      <c r="J1089" s="2">
        <v>45660</v>
      </c>
      <c r="K1089" s="8">
        <f>(F1089/G1089)*100</f>
        <v>4.6628181618789135</v>
      </c>
      <c r="L1089" s="8">
        <f>(H1089/G1089)*100</f>
        <v>0.58936135609809959</v>
      </c>
    </row>
    <row r="1090" spans="1:12" x14ac:dyDescent="0.3">
      <c r="A1090" s="1" t="s">
        <v>1098</v>
      </c>
      <c r="B1090" s="1" t="s">
        <v>14</v>
      </c>
      <c r="C1090" s="1" t="s">
        <v>18</v>
      </c>
      <c r="D1090" s="1" t="s">
        <v>19</v>
      </c>
      <c r="E1090" s="35">
        <v>45651</v>
      </c>
      <c r="F1090" s="1">
        <v>17226</v>
      </c>
      <c r="G1090" s="1">
        <v>239065</v>
      </c>
      <c r="H1090" s="3">
        <v>2731</v>
      </c>
      <c r="I1090" s="1">
        <v>8</v>
      </c>
      <c r="J1090" s="2">
        <v>45659</v>
      </c>
      <c r="K1090" s="8">
        <f>(F1090/G1090)*100</f>
        <v>7.2055717064396712</v>
      </c>
      <c r="L1090" s="8">
        <f>(H1090/G1090)*100</f>
        <v>1.1423671386443017</v>
      </c>
    </row>
    <row r="1091" spans="1:12" x14ac:dyDescent="0.3">
      <c r="A1091" s="1" t="s">
        <v>1099</v>
      </c>
      <c r="B1091" s="1" t="s">
        <v>22</v>
      </c>
      <c r="C1091" s="1" t="s">
        <v>27</v>
      </c>
      <c r="D1091" s="1" t="s">
        <v>32</v>
      </c>
      <c r="E1091" s="35">
        <v>45652</v>
      </c>
      <c r="F1091" s="1">
        <v>83680</v>
      </c>
      <c r="G1091" s="1">
        <v>741628</v>
      </c>
      <c r="H1091" s="3">
        <v>2223</v>
      </c>
      <c r="I1091" s="1">
        <v>24</v>
      </c>
      <c r="J1091" s="2">
        <v>45676</v>
      </c>
      <c r="K1091" s="8">
        <f>(F1091/G1091)*100</f>
        <v>11.283284881369097</v>
      </c>
      <c r="L1091" s="8">
        <f>(H1091/G1091)*100</f>
        <v>0.29974596428398065</v>
      </c>
    </row>
    <row r="1092" spans="1:12" x14ac:dyDescent="0.3">
      <c r="A1092" s="1" t="s">
        <v>1100</v>
      </c>
      <c r="B1092" s="1" t="s">
        <v>14</v>
      </c>
      <c r="C1092" s="1" t="s">
        <v>11</v>
      </c>
      <c r="D1092" s="1" t="s">
        <v>19</v>
      </c>
      <c r="E1092" s="35">
        <v>45653</v>
      </c>
      <c r="F1092" s="1">
        <v>7260</v>
      </c>
      <c r="G1092" s="1">
        <v>238989</v>
      </c>
      <c r="H1092" s="3">
        <v>3971</v>
      </c>
      <c r="I1092" s="1">
        <v>29</v>
      </c>
      <c r="J1092" s="2">
        <v>45682</v>
      </c>
      <c r="K1092" s="8">
        <f>(F1092/G1092)*100</f>
        <v>3.0377967186774284</v>
      </c>
      <c r="L1092" s="8">
        <f>(H1092/G1092)*100</f>
        <v>1.661582750670533</v>
      </c>
    </row>
    <row r="1093" spans="1:12" x14ac:dyDescent="0.3">
      <c r="A1093" s="1" t="s">
        <v>1101</v>
      </c>
      <c r="B1093" s="1" t="s">
        <v>22</v>
      </c>
      <c r="C1093" s="1" t="s">
        <v>25</v>
      </c>
      <c r="D1093" s="1" t="s">
        <v>16</v>
      </c>
      <c r="E1093" s="35">
        <v>45654</v>
      </c>
      <c r="F1093" s="1">
        <v>58434</v>
      </c>
      <c r="G1093" s="1">
        <v>908678</v>
      </c>
      <c r="H1093" s="3">
        <v>164</v>
      </c>
      <c r="I1093" s="1">
        <v>1</v>
      </c>
      <c r="J1093" s="2">
        <v>45655</v>
      </c>
      <c r="K1093" s="8">
        <f>(F1093/G1093)*100</f>
        <v>6.4306608061381487</v>
      </c>
      <c r="L1093" s="8">
        <f>(H1093/G1093)*100</f>
        <v>1.8048197491300551E-2</v>
      </c>
    </row>
    <row r="1094" spans="1:12" x14ac:dyDescent="0.3">
      <c r="A1094" s="1" t="s">
        <v>1102</v>
      </c>
      <c r="B1094" s="1" t="s">
        <v>22</v>
      </c>
      <c r="C1094" s="1" t="s">
        <v>37</v>
      </c>
      <c r="D1094" s="1" t="s">
        <v>32</v>
      </c>
      <c r="E1094" s="35">
        <v>45655</v>
      </c>
      <c r="F1094" s="1">
        <v>5106</v>
      </c>
      <c r="G1094" s="1">
        <v>608037</v>
      </c>
      <c r="H1094" s="3">
        <v>4735</v>
      </c>
      <c r="I1094" s="1">
        <v>22</v>
      </c>
      <c r="J1094" s="2">
        <v>45677</v>
      </c>
      <c r="K1094" s="8">
        <f>(F1094/G1094)*100</f>
        <v>0.8397515282787068</v>
      </c>
      <c r="L1094" s="8">
        <f>(H1094/G1094)*100</f>
        <v>0.7787355045827804</v>
      </c>
    </row>
    <row r="1095" spans="1:12" x14ac:dyDescent="0.3">
      <c r="A1095" s="1" t="s">
        <v>1103</v>
      </c>
      <c r="B1095" s="1" t="s">
        <v>14</v>
      </c>
      <c r="C1095" s="1" t="s">
        <v>18</v>
      </c>
      <c r="D1095" s="1" t="s">
        <v>16</v>
      </c>
      <c r="E1095" s="35">
        <v>45656</v>
      </c>
      <c r="F1095" s="1">
        <v>82681</v>
      </c>
      <c r="G1095" s="1">
        <v>296959</v>
      </c>
      <c r="H1095" s="3">
        <v>557</v>
      </c>
      <c r="I1095" s="1">
        <v>12</v>
      </c>
      <c r="J1095" s="2">
        <v>45668</v>
      </c>
      <c r="K1095" s="8">
        <f>(F1095/G1095)*100</f>
        <v>27.84256412501389</v>
      </c>
      <c r="L1095" s="8">
        <f>(H1095/G1095)*100</f>
        <v>0.18756798076502143</v>
      </c>
    </row>
    <row r="1096" spans="1:12" x14ac:dyDescent="0.3">
      <c r="A1096" s="1" t="s">
        <v>1104</v>
      </c>
      <c r="B1096" s="1" t="s">
        <v>14</v>
      </c>
      <c r="C1096" s="1" t="s">
        <v>37</v>
      </c>
      <c r="D1096" s="1" t="s">
        <v>12</v>
      </c>
      <c r="E1096" s="35">
        <v>45657</v>
      </c>
      <c r="F1096" s="1">
        <v>12046</v>
      </c>
      <c r="G1096" s="1">
        <v>322068</v>
      </c>
      <c r="H1096" s="3">
        <v>4613</v>
      </c>
      <c r="I1096" s="1">
        <v>4</v>
      </c>
      <c r="J1096" s="2">
        <v>45661</v>
      </c>
      <c r="K1096" s="8">
        <f>(F1096/G1096)*100</f>
        <v>3.7402039320888756</v>
      </c>
      <c r="L1096" s="8">
        <f>(H1096/G1096)*100</f>
        <v>1.432306221046487</v>
      </c>
    </row>
    <row r="1097" spans="1:12" x14ac:dyDescent="0.3">
      <c r="A1097" s="1" t="s">
        <v>1105</v>
      </c>
      <c r="B1097" s="1" t="s">
        <v>22</v>
      </c>
      <c r="C1097" s="1" t="s">
        <v>15</v>
      </c>
      <c r="D1097" s="1" t="s">
        <v>12</v>
      </c>
      <c r="E1097" s="35">
        <v>45658</v>
      </c>
      <c r="F1097" s="1">
        <v>25717</v>
      </c>
      <c r="G1097" s="1">
        <v>686625</v>
      </c>
      <c r="H1097" s="3">
        <v>2945</v>
      </c>
      <c r="I1097" s="1">
        <v>17</v>
      </c>
      <c r="J1097" s="2">
        <v>45675</v>
      </c>
      <c r="K1097" s="8">
        <f>(F1097/G1097)*100</f>
        <v>3.7454214454760604</v>
      </c>
      <c r="L1097" s="8">
        <f>(H1097/G1097)*100</f>
        <v>0.42890952120881126</v>
      </c>
    </row>
    <row r="1098" spans="1:12" x14ac:dyDescent="0.3">
      <c r="A1098" s="1" t="s">
        <v>1106</v>
      </c>
      <c r="B1098" s="1" t="s">
        <v>10</v>
      </c>
      <c r="C1098" s="1" t="s">
        <v>15</v>
      </c>
      <c r="D1098" s="1" t="s">
        <v>19</v>
      </c>
      <c r="E1098" s="35">
        <v>45659</v>
      </c>
      <c r="F1098" s="1">
        <v>32041</v>
      </c>
      <c r="G1098" s="1">
        <v>479632</v>
      </c>
      <c r="H1098" s="3">
        <v>989</v>
      </c>
      <c r="I1098" s="1">
        <v>10</v>
      </c>
      <c r="J1098" s="2">
        <v>45669</v>
      </c>
      <c r="K1098" s="8">
        <f>(F1098/G1098)*100</f>
        <v>6.6803299196050308</v>
      </c>
      <c r="L1098" s="8">
        <f>(H1098/G1098)*100</f>
        <v>0.20619975314407715</v>
      </c>
    </row>
    <row r="1099" spans="1:12" x14ac:dyDescent="0.3">
      <c r="A1099" s="1" t="s">
        <v>1107</v>
      </c>
      <c r="B1099" s="1" t="s">
        <v>10</v>
      </c>
      <c r="C1099" s="1" t="s">
        <v>15</v>
      </c>
      <c r="D1099" s="1" t="s">
        <v>12</v>
      </c>
      <c r="E1099" s="35">
        <v>45660</v>
      </c>
      <c r="F1099" s="1">
        <v>31723</v>
      </c>
      <c r="G1099" s="1">
        <v>183568</v>
      </c>
      <c r="H1099" s="3">
        <v>1842</v>
      </c>
      <c r="I1099" s="1">
        <v>25</v>
      </c>
      <c r="J1099" s="2">
        <v>45685</v>
      </c>
      <c r="K1099" s="8">
        <f>(F1099/G1099)*100</f>
        <v>17.281334437374706</v>
      </c>
      <c r="L1099" s="8">
        <f>(H1099/G1099)*100</f>
        <v>1.0034428658589734</v>
      </c>
    </row>
    <row r="1100" spans="1:12" x14ac:dyDescent="0.3">
      <c r="A1100" s="1" t="s">
        <v>1108</v>
      </c>
      <c r="B1100" s="1" t="s">
        <v>22</v>
      </c>
      <c r="C1100" s="1" t="s">
        <v>11</v>
      </c>
      <c r="D1100" s="1" t="s">
        <v>16</v>
      </c>
      <c r="E1100" s="35">
        <v>45661</v>
      </c>
      <c r="F1100" s="1">
        <v>89160</v>
      </c>
      <c r="G1100" s="1">
        <v>868745</v>
      </c>
      <c r="H1100" s="3">
        <v>1186</v>
      </c>
      <c r="I1100" s="1">
        <v>4</v>
      </c>
      <c r="J1100" s="2">
        <v>45665</v>
      </c>
      <c r="K1100" s="8">
        <f>(F1100/G1100)*100</f>
        <v>10.263080650823889</v>
      </c>
      <c r="L1100" s="8">
        <f>(H1100/G1100)*100</f>
        <v>0.13651877133105803</v>
      </c>
    </row>
    <row r="1101" spans="1:12" x14ac:dyDescent="0.3">
      <c r="A1101" s="1" t="s">
        <v>1109</v>
      </c>
      <c r="B1101" s="1" t="s">
        <v>22</v>
      </c>
      <c r="C1101" s="1" t="s">
        <v>27</v>
      </c>
      <c r="D1101" s="1" t="s">
        <v>16</v>
      </c>
      <c r="E1101" s="35">
        <v>45662</v>
      </c>
      <c r="F1101" s="1">
        <v>76125</v>
      </c>
      <c r="G1101" s="1">
        <v>346246</v>
      </c>
      <c r="H1101" s="3">
        <v>2736</v>
      </c>
      <c r="I1101" s="1">
        <v>1</v>
      </c>
      <c r="J1101" s="2">
        <v>45663</v>
      </c>
      <c r="K1101" s="8">
        <f>(F1101/G1101)*100</f>
        <v>21.985813554524817</v>
      </c>
      <c r="L1101" s="8">
        <f>(H1101/G1101)*100</f>
        <v>0.79018963395967035</v>
      </c>
    </row>
    <row r="1102" spans="1:12" x14ac:dyDescent="0.3">
      <c r="A1102" s="1" t="s">
        <v>1110</v>
      </c>
      <c r="B1102" s="1" t="s">
        <v>22</v>
      </c>
      <c r="C1102" s="1" t="s">
        <v>25</v>
      </c>
      <c r="D1102" s="1" t="s">
        <v>32</v>
      </c>
      <c r="E1102" s="35">
        <v>45663</v>
      </c>
      <c r="F1102" s="1">
        <v>33098</v>
      </c>
      <c r="G1102" s="1">
        <v>387248</v>
      </c>
      <c r="H1102" s="3">
        <v>397</v>
      </c>
      <c r="I1102" s="1">
        <v>29</v>
      </c>
      <c r="J1102" s="2">
        <v>45692</v>
      </c>
      <c r="K1102" s="8">
        <f>(F1102/G1102)*100</f>
        <v>8.5469776473990837</v>
      </c>
      <c r="L1102" s="8">
        <f>(H1102/G1102)*100</f>
        <v>0.10251828285749701</v>
      </c>
    </row>
    <row r="1103" spans="1:12" x14ac:dyDescent="0.3">
      <c r="A1103" s="1" t="s">
        <v>1111</v>
      </c>
      <c r="B1103" s="1" t="s">
        <v>10</v>
      </c>
      <c r="C1103" s="1" t="s">
        <v>27</v>
      </c>
      <c r="D1103" s="1" t="s">
        <v>32</v>
      </c>
      <c r="E1103" s="35">
        <v>45664</v>
      </c>
      <c r="F1103" s="1">
        <v>96250</v>
      </c>
      <c r="G1103" s="1">
        <v>92554</v>
      </c>
      <c r="H1103" s="3">
        <v>4716</v>
      </c>
      <c r="I1103" s="1">
        <v>25</v>
      </c>
      <c r="J1103" s="2">
        <v>45689</v>
      </c>
      <c r="K1103" s="8">
        <f>(F1103/G1103)*100</f>
        <v>103.99334442595674</v>
      </c>
      <c r="L1103" s="8">
        <f>(H1103/G1103)*100</f>
        <v>5.0954037642889558</v>
      </c>
    </row>
    <row r="1104" spans="1:12" x14ac:dyDescent="0.3">
      <c r="A1104" s="1" t="s">
        <v>1112</v>
      </c>
      <c r="B1104" s="1" t="s">
        <v>10</v>
      </c>
      <c r="C1104" s="1" t="s">
        <v>27</v>
      </c>
      <c r="D1104" s="1" t="s">
        <v>16</v>
      </c>
      <c r="E1104" s="35">
        <v>45665</v>
      </c>
      <c r="F1104" s="1">
        <v>17840</v>
      </c>
      <c r="G1104" s="1">
        <v>756891</v>
      </c>
      <c r="H1104" s="3">
        <v>1578</v>
      </c>
      <c r="I1104" s="1">
        <v>12</v>
      </c>
      <c r="J1104" s="2">
        <v>45677</v>
      </c>
      <c r="K1104" s="8">
        <f>(F1104/G1104)*100</f>
        <v>2.3570104546097128</v>
      </c>
      <c r="L1104" s="8">
        <f>(H1104/G1104)*100</f>
        <v>0.20848444492007437</v>
      </c>
    </row>
    <row r="1105" spans="1:12" x14ac:dyDescent="0.3">
      <c r="A1105" s="1" t="s">
        <v>1113</v>
      </c>
      <c r="B1105" s="1" t="s">
        <v>22</v>
      </c>
      <c r="C1105" s="1" t="s">
        <v>18</v>
      </c>
      <c r="D1105" s="1" t="s">
        <v>16</v>
      </c>
      <c r="E1105" s="35">
        <v>45666</v>
      </c>
      <c r="F1105" s="1">
        <v>10053</v>
      </c>
      <c r="G1105" s="1">
        <v>112512</v>
      </c>
      <c r="H1105" s="3">
        <v>276</v>
      </c>
      <c r="I1105" s="1">
        <v>8</v>
      </c>
      <c r="J1105" s="2">
        <v>45674</v>
      </c>
      <c r="K1105" s="8">
        <f>(F1105/G1105)*100</f>
        <v>8.9350469283276439</v>
      </c>
      <c r="L1105" s="8">
        <f>(H1105/G1105)*100</f>
        <v>0.24530716723549489</v>
      </c>
    </row>
    <row r="1106" spans="1:12" x14ac:dyDescent="0.3">
      <c r="A1106" s="1" t="s">
        <v>1114</v>
      </c>
      <c r="B1106" s="1" t="s">
        <v>10</v>
      </c>
      <c r="C1106" s="1" t="s">
        <v>37</v>
      </c>
      <c r="D1106" s="1" t="s">
        <v>19</v>
      </c>
      <c r="E1106" s="35">
        <v>45667</v>
      </c>
      <c r="F1106" s="1">
        <v>68400</v>
      </c>
      <c r="G1106" s="1">
        <v>192669</v>
      </c>
      <c r="H1106" s="3">
        <v>4088</v>
      </c>
      <c r="I1106" s="1">
        <v>27</v>
      </c>
      <c r="J1106" s="2">
        <v>45694</v>
      </c>
      <c r="K1106" s="8">
        <f>(F1106/G1106)*100</f>
        <v>35.501300157264531</v>
      </c>
      <c r="L1106" s="8">
        <f>(H1106/G1106)*100</f>
        <v>2.121773611738266</v>
      </c>
    </row>
    <row r="1107" spans="1:12" x14ac:dyDescent="0.3">
      <c r="A1107" s="1" t="s">
        <v>1115</v>
      </c>
      <c r="B1107" s="1" t="s">
        <v>22</v>
      </c>
      <c r="C1107" s="1" t="s">
        <v>11</v>
      </c>
      <c r="D1107" s="1" t="s">
        <v>28</v>
      </c>
      <c r="E1107" s="35">
        <v>45668</v>
      </c>
      <c r="F1107" s="1">
        <v>6790</v>
      </c>
      <c r="G1107" s="1">
        <v>519712</v>
      </c>
      <c r="H1107" s="3">
        <v>4955</v>
      </c>
      <c r="I1107" s="1">
        <v>3</v>
      </c>
      <c r="J1107" s="2">
        <v>45671</v>
      </c>
      <c r="K1107" s="8">
        <f>(F1107/G1107)*100</f>
        <v>1.3064928267963796</v>
      </c>
      <c r="L1107" s="8">
        <f>(H1107/G1107)*100</f>
        <v>0.95341265931900743</v>
      </c>
    </row>
    <row r="1108" spans="1:12" x14ac:dyDescent="0.3">
      <c r="A1108" s="1" t="s">
        <v>1116</v>
      </c>
      <c r="B1108" s="1" t="s">
        <v>22</v>
      </c>
      <c r="C1108" s="1" t="s">
        <v>37</v>
      </c>
      <c r="D1108" s="1" t="s">
        <v>16</v>
      </c>
      <c r="E1108" s="35">
        <v>45669</v>
      </c>
      <c r="F1108" s="1">
        <v>46139</v>
      </c>
      <c r="G1108" s="1">
        <v>872042</v>
      </c>
      <c r="H1108" s="3">
        <v>1709</v>
      </c>
      <c r="I1108" s="1">
        <v>23</v>
      </c>
      <c r="J1108" s="2">
        <v>45692</v>
      </c>
      <c r="K1108" s="8">
        <f>(F1108/G1108)*100</f>
        <v>5.2909148871269966</v>
      </c>
      <c r="L1108" s="8">
        <f>(H1108/G1108)*100</f>
        <v>0.19597679928260334</v>
      </c>
    </row>
    <row r="1109" spans="1:12" x14ac:dyDescent="0.3">
      <c r="A1109" s="1" t="s">
        <v>1117</v>
      </c>
      <c r="B1109" s="1" t="s">
        <v>24</v>
      </c>
      <c r="C1109" s="1" t="s">
        <v>25</v>
      </c>
      <c r="D1109" s="1" t="s">
        <v>16</v>
      </c>
      <c r="E1109" s="35">
        <v>45670</v>
      </c>
      <c r="F1109" s="1">
        <v>78532</v>
      </c>
      <c r="G1109" s="1">
        <v>487241</v>
      </c>
      <c r="H1109" s="3">
        <v>4191</v>
      </c>
      <c r="I1109" s="1">
        <v>19</v>
      </c>
      <c r="J1109" s="2">
        <v>45689</v>
      </c>
      <c r="K1109" s="8">
        <f>(F1109/G1109)*100</f>
        <v>16.11769124519488</v>
      </c>
      <c r="L1109" s="8">
        <f>(H1109/G1109)*100</f>
        <v>0.86014928957128001</v>
      </c>
    </row>
    <row r="1110" spans="1:12" x14ac:dyDescent="0.3">
      <c r="A1110" s="1" t="s">
        <v>1118</v>
      </c>
      <c r="B1110" s="1" t="s">
        <v>22</v>
      </c>
      <c r="C1110" s="1" t="s">
        <v>37</v>
      </c>
      <c r="D1110" s="1" t="s">
        <v>32</v>
      </c>
      <c r="E1110" s="35">
        <v>45671</v>
      </c>
      <c r="F1110" s="1">
        <v>34692</v>
      </c>
      <c r="G1110" s="1">
        <v>143315</v>
      </c>
      <c r="H1110" s="3">
        <v>932</v>
      </c>
      <c r="I1110" s="1">
        <v>28</v>
      </c>
      <c r="J1110" s="2">
        <v>45699</v>
      </c>
      <c r="K1110" s="8">
        <f>(F1110/G1110)*100</f>
        <v>24.206817151030947</v>
      </c>
      <c r="L1110" s="8">
        <f>(H1110/G1110)*100</f>
        <v>0.65031573805951925</v>
      </c>
    </row>
    <row r="1111" spans="1:12" x14ac:dyDescent="0.3">
      <c r="A1111" s="1" t="s">
        <v>1119</v>
      </c>
      <c r="B1111" s="1" t="s">
        <v>22</v>
      </c>
      <c r="C1111" s="1" t="s">
        <v>30</v>
      </c>
      <c r="D1111" s="1" t="s">
        <v>32</v>
      </c>
      <c r="E1111" s="35">
        <v>45672</v>
      </c>
      <c r="F1111" s="1">
        <v>91841</v>
      </c>
      <c r="G1111" s="1">
        <v>725447</v>
      </c>
      <c r="H1111" s="3">
        <v>2756</v>
      </c>
      <c r="I1111" s="1">
        <v>8</v>
      </c>
      <c r="J1111" s="2">
        <v>45680</v>
      </c>
      <c r="K1111" s="8">
        <f>(F1111/G1111)*100</f>
        <v>12.659918643264085</v>
      </c>
      <c r="L1111" s="8">
        <f>(H1111/G1111)*100</f>
        <v>0.37990370075277724</v>
      </c>
    </row>
    <row r="1112" spans="1:12" x14ac:dyDescent="0.3">
      <c r="A1112" s="1" t="s">
        <v>1120</v>
      </c>
      <c r="B1112" s="1" t="s">
        <v>14</v>
      </c>
      <c r="C1112" s="1" t="s">
        <v>11</v>
      </c>
      <c r="D1112" s="1" t="s">
        <v>16</v>
      </c>
      <c r="E1112" s="35">
        <v>45673</v>
      </c>
      <c r="F1112" s="1">
        <v>18942</v>
      </c>
      <c r="G1112" s="1">
        <v>198324</v>
      </c>
      <c r="H1112" s="3">
        <v>91</v>
      </c>
      <c r="I1112" s="1">
        <v>10</v>
      </c>
      <c r="J1112" s="2">
        <v>45683</v>
      </c>
      <c r="K1112" s="8">
        <f>(F1112/G1112)*100</f>
        <v>9.551037695891571</v>
      </c>
      <c r="L1112" s="8">
        <f>(H1112/G1112)*100</f>
        <v>4.5884512212339405E-2</v>
      </c>
    </row>
    <row r="1113" spans="1:12" x14ac:dyDescent="0.3">
      <c r="A1113" s="1" t="s">
        <v>1121</v>
      </c>
      <c r="B1113" s="1" t="s">
        <v>14</v>
      </c>
      <c r="C1113" s="1" t="s">
        <v>11</v>
      </c>
      <c r="D1113" s="1" t="s">
        <v>28</v>
      </c>
      <c r="E1113" s="35">
        <v>45674</v>
      </c>
      <c r="F1113" s="1">
        <v>26219</v>
      </c>
      <c r="G1113" s="1">
        <v>418661</v>
      </c>
      <c r="H1113" s="3">
        <v>2838</v>
      </c>
      <c r="I1113" s="1">
        <v>28</v>
      </c>
      <c r="J1113" s="2">
        <v>45702</v>
      </c>
      <c r="K1113" s="8">
        <f>(F1113/G1113)*100</f>
        <v>6.2625847642842309</v>
      </c>
      <c r="L1113" s="8">
        <f>(H1113/G1113)*100</f>
        <v>0.67787541710357546</v>
      </c>
    </row>
    <row r="1114" spans="1:12" x14ac:dyDescent="0.3">
      <c r="A1114" s="1" t="s">
        <v>1122</v>
      </c>
      <c r="B1114" s="1" t="s">
        <v>24</v>
      </c>
      <c r="C1114" s="1" t="s">
        <v>25</v>
      </c>
      <c r="D1114" s="1" t="s">
        <v>32</v>
      </c>
      <c r="E1114" s="35">
        <v>45675</v>
      </c>
      <c r="F1114" s="1">
        <v>32620</v>
      </c>
      <c r="G1114" s="1">
        <v>869142</v>
      </c>
      <c r="H1114" s="3">
        <v>2982</v>
      </c>
      <c r="I1114" s="1">
        <v>16</v>
      </c>
      <c r="J1114" s="2">
        <v>45691</v>
      </c>
      <c r="K1114" s="8">
        <f>(F1114/G1114)*100</f>
        <v>3.7531266467389677</v>
      </c>
      <c r="L1114" s="8">
        <f>(H1114/G1114)*100</f>
        <v>0.34309698530274685</v>
      </c>
    </row>
    <row r="1115" spans="1:12" x14ac:dyDescent="0.3">
      <c r="A1115" s="1" t="s">
        <v>1123</v>
      </c>
      <c r="B1115" s="1" t="s">
        <v>24</v>
      </c>
      <c r="C1115" s="1" t="s">
        <v>37</v>
      </c>
      <c r="D1115" s="1" t="s">
        <v>28</v>
      </c>
      <c r="E1115" s="35">
        <v>45676</v>
      </c>
      <c r="F1115" s="1">
        <v>59480</v>
      </c>
      <c r="G1115" s="1">
        <v>2274</v>
      </c>
      <c r="H1115" s="3">
        <v>3126</v>
      </c>
      <c r="I1115" s="1">
        <v>24</v>
      </c>
      <c r="J1115" s="2">
        <v>45700</v>
      </c>
      <c r="K1115" s="8">
        <f>(F1115/G1115)*100</f>
        <v>2615.6552330694813</v>
      </c>
      <c r="L1115" s="8">
        <f>(H1115/G1115)*100</f>
        <v>137.46701846965698</v>
      </c>
    </row>
    <row r="1116" spans="1:12" x14ac:dyDescent="0.3">
      <c r="A1116" s="1" t="s">
        <v>1124</v>
      </c>
      <c r="B1116" s="1" t="s">
        <v>22</v>
      </c>
      <c r="C1116" s="1" t="s">
        <v>25</v>
      </c>
      <c r="D1116" s="1" t="s">
        <v>19</v>
      </c>
      <c r="E1116" s="35">
        <v>45677</v>
      </c>
      <c r="F1116" s="1">
        <v>40229</v>
      </c>
      <c r="G1116" s="1">
        <v>11765</v>
      </c>
      <c r="H1116" s="3">
        <v>388</v>
      </c>
      <c r="I1116" s="1">
        <v>15</v>
      </c>
      <c r="J1116" s="2">
        <v>45692</v>
      </c>
      <c r="K1116" s="8">
        <f>(F1116/G1116)*100</f>
        <v>341.9379515512112</v>
      </c>
      <c r="L1116" s="8">
        <f>(H1116/G1116)*100</f>
        <v>3.2979175520611985</v>
      </c>
    </row>
    <row r="1117" spans="1:12" x14ac:dyDescent="0.3">
      <c r="A1117" s="1" t="s">
        <v>1125</v>
      </c>
      <c r="B1117" s="1" t="s">
        <v>22</v>
      </c>
      <c r="C1117" s="1" t="s">
        <v>30</v>
      </c>
      <c r="D1117" s="1" t="s">
        <v>19</v>
      </c>
      <c r="E1117" s="35">
        <v>45678</v>
      </c>
      <c r="F1117" s="1">
        <v>75311</v>
      </c>
      <c r="G1117" s="1">
        <v>667365</v>
      </c>
      <c r="H1117" s="3">
        <v>4652</v>
      </c>
      <c r="I1117" s="1">
        <v>26</v>
      </c>
      <c r="J1117" s="2">
        <v>45704</v>
      </c>
      <c r="K1117" s="8">
        <f>(F1117/G1117)*100</f>
        <v>11.284829141474306</v>
      </c>
      <c r="L1117" s="8">
        <f>(H1117/G1117)*100</f>
        <v>0.69706981936421597</v>
      </c>
    </row>
    <row r="1118" spans="1:12" x14ac:dyDescent="0.3">
      <c r="A1118" s="1" t="s">
        <v>1126</v>
      </c>
      <c r="B1118" s="1" t="s">
        <v>10</v>
      </c>
      <c r="C1118" s="1" t="s">
        <v>27</v>
      </c>
      <c r="D1118" s="1" t="s">
        <v>28</v>
      </c>
      <c r="E1118" s="35">
        <v>45679</v>
      </c>
      <c r="F1118" s="1">
        <v>80479</v>
      </c>
      <c r="G1118" s="1">
        <v>528641</v>
      </c>
      <c r="H1118" s="3">
        <v>2201</v>
      </c>
      <c r="I1118" s="1">
        <v>6</v>
      </c>
      <c r="J1118" s="2">
        <v>45685</v>
      </c>
      <c r="K1118" s="8">
        <f>(F1118/G1118)*100</f>
        <v>15.223752981702138</v>
      </c>
      <c r="L1118" s="8">
        <f>(H1118/G1118)*100</f>
        <v>0.41635060466365642</v>
      </c>
    </row>
    <row r="1119" spans="1:12" x14ac:dyDescent="0.3">
      <c r="A1119" s="1" t="s">
        <v>1127</v>
      </c>
      <c r="B1119" s="1" t="s">
        <v>22</v>
      </c>
      <c r="C1119" s="1" t="s">
        <v>30</v>
      </c>
      <c r="D1119" s="1" t="s">
        <v>16</v>
      </c>
      <c r="E1119" s="35">
        <v>45680</v>
      </c>
      <c r="F1119" s="1">
        <v>39209</v>
      </c>
      <c r="G1119" s="1">
        <v>645896</v>
      </c>
      <c r="H1119" s="3">
        <v>3481</v>
      </c>
      <c r="I1119" s="1">
        <v>19</v>
      </c>
      <c r="J1119" s="2">
        <v>45699</v>
      </c>
      <c r="K1119" s="8">
        <f>(F1119/G1119)*100</f>
        <v>6.0704819351722259</v>
      </c>
      <c r="L1119" s="8">
        <f>(H1119/G1119)*100</f>
        <v>0.53894125370028612</v>
      </c>
    </row>
    <row r="1120" spans="1:12" x14ac:dyDescent="0.3">
      <c r="A1120" s="1" t="s">
        <v>1128</v>
      </c>
      <c r="B1120" s="1" t="s">
        <v>10</v>
      </c>
      <c r="C1120" s="1" t="s">
        <v>18</v>
      </c>
      <c r="D1120" s="1" t="s">
        <v>16</v>
      </c>
      <c r="E1120" s="35">
        <v>45681</v>
      </c>
      <c r="F1120" s="1">
        <v>58464</v>
      </c>
      <c r="G1120" s="1">
        <v>905191</v>
      </c>
      <c r="H1120" s="3">
        <v>2326</v>
      </c>
      <c r="I1120" s="1">
        <v>28</v>
      </c>
      <c r="J1120" s="2">
        <v>45709</v>
      </c>
      <c r="K1120" s="8">
        <f>(F1120/G1120)*100</f>
        <v>6.4587473803871225</v>
      </c>
      <c r="L1120" s="8">
        <f>(H1120/G1120)*100</f>
        <v>0.25696234275418117</v>
      </c>
    </row>
    <row r="1121" spans="1:12" x14ac:dyDescent="0.3">
      <c r="A1121" s="1" t="s">
        <v>1129</v>
      </c>
      <c r="B1121" s="1" t="s">
        <v>14</v>
      </c>
      <c r="C1121" s="1" t="s">
        <v>30</v>
      </c>
      <c r="D1121" s="1" t="s">
        <v>32</v>
      </c>
      <c r="E1121" s="35">
        <v>45682</v>
      </c>
      <c r="F1121" s="1">
        <v>7082</v>
      </c>
      <c r="G1121" s="1">
        <v>654892</v>
      </c>
      <c r="H1121" s="3">
        <v>3911</v>
      </c>
      <c r="I1121" s="1">
        <v>15</v>
      </c>
      <c r="J1121" s="2">
        <v>45697</v>
      </c>
      <c r="K1121" s="8">
        <f>(F1121/G1121)*100</f>
        <v>1.0813996811688034</v>
      </c>
      <c r="L1121" s="8">
        <f>(H1121/G1121)*100</f>
        <v>0.59719770588127508</v>
      </c>
    </row>
    <row r="1122" spans="1:12" x14ac:dyDescent="0.3">
      <c r="A1122" s="1" t="s">
        <v>1130</v>
      </c>
      <c r="B1122" s="1" t="s">
        <v>22</v>
      </c>
      <c r="C1122" s="1" t="s">
        <v>27</v>
      </c>
      <c r="D1122" s="1" t="s">
        <v>32</v>
      </c>
      <c r="E1122" s="35">
        <v>45683</v>
      </c>
      <c r="F1122" s="1">
        <v>94987</v>
      </c>
      <c r="G1122" s="1">
        <v>532748</v>
      </c>
      <c r="H1122" s="3">
        <v>2487</v>
      </c>
      <c r="I1122" s="1">
        <v>7</v>
      </c>
      <c r="J1122" s="2">
        <v>45690</v>
      </c>
      <c r="K1122" s="8">
        <f>(F1122/G1122)*100</f>
        <v>17.829630519495147</v>
      </c>
      <c r="L1122" s="8">
        <f>(H1122/G1122)*100</f>
        <v>0.46682484026218773</v>
      </c>
    </row>
    <row r="1123" spans="1:12" x14ac:dyDescent="0.3">
      <c r="A1123" s="1" t="s">
        <v>1131</v>
      </c>
      <c r="B1123" s="1" t="s">
        <v>10</v>
      </c>
      <c r="C1123" s="1" t="s">
        <v>25</v>
      </c>
      <c r="D1123" s="1" t="s">
        <v>32</v>
      </c>
      <c r="E1123" s="35">
        <v>45684</v>
      </c>
      <c r="F1123" s="1">
        <v>22964</v>
      </c>
      <c r="G1123" s="1">
        <v>468291</v>
      </c>
      <c r="H1123" s="3">
        <v>1671</v>
      </c>
      <c r="I1123" s="1">
        <v>9</v>
      </c>
      <c r="J1123" s="2">
        <v>45693</v>
      </c>
      <c r="K1123" s="8">
        <f>(F1123/G1123)*100</f>
        <v>4.903788456323098</v>
      </c>
      <c r="L1123" s="8">
        <f>(H1123/G1123)*100</f>
        <v>0.35682940735568269</v>
      </c>
    </row>
    <row r="1124" spans="1:12" x14ac:dyDescent="0.3">
      <c r="A1124" s="1" t="s">
        <v>1132</v>
      </c>
      <c r="B1124" s="1" t="s">
        <v>22</v>
      </c>
      <c r="C1124" s="1" t="s">
        <v>30</v>
      </c>
      <c r="D1124" s="1" t="s">
        <v>16</v>
      </c>
      <c r="E1124" s="35">
        <v>45685</v>
      </c>
      <c r="F1124" s="1">
        <v>5343</v>
      </c>
      <c r="G1124" s="1">
        <v>917741</v>
      </c>
      <c r="H1124" s="3">
        <v>1030</v>
      </c>
      <c r="I1124" s="1">
        <v>20</v>
      </c>
      <c r="J1124" s="2">
        <v>45705</v>
      </c>
      <c r="K1124" s="8">
        <f>(F1124/G1124)*100</f>
        <v>0.5821904001237822</v>
      </c>
      <c r="L1124" s="8">
        <f>(H1124/G1124)*100</f>
        <v>0.11223210034203551</v>
      </c>
    </row>
    <row r="1125" spans="1:12" x14ac:dyDescent="0.3">
      <c r="A1125" s="1" t="s">
        <v>1133</v>
      </c>
      <c r="B1125" s="1" t="s">
        <v>14</v>
      </c>
      <c r="C1125" s="1" t="s">
        <v>25</v>
      </c>
      <c r="D1125" s="1" t="s">
        <v>12</v>
      </c>
      <c r="E1125" s="35">
        <v>45686</v>
      </c>
      <c r="F1125" s="1">
        <v>49407</v>
      </c>
      <c r="G1125" s="1">
        <v>553346</v>
      </c>
      <c r="H1125" s="3">
        <v>4836</v>
      </c>
      <c r="I1125" s="1">
        <v>7</v>
      </c>
      <c r="J1125" s="2">
        <v>45693</v>
      </c>
      <c r="K1125" s="8">
        <f>(F1125/G1125)*100</f>
        <v>8.9287715100497689</v>
      </c>
      <c r="L1125" s="8">
        <f>(H1125/G1125)*100</f>
        <v>0.87395589739511992</v>
      </c>
    </row>
    <row r="1126" spans="1:12" x14ac:dyDescent="0.3">
      <c r="A1126" s="1" t="s">
        <v>1134</v>
      </c>
      <c r="B1126" s="1" t="s">
        <v>14</v>
      </c>
      <c r="C1126" s="1" t="s">
        <v>25</v>
      </c>
      <c r="D1126" s="1" t="s">
        <v>16</v>
      </c>
      <c r="E1126" s="35">
        <v>45687</v>
      </c>
      <c r="F1126" s="1">
        <v>93814</v>
      </c>
      <c r="G1126" s="1">
        <v>290840</v>
      </c>
      <c r="H1126" s="3">
        <v>118</v>
      </c>
      <c r="I1126" s="1">
        <v>6</v>
      </c>
      <c r="J1126" s="2">
        <v>45693</v>
      </c>
      <c r="K1126" s="8">
        <f>(F1126/G1126)*100</f>
        <v>32.256223353046352</v>
      </c>
      <c r="L1126" s="8">
        <f>(H1126/G1126)*100</f>
        <v>4.0572135882272042E-2</v>
      </c>
    </row>
    <row r="1127" spans="1:12" x14ac:dyDescent="0.3">
      <c r="A1127" s="1" t="s">
        <v>1135</v>
      </c>
      <c r="B1127" s="1" t="s">
        <v>14</v>
      </c>
      <c r="C1127" s="1" t="s">
        <v>11</v>
      </c>
      <c r="D1127" s="1" t="s">
        <v>28</v>
      </c>
      <c r="E1127" s="35">
        <v>45688</v>
      </c>
      <c r="F1127" s="1">
        <v>79132</v>
      </c>
      <c r="G1127" s="1">
        <v>411168</v>
      </c>
      <c r="H1127" s="3">
        <v>4562</v>
      </c>
      <c r="I1127" s="1">
        <v>25</v>
      </c>
      <c r="J1127" s="2">
        <v>45713</v>
      </c>
      <c r="K1127" s="8">
        <f>(F1127/G1127)*100</f>
        <v>19.245661140944819</v>
      </c>
      <c r="L1127" s="8">
        <f>(H1127/G1127)*100</f>
        <v>1.1095221418009182</v>
      </c>
    </row>
    <row r="1128" spans="1:12" x14ac:dyDescent="0.3">
      <c r="A1128" s="1" t="s">
        <v>1136</v>
      </c>
      <c r="B1128" s="1" t="s">
        <v>14</v>
      </c>
      <c r="C1128" s="1" t="s">
        <v>30</v>
      </c>
      <c r="D1128" s="1" t="s">
        <v>16</v>
      </c>
      <c r="E1128" s="35">
        <v>45689</v>
      </c>
      <c r="F1128" s="1">
        <v>17946</v>
      </c>
      <c r="G1128" s="1">
        <v>828426</v>
      </c>
      <c r="H1128" s="3">
        <v>3160</v>
      </c>
      <c r="I1128" s="1">
        <v>12</v>
      </c>
      <c r="J1128" s="2">
        <v>45701</v>
      </c>
      <c r="K1128" s="8">
        <f>(F1128/G1128)*100</f>
        <v>2.1662767706469861</v>
      </c>
      <c r="L1128" s="8">
        <f>(H1128/G1128)*100</f>
        <v>0.38144626074024718</v>
      </c>
    </row>
    <row r="1129" spans="1:12" x14ac:dyDescent="0.3">
      <c r="A1129" s="1" t="s">
        <v>1137</v>
      </c>
      <c r="B1129" s="1" t="s">
        <v>14</v>
      </c>
      <c r="C1129" s="1" t="s">
        <v>15</v>
      </c>
      <c r="D1129" s="1" t="s">
        <v>28</v>
      </c>
      <c r="E1129" s="35">
        <v>45690</v>
      </c>
      <c r="F1129" s="1">
        <v>31983</v>
      </c>
      <c r="G1129" s="1">
        <v>397960</v>
      </c>
      <c r="H1129" s="3">
        <v>2406</v>
      </c>
      <c r="I1129" s="1">
        <v>17</v>
      </c>
      <c r="J1129" s="2">
        <v>45707</v>
      </c>
      <c r="K1129" s="8">
        <f>(F1129/G1129)*100</f>
        <v>8.0367373605387478</v>
      </c>
      <c r="L1129" s="8">
        <f>(H1129/G1129)*100</f>
        <v>0.60458337521358929</v>
      </c>
    </row>
    <row r="1130" spans="1:12" x14ac:dyDescent="0.3">
      <c r="A1130" s="1" t="s">
        <v>1138</v>
      </c>
      <c r="B1130" s="1" t="s">
        <v>24</v>
      </c>
      <c r="C1130" s="1" t="s">
        <v>37</v>
      </c>
      <c r="D1130" s="1" t="s">
        <v>12</v>
      </c>
      <c r="E1130" s="35">
        <v>45691</v>
      </c>
      <c r="F1130" s="1">
        <v>58114</v>
      </c>
      <c r="G1130" s="1">
        <v>236774</v>
      </c>
      <c r="H1130" s="3">
        <v>3563</v>
      </c>
      <c r="I1130" s="1">
        <v>3</v>
      </c>
      <c r="J1130" s="2">
        <v>45694</v>
      </c>
      <c r="K1130" s="8">
        <f>(F1130/G1130)*100</f>
        <v>24.54408000878475</v>
      </c>
      <c r="L1130" s="8">
        <f>(H1130/G1130)*100</f>
        <v>1.5048104943954996</v>
      </c>
    </row>
    <row r="1131" spans="1:12" x14ac:dyDescent="0.3">
      <c r="A1131" s="1" t="s">
        <v>1139</v>
      </c>
      <c r="B1131" s="1" t="s">
        <v>24</v>
      </c>
      <c r="C1131" s="1" t="s">
        <v>11</v>
      </c>
      <c r="D1131" s="1" t="s">
        <v>28</v>
      </c>
      <c r="E1131" s="35">
        <v>45692</v>
      </c>
      <c r="F1131" s="1">
        <v>36007</v>
      </c>
      <c r="G1131" s="1">
        <v>288261</v>
      </c>
      <c r="H1131" s="3">
        <v>1067</v>
      </c>
      <c r="I1131" s="1">
        <v>7</v>
      </c>
      <c r="J1131" s="2">
        <v>45699</v>
      </c>
      <c r="K1131" s="8">
        <f>(F1131/G1131)*100</f>
        <v>12.491110486677004</v>
      </c>
      <c r="L1131" s="8">
        <f>(H1131/G1131)*100</f>
        <v>0.37015066207360692</v>
      </c>
    </row>
    <row r="1132" spans="1:12" x14ac:dyDescent="0.3">
      <c r="A1132" s="1" t="s">
        <v>1140</v>
      </c>
      <c r="B1132" s="1" t="s">
        <v>14</v>
      </c>
      <c r="C1132" s="1" t="s">
        <v>37</v>
      </c>
      <c r="D1132" s="1" t="s">
        <v>32</v>
      </c>
      <c r="E1132" s="35">
        <v>45693</v>
      </c>
      <c r="F1132" s="1">
        <v>24984</v>
      </c>
      <c r="G1132" s="1">
        <v>53808</v>
      </c>
      <c r="H1132" s="3">
        <v>4500</v>
      </c>
      <c r="I1132" s="1">
        <v>8</v>
      </c>
      <c r="J1132" s="2">
        <v>45701</v>
      </c>
      <c r="K1132" s="8">
        <f>(F1132/G1132)*100</f>
        <v>46.431757359500445</v>
      </c>
      <c r="L1132" s="8">
        <f>(H1132/G1132)*100</f>
        <v>8.3630686886708308</v>
      </c>
    </row>
    <row r="1133" spans="1:12" x14ac:dyDescent="0.3">
      <c r="A1133" s="1" t="s">
        <v>1141</v>
      </c>
      <c r="B1133" s="1" t="s">
        <v>22</v>
      </c>
      <c r="C1133" s="1" t="s">
        <v>11</v>
      </c>
      <c r="D1133" s="1" t="s">
        <v>19</v>
      </c>
      <c r="E1133" s="35">
        <v>45694</v>
      </c>
      <c r="F1133" s="1">
        <v>59917</v>
      </c>
      <c r="G1133" s="1">
        <v>320785</v>
      </c>
      <c r="H1133" s="3">
        <v>2906</v>
      </c>
      <c r="I1133" s="1">
        <v>16</v>
      </c>
      <c r="J1133" s="2">
        <v>45710</v>
      </c>
      <c r="K1133" s="8">
        <f>(F1133/G1133)*100</f>
        <v>18.678242436522904</v>
      </c>
      <c r="L1133" s="8">
        <f>(H1133/G1133)*100</f>
        <v>0.90590270742085832</v>
      </c>
    </row>
    <row r="1134" spans="1:12" x14ac:dyDescent="0.3">
      <c r="A1134" s="1" t="s">
        <v>1142</v>
      </c>
      <c r="B1134" s="1" t="s">
        <v>10</v>
      </c>
      <c r="C1134" s="1" t="s">
        <v>25</v>
      </c>
      <c r="D1134" s="1" t="s">
        <v>32</v>
      </c>
      <c r="E1134" s="35">
        <v>45695</v>
      </c>
      <c r="F1134" s="1">
        <v>36584</v>
      </c>
      <c r="G1134" s="1">
        <v>291033</v>
      </c>
      <c r="H1134" s="3">
        <v>3108</v>
      </c>
      <c r="I1134" s="1">
        <v>27</v>
      </c>
      <c r="J1134" s="2">
        <v>45722</v>
      </c>
      <c r="K1134" s="8">
        <f>(F1134/G1134)*100</f>
        <v>12.570395797040199</v>
      </c>
      <c r="L1134" s="8">
        <f>(H1134/G1134)*100</f>
        <v>1.0679201327684491</v>
      </c>
    </row>
    <row r="1135" spans="1:12" x14ac:dyDescent="0.3">
      <c r="A1135" s="1" t="s">
        <v>1143</v>
      </c>
      <c r="B1135" s="1" t="s">
        <v>24</v>
      </c>
      <c r="C1135" s="1" t="s">
        <v>25</v>
      </c>
      <c r="D1135" s="1" t="s">
        <v>16</v>
      </c>
      <c r="E1135" s="35">
        <v>45696</v>
      </c>
      <c r="F1135" s="1">
        <v>65561</v>
      </c>
      <c r="G1135" s="1">
        <v>68818</v>
      </c>
      <c r="H1135" s="3">
        <v>3069</v>
      </c>
      <c r="I1135" s="1">
        <v>4</v>
      </c>
      <c r="J1135" s="2">
        <v>45700</v>
      </c>
      <c r="K1135" s="8">
        <f>(F1135/G1135)*100</f>
        <v>95.267226597692471</v>
      </c>
      <c r="L1135" s="8">
        <f>(H1135/G1135)*100</f>
        <v>4.4595890610014823</v>
      </c>
    </row>
    <row r="1136" spans="1:12" x14ac:dyDescent="0.3">
      <c r="A1136" s="1" t="s">
        <v>1144</v>
      </c>
      <c r="B1136" s="1" t="s">
        <v>22</v>
      </c>
      <c r="C1136" s="1" t="s">
        <v>37</v>
      </c>
      <c r="D1136" s="1" t="s">
        <v>16</v>
      </c>
      <c r="E1136" s="35">
        <v>45697</v>
      </c>
      <c r="F1136" s="1">
        <v>26514</v>
      </c>
      <c r="G1136" s="1">
        <v>445400</v>
      </c>
      <c r="H1136" s="3">
        <v>1064</v>
      </c>
      <c r="I1136" s="1">
        <v>22</v>
      </c>
      <c r="J1136" s="2">
        <v>45719</v>
      </c>
      <c r="K1136" s="8">
        <f>(F1136/G1136)*100</f>
        <v>5.9528513695554555</v>
      </c>
      <c r="L1136" s="8">
        <f>(H1136/G1136)*100</f>
        <v>0.23888639425235741</v>
      </c>
    </row>
    <row r="1137" spans="1:12" x14ac:dyDescent="0.3">
      <c r="A1137" s="1" t="s">
        <v>1145</v>
      </c>
      <c r="B1137" s="1" t="s">
        <v>14</v>
      </c>
      <c r="C1137" s="1" t="s">
        <v>37</v>
      </c>
      <c r="D1137" s="1" t="s">
        <v>19</v>
      </c>
      <c r="E1137" s="35">
        <v>45698</v>
      </c>
      <c r="F1137" s="1">
        <v>56020</v>
      </c>
      <c r="G1137" s="1">
        <v>787618</v>
      </c>
      <c r="H1137" s="3">
        <v>623</v>
      </c>
      <c r="I1137" s="1">
        <v>23</v>
      </c>
      <c r="J1137" s="2">
        <v>45721</v>
      </c>
      <c r="K1137" s="8">
        <f>(F1137/G1137)*100</f>
        <v>7.1125850348773136</v>
      </c>
      <c r="L1137" s="8">
        <f>(H1137/G1137)*100</f>
        <v>7.9099258777732356E-2</v>
      </c>
    </row>
    <row r="1138" spans="1:12" x14ac:dyDescent="0.3">
      <c r="A1138" s="1" t="s">
        <v>1146</v>
      </c>
      <c r="B1138" s="1" t="s">
        <v>14</v>
      </c>
      <c r="C1138" s="1" t="s">
        <v>30</v>
      </c>
      <c r="D1138" s="1" t="s">
        <v>16</v>
      </c>
      <c r="E1138" s="35">
        <v>45699</v>
      </c>
      <c r="F1138" s="1">
        <v>46339</v>
      </c>
      <c r="G1138" s="1">
        <v>85289</v>
      </c>
      <c r="H1138" s="3">
        <v>3466</v>
      </c>
      <c r="I1138" s="1">
        <v>13</v>
      </c>
      <c r="J1138" s="2">
        <v>45712</v>
      </c>
      <c r="K1138" s="8">
        <f>(F1138/G1138)*100</f>
        <v>54.331742663180485</v>
      </c>
      <c r="L1138" s="8">
        <f>(H1138/G1138)*100</f>
        <v>4.0638300366987536</v>
      </c>
    </row>
    <row r="1139" spans="1:12" x14ac:dyDescent="0.3">
      <c r="A1139" s="1" t="s">
        <v>1147</v>
      </c>
      <c r="B1139" s="1" t="s">
        <v>22</v>
      </c>
      <c r="C1139" s="1" t="s">
        <v>30</v>
      </c>
      <c r="D1139" s="1" t="s">
        <v>32</v>
      </c>
      <c r="E1139" s="35">
        <v>45700</v>
      </c>
      <c r="F1139" s="1">
        <v>20077</v>
      </c>
      <c r="G1139" s="1">
        <v>362045</v>
      </c>
      <c r="H1139" s="3">
        <v>3928</v>
      </c>
      <c r="I1139" s="1">
        <v>18</v>
      </c>
      <c r="J1139" s="2">
        <v>45718</v>
      </c>
      <c r="K1139" s="8">
        <f>(F1139/G1139)*100</f>
        <v>5.5454432460053305</v>
      </c>
      <c r="L1139" s="8">
        <f>(H1139/G1139)*100</f>
        <v>1.0849480037011974</v>
      </c>
    </row>
    <row r="1140" spans="1:12" x14ac:dyDescent="0.3">
      <c r="A1140" s="1" t="s">
        <v>1148</v>
      </c>
      <c r="B1140" s="1" t="s">
        <v>14</v>
      </c>
      <c r="C1140" s="1" t="s">
        <v>11</v>
      </c>
      <c r="D1140" s="1" t="s">
        <v>32</v>
      </c>
      <c r="E1140" s="35">
        <v>45701</v>
      </c>
      <c r="F1140" s="1">
        <v>72142</v>
      </c>
      <c r="G1140" s="1">
        <v>606856</v>
      </c>
      <c r="H1140" s="3">
        <v>3589</v>
      </c>
      <c r="I1140" s="1">
        <v>23</v>
      </c>
      <c r="J1140" s="2">
        <v>45724</v>
      </c>
      <c r="K1140" s="8">
        <f>(F1140/G1140)*100</f>
        <v>11.88782841398948</v>
      </c>
      <c r="L1140" s="8">
        <f>(H1140/G1140)*100</f>
        <v>0.59140883504488706</v>
      </c>
    </row>
    <row r="1141" spans="1:12" x14ac:dyDescent="0.3">
      <c r="A1141" s="1" t="s">
        <v>1149</v>
      </c>
      <c r="B1141" s="1" t="s">
        <v>22</v>
      </c>
      <c r="C1141" s="1" t="s">
        <v>37</v>
      </c>
      <c r="D1141" s="1" t="s">
        <v>16</v>
      </c>
      <c r="E1141" s="35">
        <v>45702</v>
      </c>
      <c r="F1141" s="1">
        <v>44920</v>
      </c>
      <c r="G1141" s="1">
        <v>108218</v>
      </c>
      <c r="H1141" s="3">
        <v>2678</v>
      </c>
      <c r="I1141" s="1">
        <v>21</v>
      </c>
      <c r="J1141" s="2">
        <v>45723</v>
      </c>
      <c r="K1141" s="8">
        <f>(F1141/G1141)*100</f>
        <v>41.50880629839768</v>
      </c>
      <c r="L1141" s="8">
        <f>(H1141/G1141)*100</f>
        <v>2.474634533996193</v>
      </c>
    </row>
    <row r="1142" spans="1:12" x14ac:dyDescent="0.3">
      <c r="A1142" s="1" t="s">
        <v>1150</v>
      </c>
      <c r="B1142" s="1" t="s">
        <v>10</v>
      </c>
      <c r="C1142" s="1" t="s">
        <v>15</v>
      </c>
      <c r="D1142" s="1" t="s">
        <v>19</v>
      </c>
      <c r="E1142" s="35">
        <v>45703</v>
      </c>
      <c r="F1142" s="1">
        <v>50856</v>
      </c>
      <c r="G1142" s="1">
        <v>516150</v>
      </c>
      <c r="H1142" s="3">
        <v>18</v>
      </c>
      <c r="I1142" s="1">
        <v>29</v>
      </c>
      <c r="J1142" s="2">
        <v>45732</v>
      </c>
      <c r="K1142" s="8">
        <f>(F1142/G1142)*100</f>
        <v>9.8529497239174653</v>
      </c>
      <c r="L1142" s="8">
        <f>(H1142/G1142)*100</f>
        <v>3.4873583260680032E-3</v>
      </c>
    </row>
    <row r="1143" spans="1:12" x14ac:dyDescent="0.3">
      <c r="A1143" s="1" t="s">
        <v>1151</v>
      </c>
      <c r="B1143" s="1" t="s">
        <v>10</v>
      </c>
      <c r="C1143" s="1" t="s">
        <v>15</v>
      </c>
      <c r="D1143" s="1" t="s">
        <v>12</v>
      </c>
      <c r="E1143" s="35">
        <v>45704</v>
      </c>
      <c r="F1143" s="1">
        <v>92345</v>
      </c>
      <c r="G1143" s="1">
        <v>731315</v>
      </c>
      <c r="H1143" s="3">
        <v>39</v>
      </c>
      <c r="I1143" s="1">
        <v>26</v>
      </c>
      <c r="J1143" s="2">
        <v>45730</v>
      </c>
      <c r="K1143" s="8">
        <f>(F1143/G1143)*100</f>
        <v>12.627253645829772</v>
      </c>
      <c r="L1143" s="8">
        <f>(H1143/G1143)*100</f>
        <v>5.3328593013954317E-3</v>
      </c>
    </row>
    <row r="1144" spans="1:12" x14ac:dyDescent="0.3">
      <c r="A1144" s="1" t="s">
        <v>1152</v>
      </c>
      <c r="B1144" s="1" t="s">
        <v>10</v>
      </c>
      <c r="C1144" s="1" t="s">
        <v>27</v>
      </c>
      <c r="D1144" s="1" t="s">
        <v>16</v>
      </c>
      <c r="E1144" s="35">
        <v>45705</v>
      </c>
      <c r="F1144" s="1">
        <v>39007</v>
      </c>
      <c r="G1144" s="1">
        <v>21064</v>
      </c>
      <c r="H1144" s="3">
        <v>2082</v>
      </c>
      <c r="I1144" s="1">
        <v>17</v>
      </c>
      <c r="J1144" s="2">
        <v>45722</v>
      </c>
      <c r="K1144" s="8">
        <f>(F1144/G1144)*100</f>
        <v>185.18325104443599</v>
      </c>
      <c r="L1144" s="8">
        <f>(H1144/G1144)*100</f>
        <v>9.8841625522218006</v>
      </c>
    </row>
    <row r="1145" spans="1:12" x14ac:dyDescent="0.3">
      <c r="A1145" s="1" t="s">
        <v>1153</v>
      </c>
      <c r="B1145" s="1" t="s">
        <v>14</v>
      </c>
      <c r="C1145" s="1" t="s">
        <v>11</v>
      </c>
      <c r="D1145" s="1" t="s">
        <v>32</v>
      </c>
      <c r="E1145" s="35">
        <v>45706</v>
      </c>
      <c r="F1145" s="1">
        <v>15481</v>
      </c>
      <c r="G1145" s="1">
        <v>795924</v>
      </c>
      <c r="H1145" s="3">
        <v>3621</v>
      </c>
      <c r="I1145" s="1">
        <v>29</v>
      </c>
      <c r="J1145" s="2">
        <v>45735</v>
      </c>
      <c r="K1145" s="8">
        <f>(F1145/G1145)*100</f>
        <v>1.945034953085973</v>
      </c>
      <c r="L1145" s="8">
        <f>(H1145/G1145)*100</f>
        <v>0.45494293425000376</v>
      </c>
    </row>
    <row r="1146" spans="1:12" x14ac:dyDescent="0.3">
      <c r="A1146" s="1" t="s">
        <v>1154</v>
      </c>
      <c r="B1146" s="1" t="s">
        <v>22</v>
      </c>
      <c r="C1146" s="1" t="s">
        <v>15</v>
      </c>
      <c r="D1146" s="1" t="s">
        <v>19</v>
      </c>
      <c r="E1146" s="35">
        <v>45707</v>
      </c>
      <c r="F1146" s="1">
        <v>88682</v>
      </c>
      <c r="G1146" s="1">
        <v>352622</v>
      </c>
      <c r="H1146" s="3">
        <v>4066</v>
      </c>
      <c r="I1146" s="1">
        <v>5</v>
      </c>
      <c r="J1146" s="2">
        <v>45712</v>
      </c>
      <c r="K1146" s="8">
        <f>(F1146/G1146)*100</f>
        <v>25.149310026033543</v>
      </c>
      <c r="L1146" s="8">
        <f>(H1146/G1146)*100</f>
        <v>1.1530760984850632</v>
      </c>
    </row>
    <row r="1147" spans="1:12" x14ac:dyDescent="0.3">
      <c r="A1147" s="1" t="s">
        <v>1155</v>
      </c>
      <c r="B1147" s="1" t="s">
        <v>10</v>
      </c>
      <c r="C1147" s="1" t="s">
        <v>18</v>
      </c>
      <c r="D1147" s="1" t="s">
        <v>28</v>
      </c>
      <c r="E1147" s="35">
        <v>45708</v>
      </c>
      <c r="F1147" s="1">
        <v>64129</v>
      </c>
      <c r="G1147" s="1">
        <v>40197</v>
      </c>
      <c r="H1147" s="3">
        <v>979</v>
      </c>
      <c r="I1147" s="1">
        <v>27</v>
      </c>
      <c r="J1147" s="2">
        <v>45735</v>
      </c>
      <c r="K1147" s="8">
        <f>(F1147/G1147)*100</f>
        <v>159.53678135184217</v>
      </c>
      <c r="L1147" s="8">
        <f>(H1147/G1147)*100</f>
        <v>2.4355051371992937</v>
      </c>
    </row>
    <row r="1148" spans="1:12" x14ac:dyDescent="0.3">
      <c r="A1148" s="1" t="s">
        <v>1156</v>
      </c>
      <c r="B1148" s="1" t="s">
        <v>10</v>
      </c>
      <c r="C1148" s="1" t="s">
        <v>25</v>
      </c>
      <c r="D1148" s="1" t="s">
        <v>12</v>
      </c>
      <c r="E1148" s="35">
        <v>45709</v>
      </c>
      <c r="F1148" s="1">
        <v>28774</v>
      </c>
      <c r="G1148" s="1">
        <v>331519</v>
      </c>
      <c r="H1148" s="3">
        <v>2434</v>
      </c>
      <c r="I1148" s="1">
        <v>17</v>
      </c>
      <c r="J1148" s="2">
        <v>45726</v>
      </c>
      <c r="K1148" s="8">
        <f>(F1148/G1148)*100</f>
        <v>8.6794422039159151</v>
      </c>
      <c r="L1148" s="8">
        <f>(H1148/G1148)*100</f>
        <v>0.73419623008032731</v>
      </c>
    </row>
    <row r="1149" spans="1:12" x14ac:dyDescent="0.3">
      <c r="A1149" s="1" t="s">
        <v>1157</v>
      </c>
      <c r="B1149" s="1" t="s">
        <v>14</v>
      </c>
      <c r="C1149" s="1" t="s">
        <v>25</v>
      </c>
      <c r="D1149" s="1" t="s">
        <v>19</v>
      </c>
      <c r="E1149" s="35">
        <v>45710</v>
      </c>
      <c r="F1149" s="1">
        <v>68855</v>
      </c>
      <c r="G1149" s="1">
        <v>655272</v>
      </c>
      <c r="H1149" s="3">
        <v>4515</v>
      </c>
      <c r="I1149" s="1">
        <v>1</v>
      </c>
      <c r="J1149" s="2">
        <v>45711</v>
      </c>
      <c r="K1149" s="8">
        <f>(F1149/G1149)*100</f>
        <v>10.507850175194424</v>
      </c>
      <c r="L1149" s="8">
        <f>(H1149/G1149)*100</f>
        <v>0.68902684686664462</v>
      </c>
    </row>
    <row r="1150" spans="1:12" x14ac:dyDescent="0.3">
      <c r="A1150" s="1" t="s">
        <v>1158</v>
      </c>
      <c r="B1150" s="1" t="s">
        <v>10</v>
      </c>
      <c r="C1150" s="1" t="s">
        <v>25</v>
      </c>
      <c r="D1150" s="1" t="s">
        <v>16</v>
      </c>
      <c r="E1150" s="35">
        <v>45711</v>
      </c>
      <c r="F1150" s="1">
        <v>53316</v>
      </c>
      <c r="G1150" s="1">
        <v>490946</v>
      </c>
      <c r="H1150" s="3">
        <v>3208</v>
      </c>
      <c r="I1150" s="1">
        <v>27</v>
      </c>
      <c r="J1150" s="2">
        <v>45738</v>
      </c>
      <c r="K1150" s="8">
        <f>(F1150/G1150)*100</f>
        <v>10.85985016682079</v>
      </c>
      <c r="L1150" s="8">
        <f>(H1150/G1150)*100</f>
        <v>0.65343235304901148</v>
      </c>
    </row>
    <row r="1151" spans="1:12" x14ac:dyDescent="0.3">
      <c r="A1151" s="1" t="s">
        <v>1159</v>
      </c>
      <c r="B1151" s="1" t="s">
        <v>22</v>
      </c>
      <c r="C1151" s="1" t="s">
        <v>37</v>
      </c>
      <c r="D1151" s="1" t="s">
        <v>19</v>
      </c>
      <c r="E1151" s="35">
        <v>45712</v>
      </c>
      <c r="F1151" s="1">
        <v>60113</v>
      </c>
      <c r="G1151" s="1">
        <v>890579</v>
      </c>
      <c r="H1151" s="3">
        <v>4408</v>
      </c>
      <c r="I1151" s="1">
        <v>22</v>
      </c>
      <c r="J1151" s="2">
        <v>45734</v>
      </c>
      <c r="K1151" s="8">
        <f>(F1151/G1151)*100</f>
        <v>6.7498784498623925</v>
      </c>
      <c r="L1151" s="8">
        <f>(H1151/G1151)*100</f>
        <v>0.49495889752621602</v>
      </c>
    </row>
    <row r="1152" spans="1:12" x14ac:dyDescent="0.3">
      <c r="A1152" s="1" t="s">
        <v>1160</v>
      </c>
      <c r="B1152" s="1" t="s">
        <v>10</v>
      </c>
      <c r="C1152" s="1" t="s">
        <v>37</v>
      </c>
      <c r="D1152" s="1" t="s">
        <v>19</v>
      </c>
      <c r="E1152" s="35">
        <v>45713</v>
      </c>
      <c r="F1152" s="1">
        <v>93206</v>
      </c>
      <c r="G1152" s="1">
        <v>575198</v>
      </c>
      <c r="H1152" s="3">
        <v>3310</v>
      </c>
      <c r="I1152" s="1">
        <v>11</v>
      </c>
      <c r="J1152" s="2">
        <v>45724</v>
      </c>
      <c r="K1152" s="8">
        <f>(F1152/G1152)*100</f>
        <v>16.204159263418859</v>
      </c>
      <c r="L1152" s="8">
        <f>(H1152/G1152)*100</f>
        <v>0.57545401757307912</v>
      </c>
    </row>
    <row r="1153" spans="1:12" x14ac:dyDescent="0.3">
      <c r="A1153" s="1" t="s">
        <v>1161</v>
      </c>
      <c r="B1153" s="1" t="s">
        <v>22</v>
      </c>
      <c r="C1153" s="1" t="s">
        <v>11</v>
      </c>
      <c r="D1153" s="1" t="s">
        <v>32</v>
      </c>
      <c r="E1153" s="35">
        <v>45714</v>
      </c>
      <c r="F1153" s="1">
        <v>78160</v>
      </c>
      <c r="G1153" s="1">
        <v>653305</v>
      </c>
      <c r="H1153" s="3">
        <v>3293</v>
      </c>
      <c r="I1153" s="1">
        <v>27</v>
      </c>
      <c r="J1153" s="2">
        <v>45741</v>
      </c>
      <c r="K1153" s="8">
        <f>(F1153/G1153)*100</f>
        <v>11.96378414370011</v>
      </c>
      <c r="L1153" s="8">
        <f>(H1153/G1153)*100</f>
        <v>0.50405247166331191</v>
      </c>
    </row>
    <row r="1154" spans="1:12" x14ac:dyDescent="0.3">
      <c r="A1154" s="1" t="s">
        <v>1162</v>
      </c>
      <c r="B1154" s="1" t="s">
        <v>22</v>
      </c>
      <c r="C1154" s="1" t="s">
        <v>25</v>
      </c>
      <c r="D1154" s="1" t="s">
        <v>16</v>
      </c>
      <c r="E1154" s="35">
        <v>45715</v>
      </c>
      <c r="F1154" s="1">
        <v>23781</v>
      </c>
      <c r="G1154" s="1">
        <v>128701</v>
      </c>
      <c r="H1154" s="3">
        <v>677</v>
      </c>
      <c r="I1154" s="1">
        <v>6</v>
      </c>
      <c r="J1154" s="2">
        <v>45721</v>
      </c>
      <c r="K1154" s="8">
        <f>(F1154/G1154)*100</f>
        <v>18.477711905890398</v>
      </c>
      <c r="L1154" s="8">
        <f>(H1154/G1154)*100</f>
        <v>0.5260254388077793</v>
      </c>
    </row>
    <row r="1155" spans="1:12" x14ac:dyDescent="0.3">
      <c r="A1155" s="1" t="s">
        <v>1163</v>
      </c>
      <c r="B1155" s="1" t="s">
        <v>14</v>
      </c>
      <c r="C1155" s="1" t="s">
        <v>18</v>
      </c>
      <c r="D1155" s="1" t="s">
        <v>32</v>
      </c>
      <c r="E1155" s="35">
        <v>45716</v>
      </c>
      <c r="F1155" s="1">
        <v>66289</v>
      </c>
      <c r="G1155" s="1">
        <v>524467</v>
      </c>
      <c r="H1155" s="3">
        <v>366</v>
      </c>
      <c r="I1155" s="1">
        <v>25</v>
      </c>
      <c r="J1155" s="2">
        <v>45741</v>
      </c>
      <c r="K1155" s="8">
        <f>(F1155/G1155)*100</f>
        <v>12.639308097554277</v>
      </c>
      <c r="L1155" s="8">
        <f>(H1155/G1155)*100</f>
        <v>6.9785134241048541E-2</v>
      </c>
    </row>
    <row r="1156" spans="1:12" x14ac:dyDescent="0.3">
      <c r="A1156" s="1" t="s">
        <v>1164</v>
      </c>
      <c r="B1156" s="1" t="s">
        <v>22</v>
      </c>
      <c r="C1156" s="1" t="s">
        <v>30</v>
      </c>
      <c r="D1156" s="1" t="s">
        <v>32</v>
      </c>
      <c r="E1156" s="35">
        <v>45717</v>
      </c>
      <c r="F1156" s="1">
        <v>6016</v>
      </c>
      <c r="G1156" s="1">
        <v>677558</v>
      </c>
      <c r="H1156" s="3">
        <v>4943</v>
      </c>
      <c r="I1156" s="1">
        <v>26</v>
      </c>
      <c r="J1156" s="2">
        <v>45743</v>
      </c>
      <c r="K1156" s="8">
        <f>(F1156/G1156)*100</f>
        <v>0.88789446807505767</v>
      </c>
      <c r="L1156" s="8">
        <f>(H1156/G1156)*100</f>
        <v>0.72953164157164407</v>
      </c>
    </row>
    <row r="1157" spans="1:12" x14ac:dyDescent="0.3">
      <c r="A1157" s="1" t="s">
        <v>1165</v>
      </c>
      <c r="B1157" s="1" t="s">
        <v>22</v>
      </c>
      <c r="C1157" s="1" t="s">
        <v>18</v>
      </c>
      <c r="D1157" s="1" t="s">
        <v>19</v>
      </c>
      <c r="E1157" s="35">
        <v>45718</v>
      </c>
      <c r="F1157" s="1">
        <v>75065</v>
      </c>
      <c r="G1157" s="1">
        <v>917257</v>
      </c>
      <c r="H1157" s="3">
        <v>4373</v>
      </c>
      <c r="I1157" s="1">
        <v>23</v>
      </c>
      <c r="J1157" s="2">
        <v>45741</v>
      </c>
      <c r="K1157" s="8">
        <f>(F1157/G1157)*100</f>
        <v>8.1836388275041774</v>
      </c>
      <c r="L1157" s="8">
        <f>(H1157/G1157)*100</f>
        <v>0.47674752005163218</v>
      </c>
    </row>
    <row r="1158" spans="1:12" x14ac:dyDescent="0.3">
      <c r="A1158" s="1" t="s">
        <v>1166</v>
      </c>
      <c r="B1158" s="1" t="s">
        <v>22</v>
      </c>
      <c r="C1158" s="1" t="s">
        <v>37</v>
      </c>
      <c r="D1158" s="1" t="s">
        <v>12</v>
      </c>
      <c r="E1158" s="35">
        <v>45719</v>
      </c>
      <c r="F1158" s="1">
        <v>78385</v>
      </c>
      <c r="G1158" s="1">
        <v>589136</v>
      </c>
      <c r="H1158" s="3">
        <v>1633</v>
      </c>
      <c r="I1158" s="1">
        <v>25</v>
      </c>
      <c r="J1158" s="2">
        <v>45744</v>
      </c>
      <c r="K1158" s="8">
        <f>(F1158/G1158)*100</f>
        <v>13.305077265690773</v>
      </c>
      <c r="L1158" s="8">
        <f>(H1158/G1158)*100</f>
        <v>0.2771855734499335</v>
      </c>
    </row>
    <row r="1159" spans="1:12" x14ac:dyDescent="0.3">
      <c r="A1159" s="1" t="s">
        <v>1167</v>
      </c>
      <c r="B1159" s="1" t="s">
        <v>14</v>
      </c>
      <c r="C1159" s="1" t="s">
        <v>18</v>
      </c>
      <c r="D1159" s="1" t="s">
        <v>12</v>
      </c>
      <c r="E1159" s="35">
        <v>45720</v>
      </c>
      <c r="F1159" s="1">
        <v>76868</v>
      </c>
      <c r="G1159" s="1">
        <v>357048</v>
      </c>
      <c r="H1159" s="3">
        <v>2455</v>
      </c>
      <c r="I1159" s="1">
        <v>9</v>
      </c>
      <c r="J1159" s="2">
        <v>45729</v>
      </c>
      <c r="K1159" s="8">
        <f>(F1159/G1159)*100</f>
        <v>21.528758038134928</v>
      </c>
      <c r="L1159" s="8">
        <f>(H1159/G1159)*100</f>
        <v>0.68758262194438835</v>
      </c>
    </row>
    <row r="1160" spans="1:12" x14ac:dyDescent="0.3">
      <c r="A1160" s="1" t="s">
        <v>1168</v>
      </c>
      <c r="B1160" s="1" t="s">
        <v>10</v>
      </c>
      <c r="C1160" s="1" t="s">
        <v>37</v>
      </c>
      <c r="D1160" s="1" t="s">
        <v>12</v>
      </c>
      <c r="E1160" s="35">
        <v>45721</v>
      </c>
      <c r="F1160" s="1">
        <v>53505</v>
      </c>
      <c r="G1160" s="1">
        <v>223099</v>
      </c>
      <c r="H1160" s="3">
        <v>2063</v>
      </c>
      <c r="I1160" s="1">
        <v>17</v>
      </c>
      <c r="J1160" s="2">
        <v>45738</v>
      </c>
      <c r="K1160" s="8">
        <f>(F1160/G1160)*100</f>
        <v>23.982626546958976</v>
      </c>
      <c r="L1160" s="8">
        <f>(H1160/G1160)*100</f>
        <v>0.92470158987713968</v>
      </c>
    </row>
    <row r="1161" spans="1:12" x14ac:dyDescent="0.3">
      <c r="A1161" s="1" t="s">
        <v>1169</v>
      </c>
      <c r="B1161" s="1" t="s">
        <v>22</v>
      </c>
      <c r="C1161" s="1" t="s">
        <v>18</v>
      </c>
      <c r="D1161" s="1" t="s">
        <v>12</v>
      </c>
      <c r="E1161" s="35">
        <v>45722</v>
      </c>
      <c r="F1161" s="1">
        <v>93227</v>
      </c>
      <c r="G1161" s="1">
        <v>456031</v>
      </c>
      <c r="H1161" s="3">
        <v>387</v>
      </c>
      <c r="I1161" s="1">
        <v>18</v>
      </c>
      <c r="J1161" s="2">
        <v>45740</v>
      </c>
      <c r="K1161" s="8">
        <f>(F1161/G1161)*100</f>
        <v>20.443127769822667</v>
      </c>
      <c r="L1161" s="8">
        <f>(H1161/G1161)*100</f>
        <v>8.4862651881122117E-2</v>
      </c>
    </row>
    <row r="1162" spans="1:12" x14ac:dyDescent="0.3">
      <c r="A1162" s="1" t="s">
        <v>1170</v>
      </c>
      <c r="B1162" s="1" t="s">
        <v>14</v>
      </c>
      <c r="C1162" s="1" t="s">
        <v>27</v>
      </c>
      <c r="D1162" s="1" t="s">
        <v>32</v>
      </c>
      <c r="E1162" s="35">
        <v>45723</v>
      </c>
      <c r="F1162" s="1">
        <v>97092</v>
      </c>
      <c r="G1162" s="1">
        <v>797769</v>
      </c>
      <c r="H1162" s="3">
        <v>1641</v>
      </c>
      <c r="I1162" s="1">
        <v>27</v>
      </c>
      <c r="J1162" s="2">
        <v>45750</v>
      </c>
      <c r="K1162" s="8">
        <f>(F1162/G1162)*100</f>
        <v>12.170440315429655</v>
      </c>
      <c r="L1162" s="8">
        <f>(H1162/G1162)*100</f>
        <v>0.20569864208812325</v>
      </c>
    </row>
    <row r="1163" spans="1:12" x14ac:dyDescent="0.3">
      <c r="A1163" s="1" t="s">
        <v>1171</v>
      </c>
      <c r="B1163" s="1" t="s">
        <v>10</v>
      </c>
      <c r="C1163" s="1" t="s">
        <v>37</v>
      </c>
      <c r="D1163" s="1" t="s">
        <v>12</v>
      </c>
      <c r="E1163" s="35">
        <v>45724</v>
      </c>
      <c r="F1163" s="1">
        <v>12105</v>
      </c>
      <c r="G1163" s="1">
        <v>815345</v>
      </c>
      <c r="H1163" s="3">
        <v>1671</v>
      </c>
      <c r="I1163" s="1">
        <v>1</v>
      </c>
      <c r="J1163" s="2">
        <v>45725</v>
      </c>
      <c r="K1163" s="8">
        <f>(F1163/G1163)*100</f>
        <v>1.4846476031618518</v>
      </c>
      <c r="L1163" s="8">
        <f>(H1163/G1163)*100</f>
        <v>0.20494391944514287</v>
      </c>
    </row>
    <row r="1164" spans="1:12" x14ac:dyDescent="0.3">
      <c r="A1164" s="1" t="s">
        <v>1172</v>
      </c>
      <c r="B1164" s="1" t="s">
        <v>22</v>
      </c>
      <c r="C1164" s="1" t="s">
        <v>15</v>
      </c>
      <c r="D1164" s="1" t="s">
        <v>28</v>
      </c>
      <c r="E1164" s="35">
        <v>45725</v>
      </c>
      <c r="F1164" s="1">
        <v>12851</v>
      </c>
      <c r="G1164" s="1">
        <v>357008</v>
      </c>
      <c r="H1164" s="3">
        <v>3198</v>
      </c>
      <c r="I1164" s="1">
        <v>19</v>
      </c>
      <c r="J1164" s="2">
        <v>45744</v>
      </c>
      <c r="K1164" s="8">
        <f>(F1164/G1164)*100</f>
        <v>3.5996392237708958</v>
      </c>
      <c r="L1164" s="8">
        <f>(H1164/G1164)*100</f>
        <v>0.89577824586563881</v>
      </c>
    </row>
    <row r="1165" spans="1:12" x14ac:dyDescent="0.3">
      <c r="A1165" s="1" t="s">
        <v>1173</v>
      </c>
      <c r="B1165" s="1" t="s">
        <v>22</v>
      </c>
      <c r="C1165" s="1" t="s">
        <v>18</v>
      </c>
      <c r="D1165" s="1" t="s">
        <v>32</v>
      </c>
      <c r="E1165" s="35">
        <v>45726</v>
      </c>
      <c r="F1165" s="1">
        <v>16834</v>
      </c>
      <c r="G1165" s="1">
        <v>574012</v>
      </c>
      <c r="H1165" s="3">
        <v>3033</v>
      </c>
      <c r="I1165" s="1">
        <v>21</v>
      </c>
      <c r="J1165" s="2">
        <v>45747</v>
      </c>
      <c r="K1165" s="8">
        <f>(F1165/G1165)*100</f>
        <v>2.9326913026208512</v>
      </c>
      <c r="L1165" s="8">
        <f>(H1165/G1165)*100</f>
        <v>0.52838616614286804</v>
      </c>
    </row>
    <row r="1166" spans="1:12" x14ac:dyDescent="0.3">
      <c r="A1166" s="1" t="s">
        <v>1174</v>
      </c>
      <c r="B1166" s="1" t="s">
        <v>10</v>
      </c>
      <c r="C1166" s="1" t="s">
        <v>27</v>
      </c>
      <c r="D1166" s="1" t="s">
        <v>28</v>
      </c>
      <c r="E1166" s="35">
        <v>45727</v>
      </c>
      <c r="F1166" s="1">
        <v>89920</v>
      </c>
      <c r="G1166" s="1">
        <v>496419</v>
      </c>
      <c r="H1166" s="3">
        <v>2483</v>
      </c>
      <c r="I1166" s="1">
        <v>7</v>
      </c>
      <c r="J1166" s="2">
        <v>45734</v>
      </c>
      <c r="K1166" s="8">
        <f>(F1166/G1166)*100</f>
        <v>18.113730538113973</v>
      </c>
      <c r="L1166" s="8">
        <f>(H1166/G1166)*100</f>
        <v>0.50018230567323163</v>
      </c>
    </row>
    <row r="1167" spans="1:12" x14ac:dyDescent="0.3">
      <c r="A1167" s="1" t="s">
        <v>1175</v>
      </c>
      <c r="B1167" s="1" t="s">
        <v>10</v>
      </c>
      <c r="C1167" s="1" t="s">
        <v>15</v>
      </c>
      <c r="D1167" s="1" t="s">
        <v>28</v>
      </c>
      <c r="E1167" s="35">
        <v>45728</v>
      </c>
      <c r="F1167" s="1">
        <v>73993</v>
      </c>
      <c r="G1167" s="1">
        <v>433735</v>
      </c>
      <c r="H1167" s="3">
        <v>3377</v>
      </c>
      <c r="I1167" s="1">
        <v>29</v>
      </c>
      <c r="J1167" s="2">
        <v>45757</v>
      </c>
      <c r="K1167" s="8">
        <f>(F1167/G1167)*100</f>
        <v>17.059494852847937</v>
      </c>
      <c r="L1167" s="8">
        <f>(H1167/G1167)*100</f>
        <v>0.77858600297416625</v>
      </c>
    </row>
    <row r="1168" spans="1:12" x14ac:dyDescent="0.3">
      <c r="A1168" s="1" t="s">
        <v>1176</v>
      </c>
      <c r="B1168" s="1" t="s">
        <v>14</v>
      </c>
      <c r="C1168" s="1" t="s">
        <v>15</v>
      </c>
      <c r="D1168" s="1" t="s">
        <v>32</v>
      </c>
      <c r="E1168" s="35">
        <v>45729</v>
      </c>
      <c r="F1168" s="1">
        <v>11589</v>
      </c>
      <c r="G1168" s="1">
        <v>584834</v>
      </c>
      <c r="H1168" s="3">
        <v>495</v>
      </c>
      <c r="I1168" s="1">
        <v>6</v>
      </c>
      <c r="J1168" s="2">
        <v>45735</v>
      </c>
      <c r="K1168" s="8">
        <f>(F1168/G1168)*100</f>
        <v>1.9815879377737957</v>
      </c>
      <c r="L1168" s="8">
        <f>(H1168/G1168)*100</f>
        <v>8.4639401949955034E-2</v>
      </c>
    </row>
    <row r="1169" spans="1:12" x14ac:dyDescent="0.3">
      <c r="A1169" s="1" t="s">
        <v>1177</v>
      </c>
      <c r="B1169" s="1" t="s">
        <v>10</v>
      </c>
      <c r="C1169" s="1" t="s">
        <v>27</v>
      </c>
      <c r="D1169" s="1" t="s">
        <v>16</v>
      </c>
      <c r="E1169" s="35">
        <v>45730</v>
      </c>
      <c r="F1169" s="1">
        <v>70356</v>
      </c>
      <c r="G1169" s="1">
        <v>324813</v>
      </c>
      <c r="H1169" s="3">
        <v>4642</v>
      </c>
      <c r="I1169" s="1">
        <v>26</v>
      </c>
      <c r="J1169" s="2">
        <v>45756</v>
      </c>
      <c r="K1169" s="8">
        <f>(F1169/G1169)*100</f>
        <v>21.660463097228252</v>
      </c>
      <c r="L1169" s="8">
        <f>(H1169/G1169)*100</f>
        <v>1.4291299917183118</v>
      </c>
    </row>
    <row r="1170" spans="1:12" x14ac:dyDescent="0.3">
      <c r="A1170" s="1" t="s">
        <v>1178</v>
      </c>
      <c r="B1170" s="1" t="s">
        <v>22</v>
      </c>
      <c r="C1170" s="1" t="s">
        <v>15</v>
      </c>
      <c r="D1170" s="1" t="s">
        <v>28</v>
      </c>
      <c r="E1170" s="35">
        <v>45731</v>
      </c>
      <c r="F1170" s="1">
        <v>79901</v>
      </c>
      <c r="G1170" s="1">
        <v>959002</v>
      </c>
      <c r="H1170" s="3">
        <v>1747</v>
      </c>
      <c r="I1170" s="1">
        <v>11</v>
      </c>
      <c r="J1170" s="2">
        <v>45742</v>
      </c>
      <c r="K1170" s="8">
        <f>(F1170/G1170)*100</f>
        <v>8.3316823114028971</v>
      </c>
      <c r="L1170" s="8">
        <f>(H1170/G1170)*100</f>
        <v>0.18216854605099883</v>
      </c>
    </row>
    <row r="1171" spans="1:12" x14ac:dyDescent="0.3">
      <c r="A1171" s="1" t="s">
        <v>1179</v>
      </c>
      <c r="B1171" s="1" t="s">
        <v>22</v>
      </c>
      <c r="C1171" s="1" t="s">
        <v>30</v>
      </c>
      <c r="D1171" s="1" t="s">
        <v>16</v>
      </c>
      <c r="E1171" s="35">
        <v>45732</v>
      </c>
      <c r="F1171" s="1">
        <v>23255</v>
      </c>
      <c r="G1171" s="1">
        <v>194624</v>
      </c>
      <c r="H1171" s="3">
        <v>3260</v>
      </c>
      <c r="I1171" s="1">
        <v>26</v>
      </c>
      <c r="J1171" s="2">
        <v>45758</v>
      </c>
      <c r="K1171" s="8">
        <f>(F1171/G1171)*100</f>
        <v>11.9486805327195</v>
      </c>
      <c r="L1171" s="8">
        <f>(H1171/G1171)*100</f>
        <v>1.6750246629398224</v>
      </c>
    </row>
    <row r="1172" spans="1:12" x14ac:dyDescent="0.3">
      <c r="A1172" s="1" t="s">
        <v>1180</v>
      </c>
      <c r="B1172" s="1" t="s">
        <v>10</v>
      </c>
      <c r="C1172" s="1" t="s">
        <v>27</v>
      </c>
      <c r="D1172" s="1" t="s">
        <v>12</v>
      </c>
      <c r="E1172" s="35">
        <v>45733</v>
      </c>
      <c r="F1172" s="1">
        <v>39950</v>
      </c>
      <c r="G1172" s="1">
        <v>436525</v>
      </c>
      <c r="H1172" s="3">
        <v>1709</v>
      </c>
      <c r="I1172" s="1">
        <v>4</v>
      </c>
      <c r="J1172" s="2">
        <v>45737</v>
      </c>
      <c r="K1172" s="8">
        <f>(F1172/G1172)*100</f>
        <v>9.1518240650592748</v>
      </c>
      <c r="L1172" s="8">
        <f>(H1172/G1172)*100</f>
        <v>0.39150105950403757</v>
      </c>
    </row>
    <row r="1173" spans="1:12" x14ac:dyDescent="0.3">
      <c r="A1173" s="1" t="s">
        <v>1181</v>
      </c>
      <c r="B1173" s="1" t="s">
        <v>22</v>
      </c>
      <c r="C1173" s="1" t="s">
        <v>18</v>
      </c>
      <c r="D1173" s="1" t="s">
        <v>12</v>
      </c>
      <c r="E1173" s="35">
        <v>45734</v>
      </c>
      <c r="F1173" s="1">
        <v>54328</v>
      </c>
      <c r="G1173" s="1">
        <v>599143</v>
      </c>
      <c r="H1173" s="3">
        <v>3169</v>
      </c>
      <c r="I1173" s="1">
        <v>5</v>
      </c>
      <c r="J1173" s="2">
        <v>45739</v>
      </c>
      <c r="K1173" s="8">
        <f>(F1173/G1173)*100</f>
        <v>9.0676182480643188</v>
      </c>
      <c r="L1173" s="8">
        <f>(H1173/G1173)*100</f>
        <v>0.52892214379538771</v>
      </c>
    </row>
    <row r="1174" spans="1:12" x14ac:dyDescent="0.3">
      <c r="A1174" s="1" t="s">
        <v>1182</v>
      </c>
      <c r="B1174" s="1" t="s">
        <v>10</v>
      </c>
      <c r="C1174" s="1" t="s">
        <v>11</v>
      </c>
      <c r="D1174" s="1" t="s">
        <v>32</v>
      </c>
      <c r="E1174" s="35">
        <v>45735</v>
      </c>
      <c r="F1174" s="1">
        <v>14570</v>
      </c>
      <c r="G1174" s="1">
        <v>597852</v>
      </c>
      <c r="H1174" s="3">
        <v>1943</v>
      </c>
      <c r="I1174" s="1">
        <v>19</v>
      </c>
      <c r="J1174" s="2">
        <v>45754</v>
      </c>
      <c r="K1174" s="8">
        <f>(F1174/G1174)*100</f>
        <v>2.4370580009768306</v>
      </c>
      <c r="L1174" s="8">
        <f>(H1174/G1174)*100</f>
        <v>0.3249968219559356</v>
      </c>
    </row>
    <row r="1175" spans="1:12" x14ac:dyDescent="0.3">
      <c r="A1175" s="1" t="s">
        <v>1183</v>
      </c>
      <c r="B1175" s="1" t="s">
        <v>14</v>
      </c>
      <c r="C1175" s="1" t="s">
        <v>11</v>
      </c>
      <c r="D1175" s="1" t="s">
        <v>28</v>
      </c>
      <c r="E1175" s="35">
        <v>45736</v>
      </c>
      <c r="F1175" s="1">
        <v>25231</v>
      </c>
      <c r="G1175" s="1">
        <v>532068</v>
      </c>
      <c r="H1175" s="3">
        <v>2432</v>
      </c>
      <c r="I1175" s="1">
        <v>23</v>
      </c>
      <c r="J1175" s="2">
        <v>45759</v>
      </c>
      <c r="K1175" s="8">
        <f>(F1175/G1175)*100</f>
        <v>4.7420630445732499</v>
      </c>
      <c r="L1175" s="8">
        <f>(H1175/G1175)*100</f>
        <v>0.45708443281685801</v>
      </c>
    </row>
    <row r="1176" spans="1:12" x14ac:dyDescent="0.3">
      <c r="A1176" s="1" t="s">
        <v>1184</v>
      </c>
      <c r="B1176" s="1" t="s">
        <v>10</v>
      </c>
      <c r="C1176" s="1" t="s">
        <v>30</v>
      </c>
      <c r="D1176" s="1" t="s">
        <v>32</v>
      </c>
      <c r="E1176" s="35">
        <v>45737</v>
      </c>
      <c r="F1176" s="1">
        <v>10966</v>
      </c>
      <c r="G1176" s="1">
        <v>693817</v>
      </c>
      <c r="H1176" s="3">
        <v>594</v>
      </c>
      <c r="I1176" s="1">
        <v>16</v>
      </c>
      <c r="J1176" s="2">
        <v>45753</v>
      </c>
      <c r="K1176" s="8">
        <f>(F1176/G1176)*100</f>
        <v>1.5805320423108689</v>
      </c>
      <c r="L1176" s="8">
        <f>(H1176/G1176)*100</f>
        <v>8.5613353377043233E-2</v>
      </c>
    </row>
    <row r="1177" spans="1:12" x14ac:dyDescent="0.3">
      <c r="A1177" s="1" t="s">
        <v>1185</v>
      </c>
      <c r="B1177" s="1" t="s">
        <v>14</v>
      </c>
      <c r="C1177" s="1" t="s">
        <v>27</v>
      </c>
      <c r="D1177" s="1" t="s">
        <v>19</v>
      </c>
      <c r="E1177" s="35">
        <v>45738</v>
      </c>
      <c r="F1177" s="1">
        <v>80991</v>
      </c>
      <c r="G1177" s="1">
        <v>914152</v>
      </c>
      <c r="H1177" s="3">
        <v>1801</v>
      </c>
      <c r="I1177" s="1">
        <v>14</v>
      </c>
      <c r="J1177" s="2">
        <v>45752</v>
      </c>
      <c r="K1177" s="8">
        <f>(F1177/G1177)*100</f>
        <v>8.8596863541292912</v>
      </c>
      <c r="L1177" s="8">
        <f>(H1177/G1177)*100</f>
        <v>0.19701318817877114</v>
      </c>
    </row>
    <row r="1178" spans="1:12" x14ac:dyDescent="0.3">
      <c r="A1178" s="1" t="s">
        <v>1186</v>
      </c>
      <c r="B1178" s="1" t="s">
        <v>22</v>
      </c>
      <c r="C1178" s="1" t="s">
        <v>11</v>
      </c>
      <c r="D1178" s="1" t="s">
        <v>32</v>
      </c>
      <c r="E1178" s="35">
        <v>45739</v>
      </c>
      <c r="F1178" s="1">
        <v>35485</v>
      </c>
      <c r="G1178" s="1">
        <v>6781</v>
      </c>
      <c r="H1178" s="3">
        <v>326</v>
      </c>
      <c r="I1178" s="1">
        <v>23</v>
      </c>
      <c r="J1178" s="2">
        <v>45762</v>
      </c>
      <c r="K1178" s="8">
        <f>(F1178/G1178)*100</f>
        <v>523.30039817136117</v>
      </c>
      <c r="L1178" s="8">
        <f>(H1178/G1178)*100</f>
        <v>4.8075505087745167</v>
      </c>
    </row>
    <row r="1179" spans="1:12" x14ac:dyDescent="0.3">
      <c r="A1179" s="1" t="s">
        <v>1187</v>
      </c>
      <c r="B1179" s="1" t="s">
        <v>22</v>
      </c>
      <c r="C1179" s="1" t="s">
        <v>30</v>
      </c>
      <c r="D1179" s="1" t="s">
        <v>16</v>
      </c>
      <c r="E1179" s="35">
        <v>45740</v>
      </c>
      <c r="F1179" s="1">
        <v>27445</v>
      </c>
      <c r="G1179" s="1">
        <v>602670</v>
      </c>
      <c r="H1179" s="3">
        <v>693</v>
      </c>
      <c r="I1179" s="1">
        <v>11</v>
      </c>
      <c r="J1179" s="2">
        <v>45751</v>
      </c>
      <c r="K1179" s="8">
        <f>(F1179/G1179)*100</f>
        <v>4.5539018036404668</v>
      </c>
      <c r="L1179" s="8">
        <f>(H1179/G1179)*100</f>
        <v>0.11498830205585145</v>
      </c>
    </row>
    <row r="1180" spans="1:12" x14ac:dyDescent="0.3">
      <c r="A1180" s="1" t="s">
        <v>1188</v>
      </c>
      <c r="B1180" s="1" t="s">
        <v>22</v>
      </c>
      <c r="C1180" s="1" t="s">
        <v>30</v>
      </c>
      <c r="D1180" s="1" t="s">
        <v>19</v>
      </c>
      <c r="E1180" s="35">
        <v>45741</v>
      </c>
      <c r="F1180" s="1">
        <v>69142</v>
      </c>
      <c r="G1180" s="1">
        <v>107751</v>
      </c>
      <c r="H1180" s="3">
        <v>573</v>
      </c>
      <c r="I1180" s="1">
        <v>8</v>
      </c>
      <c r="J1180" s="2">
        <v>45749</v>
      </c>
      <c r="K1180" s="8">
        <f>(F1180/G1180)*100</f>
        <v>64.168313983164893</v>
      </c>
      <c r="L1180" s="8">
        <f>(H1180/G1180)*100</f>
        <v>0.53178160759528914</v>
      </c>
    </row>
    <row r="1181" spans="1:12" x14ac:dyDescent="0.3">
      <c r="A1181" s="1" t="s">
        <v>1189</v>
      </c>
      <c r="B1181" s="1" t="s">
        <v>10</v>
      </c>
      <c r="C1181" s="1" t="s">
        <v>30</v>
      </c>
      <c r="D1181" s="1" t="s">
        <v>12</v>
      </c>
      <c r="E1181" s="35">
        <v>45742</v>
      </c>
      <c r="F1181" s="1">
        <v>65801</v>
      </c>
      <c r="G1181" s="1">
        <v>323677</v>
      </c>
      <c r="H1181" s="3">
        <v>4216</v>
      </c>
      <c r="I1181" s="1">
        <v>26</v>
      </c>
      <c r="J1181" s="2">
        <v>45768</v>
      </c>
      <c r="K1181" s="8">
        <f>(F1181/G1181)*100</f>
        <v>20.329217089876636</v>
      </c>
      <c r="L1181" s="8">
        <f>(H1181/G1181)*100</f>
        <v>1.3025330808182232</v>
      </c>
    </row>
    <row r="1182" spans="1:12" x14ac:dyDescent="0.3">
      <c r="A1182" s="1" t="s">
        <v>1190</v>
      </c>
      <c r="B1182" s="1" t="s">
        <v>22</v>
      </c>
      <c r="C1182" s="1" t="s">
        <v>30</v>
      </c>
      <c r="D1182" s="1" t="s">
        <v>12</v>
      </c>
      <c r="E1182" s="35">
        <v>45743</v>
      </c>
      <c r="F1182" s="1">
        <v>52970</v>
      </c>
      <c r="G1182" s="1">
        <v>381270</v>
      </c>
      <c r="H1182" s="3">
        <v>1219</v>
      </c>
      <c r="I1182" s="1">
        <v>17</v>
      </c>
      <c r="J1182" s="2">
        <v>45760</v>
      </c>
      <c r="K1182" s="8">
        <f>(F1182/G1182)*100</f>
        <v>13.893041676502216</v>
      </c>
      <c r="L1182" s="8">
        <f>(H1182/G1182)*100</f>
        <v>0.31972093267238438</v>
      </c>
    </row>
    <row r="1183" spans="1:12" x14ac:dyDescent="0.3">
      <c r="A1183" s="1" t="s">
        <v>1191</v>
      </c>
      <c r="B1183" s="1" t="s">
        <v>22</v>
      </c>
      <c r="C1183" s="1" t="s">
        <v>18</v>
      </c>
      <c r="D1183" s="1" t="s">
        <v>28</v>
      </c>
      <c r="E1183" s="35">
        <v>45744</v>
      </c>
      <c r="F1183" s="1">
        <v>22544</v>
      </c>
      <c r="G1183" s="1">
        <v>664183</v>
      </c>
      <c r="H1183" s="3">
        <v>4076</v>
      </c>
      <c r="I1183" s="1">
        <v>20</v>
      </c>
      <c r="J1183" s="2">
        <v>45764</v>
      </c>
      <c r="K1183" s="8">
        <f>(F1183/G1183)*100</f>
        <v>3.3942452607188081</v>
      </c>
      <c r="L1183" s="8">
        <f>(H1183/G1183)*100</f>
        <v>0.6136862882669385</v>
      </c>
    </row>
    <row r="1184" spans="1:12" x14ac:dyDescent="0.3">
      <c r="A1184" s="1" t="s">
        <v>1192</v>
      </c>
      <c r="B1184" s="1" t="s">
        <v>22</v>
      </c>
      <c r="C1184" s="1" t="s">
        <v>11</v>
      </c>
      <c r="D1184" s="1" t="s">
        <v>19</v>
      </c>
      <c r="E1184" s="35">
        <v>45745</v>
      </c>
      <c r="F1184" s="1">
        <v>1630</v>
      </c>
      <c r="G1184" s="1">
        <v>985569</v>
      </c>
      <c r="H1184" s="3">
        <v>3914</v>
      </c>
      <c r="I1184" s="1">
        <v>10</v>
      </c>
      <c r="J1184" s="2">
        <v>45755</v>
      </c>
      <c r="K1184" s="8">
        <f>(F1184/G1184)*100</f>
        <v>0.16538669540133669</v>
      </c>
      <c r="L1184" s="8">
        <f>(H1184/G1184)*100</f>
        <v>0.39713099742382318</v>
      </c>
    </row>
    <row r="1185" spans="1:12" x14ac:dyDescent="0.3">
      <c r="A1185" s="1" t="s">
        <v>1193</v>
      </c>
      <c r="B1185" s="1" t="s">
        <v>22</v>
      </c>
      <c r="C1185" s="1" t="s">
        <v>27</v>
      </c>
      <c r="D1185" s="1" t="s">
        <v>32</v>
      </c>
      <c r="E1185" s="35">
        <v>45746</v>
      </c>
      <c r="F1185" s="1">
        <v>95267</v>
      </c>
      <c r="G1185" s="1">
        <v>479598</v>
      </c>
      <c r="H1185" s="3">
        <v>3447</v>
      </c>
      <c r="I1185" s="1">
        <v>14</v>
      </c>
      <c r="J1185" s="2">
        <v>45760</v>
      </c>
      <c r="K1185" s="8">
        <f>(F1185/G1185)*100</f>
        <v>19.863927706120542</v>
      </c>
      <c r="L1185" s="8">
        <f>(H1185/G1185)*100</f>
        <v>0.71872693380706343</v>
      </c>
    </row>
    <row r="1186" spans="1:12" x14ac:dyDescent="0.3">
      <c r="A1186" s="1" t="s">
        <v>1194</v>
      </c>
      <c r="B1186" s="1" t="s">
        <v>10</v>
      </c>
      <c r="C1186" s="1" t="s">
        <v>18</v>
      </c>
      <c r="D1186" s="1" t="s">
        <v>32</v>
      </c>
      <c r="E1186" s="35">
        <v>45747</v>
      </c>
      <c r="F1186" s="1">
        <v>1648</v>
      </c>
      <c r="G1186" s="1">
        <v>189713</v>
      </c>
      <c r="H1186" s="3">
        <v>1987</v>
      </c>
      <c r="I1186" s="1">
        <v>20</v>
      </c>
      <c r="J1186" s="2">
        <v>45767</v>
      </c>
      <c r="K1186" s="8">
        <f>(F1186/G1186)*100</f>
        <v>0.86868058593770592</v>
      </c>
      <c r="L1186" s="8">
        <f>(H1186/G1186)*100</f>
        <v>1.0473715559819305</v>
      </c>
    </row>
    <row r="1187" spans="1:12" x14ac:dyDescent="0.3">
      <c r="A1187" s="1" t="s">
        <v>1195</v>
      </c>
      <c r="B1187" s="1" t="s">
        <v>22</v>
      </c>
      <c r="C1187" s="1" t="s">
        <v>27</v>
      </c>
      <c r="D1187" s="1" t="s">
        <v>16</v>
      </c>
      <c r="E1187" s="35">
        <v>45748</v>
      </c>
      <c r="F1187" s="1">
        <v>60073</v>
      </c>
      <c r="G1187" s="1">
        <v>823316</v>
      </c>
      <c r="H1187" s="3">
        <v>1382</v>
      </c>
      <c r="I1187" s="1">
        <v>29</v>
      </c>
      <c r="J1187" s="2">
        <v>45777</v>
      </c>
      <c r="K1187" s="8">
        <f>(F1187/G1187)*100</f>
        <v>7.2964693993557761</v>
      </c>
      <c r="L1187" s="8">
        <f>(H1187/G1187)*100</f>
        <v>0.16785778486024808</v>
      </c>
    </row>
    <row r="1188" spans="1:12" x14ac:dyDescent="0.3">
      <c r="A1188" s="1" t="s">
        <v>1196</v>
      </c>
      <c r="B1188" s="1" t="s">
        <v>24</v>
      </c>
      <c r="C1188" s="1" t="s">
        <v>27</v>
      </c>
      <c r="D1188" s="1" t="s">
        <v>28</v>
      </c>
      <c r="E1188" s="35">
        <v>45749</v>
      </c>
      <c r="F1188" s="1">
        <v>61216</v>
      </c>
      <c r="G1188" s="1">
        <v>835828</v>
      </c>
      <c r="H1188" s="3">
        <v>3136</v>
      </c>
      <c r="I1188" s="1">
        <v>9</v>
      </c>
      <c r="J1188" s="2">
        <v>45758</v>
      </c>
      <c r="K1188" s="8">
        <f>(F1188/G1188)*100</f>
        <v>7.3239948889005868</v>
      </c>
      <c r="L1188" s="8">
        <f>(H1188/G1188)*100</f>
        <v>0.37519681082710798</v>
      </c>
    </row>
    <row r="1189" spans="1:12" x14ac:dyDescent="0.3">
      <c r="A1189" s="1" t="s">
        <v>1197</v>
      </c>
      <c r="B1189" s="1" t="s">
        <v>22</v>
      </c>
      <c r="C1189" s="1" t="s">
        <v>15</v>
      </c>
      <c r="D1189" s="1" t="s">
        <v>28</v>
      </c>
      <c r="E1189" s="35">
        <v>45750</v>
      </c>
      <c r="F1189" s="1">
        <v>21761</v>
      </c>
      <c r="G1189" s="1">
        <v>917281</v>
      </c>
      <c r="H1189" s="3">
        <v>2898</v>
      </c>
      <c r="I1189" s="1">
        <v>3</v>
      </c>
      <c r="J1189" s="2">
        <v>45753</v>
      </c>
      <c r="K1189" s="8">
        <f>(F1189/G1189)*100</f>
        <v>2.372337375351719</v>
      </c>
      <c r="L1189" s="8">
        <f>(H1189/G1189)*100</f>
        <v>0.31593372150954835</v>
      </c>
    </row>
    <row r="1190" spans="1:12" x14ac:dyDescent="0.3">
      <c r="A1190" s="1" t="s">
        <v>1198</v>
      </c>
      <c r="B1190" s="1" t="s">
        <v>14</v>
      </c>
      <c r="C1190" s="1" t="s">
        <v>30</v>
      </c>
      <c r="D1190" s="1" t="s">
        <v>16</v>
      </c>
      <c r="E1190" s="35">
        <v>45751</v>
      </c>
      <c r="F1190" s="1">
        <v>12729</v>
      </c>
      <c r="G1190" s="1">
        <v>27332</v>
      </c>
      <c r="H1190" s="3">
        <v>4604</v>
      </c>
      <c r="I1190" s="1">
        <v>20</v>
      </c>
      <c r="J1190" s="2">
        <v>45771</v>
      </c>
      <c r="K1190" s="8">
        <f>(F1190/G1190)*100</f>
        <v>46.571783989462901</v>
      </c>
      <c r="L1190" s="8">
        <f>(H1190/G1190)*100</f>
        <v>16.844724132884529</v>
      </c>
    </row>
    <row r="1191" spans="1:12" x14ac:dyDescent="0.3">
      <c r="A1191" s="1" t="s">
        <v>1199</v>
      </c>
      <c r="B1191" s="1" t="s">
        <v>14</v>
      </c>
      <c r="C1191" s="1" t="s">
        <v>27</v>
      </c>
      <c r="D1191" s="1" t="s">
        <v>12</v>
      </c>
      <c r="E1191" s="35">
        <v>45752</v>
      </c>
      <c r="F1191" s="1">
        <v>67253</v>
      </c>
      <c r="G1191" s="1">
        <v>355266</v>
      </c>
      <c r="H1191" s="3">
        <v>1832</v>
      </c>
      <c r="I1191" s="1">
        <v>20</v>
      </c>
      <c r="J1191" s="2">
        <v>45772</v>
      </c>
      <c r="K1191" s="8">
        <f>(F1191/G1191)*100</f>
        <v>18.93032263149302</v>
      </c>
      <c r="L1191" s="8">
        <f>(H1191/G1191)*100</f>
        <v>0.51566994871448435</v>
      </c>
    </row>
    <row r="1192" spans="1:12" x14ac:dyDescent="0.3">
      <c r="A1192" s="1" t="s">
        <v>1200</v>
      </c>
      <c r="B1192" s="1" t="s">
        <v>22</v>
      </c>
      <c r="C1192" s="1" t="s">
        <v>27</v>
      </c>
      <c r="D1192" s="1" t="s">
        <v>32</v>
      </c>
      <c r="E1192" s="35">
        <v>45753</v>
      </c>
      <c r="F1192" s="1">
        <v>50143</v>
      </c>
      <c r="G1192" s="1">
        <v>983543</v>
      </c>
      <c r="H1192" s="3">
        <v>4151</v>
      </c>
      <c r="I1192" s="1">
        <v>8</v>
      </c>
      <c r="J1192" s="2">
        <v>45761</v>
      </c>
      <c r="K1192" s="8">
        <f>(F1192/G1192)*100</f>
        <v>5.0982010954274495</v>
      </c>
      <c r="L1192" s="8">
        <f>(H1192/G1192)*100</f>
        <v>0.42204560451347833</v>
      </c>
    </row>
    <row r="1193" spans="1:12" x14ac:dyDescent="0.3">
      <c r="A1193" s="1" t="s">
        <v>1201</v>
      </c>
      <c r="B1193" s="1" t="s">
        <v>10</v>
      </c>
      <c r="C1193" s="1" t="s">
        <v>37</v>
      </c>
      <c r="D1193" s="1" t="s">
        <v>19</v>
      </c>
      <c r="E1193" s="35">
        <v>45754</v>
      </c>
      <c r="F1193" s="1">
        <v>59899</v>
      </c>
      <c r="G1193" s="1">
        <v>847179</v>
      </c>
      <c r="H1193" s="3">
        <v>3332</v>
      </c>
      <c r="I1193" s="1">
        <v>21</v>
      </c>
      <c r="J1193" s="2">
        <v>45775</v>
      </c>
      <c r="K1193" s="8">
        <f>(F1193/G1193)*100</f>
        <v>7.0704066082846708</v>
      </c>
      <c r="L1193" s="8">
        <f>(H1193/G1193)*100</f>
        <v>0.39330531092012433</v>
      </c>
    </row>
    <row r="1194" spans="1:12" x14ac:dyDescent="0.3">
      <c r="A1194" s="1" t="s">
        <v>1202</v>
      </c>
      <c r="B1194" s="1" t="s">
        <v>24</v>
      </c>
      <c r="C1194" s="1" t="s">
        <v>11</v>
      </c>
      <c r="D1194" s="1" t="s">
        <v>12</v>
      </c>
      <c r="E1194" s="35">
        <v>45755</v>
      </c>
      <c r="F1194" s="1">
        <v>42752</v>
      </c>
      <c r="G1194" s="1">
        <v>197653</v>
      </c>
      <c r="H1194" s="3">
        <v>3239</v>
      </c>
      <c r="I1194" s="1">
        <v>16</v>
      </c>
      <c r="J1194" s="2">
        <v>45771</v>
      </c>
      <c r="K1194" s="8">
        <f>(F1194/G1194)*100</f>
        <v>21.629826008206301</v>
      </c>
      <c r="L1194" s="8">
        <f>(H1194/G1194)*100</f>
        <v>1.6387305024462062</v>
      </c>
    </row>
    <row r="1195" spans="1:12" x14ac:dyDescent="0.3">
      <c r="A1195" s="1" t="s">
        <v>1203</v>
      </c>
      <c r="B1195" s="1" t="s">
        <v>10</v>
      </c>
      <c r="C1195" s="1" t="s">
        <v>18</v>
      </c>
      <c r="D1195" s="1" t="s">
        <v>28</v>
      </c>
      <c r="E1195" s="35">
        <v>45756</v>
      </c>
      <c r="F1195" s="1">
        <v>31397</v>
      </c>
      <c r="G1195" s="1">
        <v>453799</v>
      </c>
      <c r="H1195" s="3">
        <v>4010</v>
      </c>
      <c r="I1195" s="1">
        <v>2</v>
      </c>
      <c r="J1195" s="2">
        <v>45758</v>
      </c>
      <c r="K1195" s="8">
        <f>(F1195/G1195)*100</f>
        <v>6.9187018922474488</v>
      </c>
      <c r="L1195" s="8">
        <f>(H1195/G1195)*100</f>
        <v>0.88365113188878774</v>
      </c>
    </row>
    <row r="1196" spans="1:12" x14ac:dyDescent="0.3">
      <c r="A1196" s="1" t="s">
        <v>1204</v>
      </c>
      <c r="B1196" s="1" t="s">
        <v>22</v>
      </c>
      <c r="C1196" s="1" t="s">
        <v>27</v>
      </c>
      <c r="D1196" s="1" t="s">
        <v>12</v>
      </c>
      <c r="E1196" s="35">
        <v>45757</v>
      </c>
      <c r="F1196" s="1">
        <v>19737</v>
      </c>
      <c r="G1196" s="1">
        <v>574118</v>
      </c>
      <c r="H1196" s="3">
        <v>4678</v>
      </c>
      <c r="I1196" s="1">
        <v>10</v>
      </c>
      <c r="J1196" s="2">
        <v>45767</v>
      </c>
      <c r="K1196" s="8">
        <f>(F1196/G1196)*100</f>
        <v>3.4377950177489645</v>
      </c>
      <c r="L1196" s="8">
        <f>(H1196/G1196)*100</f>
        <v>0.81481507285958643</v>
      </c>
    </row>
    <row r="1197" spans="1:12" x14ac:dyDescent="0.3">
      <c r="A1197" s="1" t="s">
        <v>1205</v>
      </c>
      <c r="B1197" s="1" t="s">
        <v>22</v>
      </c>
      <c r="C1197" s="1" t="s">
        <v>18</v>
      </c>
      <c r="D1197" s="1" t="s">
        <v>32</v>
      </c>
      <c r="E1197" s="35">
        <v>45758</v>
      </c>
      <c r="F1197" s="1">
        <v>5504</v>
      </c>
      <c r="G1197" s="1">
        <v>106795</v>
      </c>
      <c r="H1197" s="3">
        <v>2979</v>
      </c>
      <c r="I1197" s="1">
        <v>6</v>
      </c>
      <c r="J1197" s="2">
        <v>45764</v>
      </c>
      <c r="K1197" s="8">
        <f>(F1197/G1197)*100</f>
        <v>5.1537993351748677</v>
      </c>
      <c r="L1197" s="8">
        <f>(H1197/G1197)*100</f>
        <v>2.7894564352263682</v>
      </c>
    </row>
    <row r="1198" spans="1:12" x14ac:dyDescent="0.3">
      <c r="A1198" s="1" t="s">
        <v>1206</v>
      </c>
      <c r="B1198" s="1" t="s">
        <v>14</v>
      </c>
      <c r="C1198" s="1" t="s">
        <v>11</v>
      </c>
      <c r="D1198" s="1" t="s">
        <v>19</v>
      </c>
      <c r="E1198" s="35">
        <v>45759</v>
      </c>
      <c r="F1198" s="1">
        <v>20544</v>
      </c>
      <c r="G1198" s="1">
        <v>514482</v>
      </c>
      <c r="H1198" s="3">
        <v>4224</v>
      </c>
      <c r="I1198" s="1">
        <v>1</v>
      </c>
      <c r="J1198" s="2">
        <v>45760</v>
      </c>
      <c r="K1198" s="8">
        <f>(F1198/G1198)*100</f>
        <v>3.993142617234422</v>
      </c>
      <c r="L1198" s="8">
        <f>(H1198/G1198)*100</f>
        <v>0.82101997737530175</v>
      </c>
    </row>
    <row r="1199" spans="1:12" x14ac:dyDescent="0.3">
      <c r="A1199" s="1" t="s">
        <v>1207</v>
      </c>
      <c r="B1199" s="1" t="s">
        <v>22</v>
      </c>
      <c r="C1199" s="1" t="s">
        <v>30</v>
      </c>
      <c r="D1199" s="1" t="s">
        <v>19</v>
      </c>
      <c r="E1199" s="35">
        <v>45760</v>
      </c>
      <c r="F1199" s="1">
        <v>72138</v>
      </c>
      <c r="G1199" s="1">
        <v>712637</v>
      </c>
      <c r="H1199" s="3">
        <v>474</v>
      </c>
      <c r="I1199" s="1">
        <v>2</v>
      </c>
      <c r="J1199" s="2">
        <v>45762</v>
      </c>
      <c r="K1199" s="8">
        <f>(F1199/G1199)*100</f>
        <v>10.122685181936946</v>
      </c>
      <c r="L1199" s="8">
        <f>(H1199/G1199)*100</f>
        <v>6.6513526521917887E-2</v>
      </c>
    </row>
    <row r="1200" spans="1:12" x14ac:dyDescent="0.3">
      <c r="A1200" s="1" t="s">
        <v>1208</v>
      </c>
      <c r="B1200" s="1" t="s">
        <v>10</v>
      </c>
      <c r="C1200" s="1" t="s">
        <v>30</v>
      </c>
      <c r="D1200" s="1" t="s">
        <v>19</v>
      </c>
      <c r="E1200" s="35">
        <v>45761</v>
      </c>
      <c r="F1200" s="1">
        <v>94111</v>
      </c>
      <c r="G1200" s="1">
        <v>900124</v>
      </c>
      <c r="H1200" s="3">
        <v>367</v>
      </c>
      <c r="I1200" s="1">
        <v>23</v>
      </c>
      <c r="J1200" s="2">
        <v>45784</v>
      </c>
      <c r="K1200" s="8">
        <f>(F1200/G1200)*100</f>
        <v>10.455337264643539</v>
      </c>
      <c r="L1200" s="8">
        <f>(H1200/G1200)*100</f>
        <v>4.0772160280139177E-2</v>
      </c>
    </row>
    <row r="1201" spans="1:12" x14ac:dyDescent="0.3">
      <c r="A1201" s="1" t="s">
        <v>1209</v>
      </c>
      <c r="B1201" s="1" t="s">
        <v>14</v>
      </c>
      <c r="C1201" s="1" t="s">
        <v>27</v>
      </c>
      <c r="D1201" s="1" t="s">
        <v>12</v>
      </c>
      <c r="E1201" s="35">
        <v>45762</v>
      </c>
      <c r="F1201" s="1">
        <v>95241</v>
      </c>
      <c r="G1201" s="1">
        <v>339463</v>
      </c>
      <c r="H1201" s="3">
        <v>1788</v>
      </c>
      <c r="I1201" s="1">
        <v>2</v>
      </c>
      <c r="J1201" s="2">
        <v>45764</v>
      </c>
      <c r="K1201" s="8">
        <f>(F1201/G1201)*100</f>
        <v>28.056371386572319</v>
      </c>
      <c r="L1201" s="8">
        <f>(H1201/G1201)*100</f>
        <v>0.52671425162683416</v>
      </c>
    </row>
    <row r="1202" spans="1:12" x14ac:dyDescent="0.3">
      <c r="A1202" s="1" t="s">
        <v>1210</v>
      </c>
      <c r="B1202" s="1" t="s">
        <v>14</v>
      </c>
      <c r="C1202" s="1" t="s">
        <v>18</v>
      </c>
      <c r="D1202" s="1" t="s">
        <v>28</v>
      </c>
      <c r="E1202" s="35">
        <v>45763</v>
      </c>
      <c r="F1202" s="1">
        <v>17963</v>
      </c>
      <c r="G1202" s="1">
        <v>731634</v>
      </c>
      <c r="H1202" s="3">
        <v>3666</v>
      </c>
      <c r="I1202" s="1">
        <v>17</v>
      </c>
      <c r="J1202" s="2">
        <v>45780</v>
      </c>
      <c r="K1202" s="8">
        <f>(F1202/G1202)*100</f>
        <v>2.4551893433055327</v>
      </c>
      <c r="L1202" s="8">
        <f>(H1202/G1202)*100</f>
        <v>0.50107020723476492</v>
      </c>
    </row>
    <row r="1203" spans="1:12" x14ac:dyDescent="0.3">
      <c r="A1203" s="1" t="s">
        <v>1211</v>
      </c>
      <c r="B1203" s="1" t="s">
        <v>10</v>
      </c>
      <c r="C1203" s="1" t="s">
        <v>18</v>
      </c>
      <c r="D1203" s="1" t="s">
        <v>19</v>
      </c>
      <c r="E1203" s="35">
        <v>45764</v>
      </c>
      <c r="F1203" s="1">
        <v>19824</v>
      </c>
      <c r="G1203" s="1">
        <v>974637</v>
      </c>
      <c r="H1203" s="3">
        <v>3075</v>
      </c>
      <c r="I1203" s="1">
        <v>16</v>
      </c>
      <c r="J1203" s="2">
        <v>45780</v>
      </c>
      <c r="K1203" s="8">
        <f>(F1203/G1203)*100</f>
        <v>2.0339880386236109</v>
      </c>
      <c r="L1203" s="8">
        <f>(H1203/G1203)*100</f>
        <v>0.31550207923565388</v>
      </c>
    </row>
    <row r="1204" spans="1:12" x14ac:dyDescent="0.3">
      <c r="A1204" s="1" t="s">
        <v>1212</v>
      </c>
      <c r="B1204" s="1" t="s">
        <v>10</v>
      </c>
      <c r="C1204" s="1" t="s">
        <v>37</v>
      </c>
      <c r="D1204" s="1" t="s">
        <v>12</v>
      </c>
      <c r="E1204" s="35">
        <v>45765</v>
      </c>
      <c r="F1204" s="1">
        <v>49735</v>
      </c>
      <c r="G1204" s="1">
        <v>951528</v>
      </c>
      <c r="H1204" s="3">
        <v>1503</v>
      </c>
      <c r="I1204" s="1">
        <v>2</v>
      </c>
      <c r="J1204" s="2">
        <v>45767</v>
      </c>
      <c r="K1204" s="8">
        <f>(F1204/G1204)*100</f>
        <v>5.2268561723879907</v>
      </c>
      <c r="L1204" s="8">
        <f>(H1204/G1204)*100</f>
        <v>0.15795646581078016</v>
      </c>
    </row>
    <row r="1205" spans="1:12" x14ac:dyDescent="0.3">
      <c r="A1205" s="1" t="s">
        <v>1213</v>
      </c>
      <c r="B1205" s="1" t="s">
        <v>22</v>
      </c>
      <c r="C1205" s="1" t="s">
        <v>15</v>
      </c>
      <c r="D1205" s="1" t="s">
        <v>16</v>
      </c>
      <c r="E1205" s="35">
        <v>45766</v>
      </c>
      <c r="F1205" s="1">
        <v>87105</v>
      </c>
      <c r="G1205" s="1">
        <v>211799</v>
      </c>
      <c r="H1205" s="3">
        <v>3535</v>
      </c>
      <c r="I1205" s="1">
        <v>20</v>
      </c>
      <c r="J1205" s="2">
        <v>45786</v>
      </c>
      <c r="K1205" s="8">
        <f>(F1205/G1205)*100</f>
        <v>41.126256497906034</v>
      </c>
      <c r="L1205" s="8">
        <f>(H1205/G1205)*100</f>
        <v>1.6690352645668771</v>
      </c>
    </row>
    <row r="1206" spans="1:12" x14ac:dyDescent="0.3">
      <c r="A1206" s="1" t="s">
        <v>1214</v>
      </c>
      <c r="B1206" s="1" t="s">
        <v>22</v>
      </c>
      <c r="C1206" s="1" t="s">
        <v>30</v>
      </c>
      <c r="D1206" s="1" t="s">
        <v>12</v>
      </c>
      <c r="E1206" s="35">
        <v>45767</v>
      </c>
      <c r="F1206" s="1">
        <v>26414</v>
      </c>
      <c r="G1206" s="1">
        <v>507945</v>
      </c>
      <c r="H1206" s="3">
        <v>831</v>
      </c>
      <c r="I1206" s="1">
        <v>29</v>
      </c>
      <c r="J1206" s="2">
        <v>45796</v>
      </c>
      <c r="K1206" s="8">
        <f>(F1206/G1206)*100</f>
        <v>5.200169309669354</v>
      </c>
      <c r="L1206" s="8">
        <f>(H1206/G1206)*100</f>
        <v>0.16360038980598293</v>
      </c>
    </row>
    <row r="1207" spans="1:12" x14ac:dyDescent="0.3">
      <c r="A1207" s="1" t="s">
        <v>1215</v>
      </c>
      <c r="B1207" s="1" t="s">
        <v>14</v>
      </c>
      <c r="C1207" s="1" t="s">
        <v>15</v>
      </c>
      <c r="D1207" s="1" t="s">
        <v>19</v>
      </c>
      <c r="E1207" s="35">
        <v>45768</v>
      </c>
      <c r="F1207" s="1">
        <v>50746</v>
      </c>
      <c r="G1207" s="1">
        <v>861202</v>
      </c>
      <c r="H1207" s="3">
        <v>4608</v>
      </c>
      <c r="I1207" s="1">
        <v>24</v>
      </c>
      <c r="J1207" s="2">
        <v>45792</v>
      </c>
      <c r="K1207" s="8">
        <f>(F1207/G1207)*100</f>
        <v>5.8924619311148829</v>
      </c>
      <c r="L1207" s="8">
        <f>(H1207/G1207)*100</f>
        <v>0.53506610528075882</v>
      </c>
    </row>
    <row r="1208" spans="1:12" x14ac:dyDescent="0.3">
      <c r="A1208" s="1" t="s">
        <v>1216</v>
      </c>
      <c r="B1208" s="1" t="s">
        <v>14</v>
      </c>
      <c r="C1208" s="1" t="s">
        <v>27</v>
      </c>
      <c r="D1208" s="1" t="s">
        <v>12</v>
      </c>
      <c r="E1208" s="35">
        <v>45769</v>
      </c>
      <c r="F1208" s="1">
        <v>80417</v>
      </c>
      <c r="G1208" s="1">
        <v>193413</v>
      </c>
      <c r="H1208" s="3">
        <v>3247</v>
      </c>
      <c r="I1208" s="1">
        <v>21</v>
      </c>
      <c r="J1208" s="2">
        <v>45790</v>
      </c>
      <c r="K1208" s="8">
        <f>(F1208/G1208)*100</f>
        <v>41.577867051335744</v>
      </c>
      <c r="L1208" s="8">
        <f>(H1208/G1208)*100</f>
        <v>1.6787909809578467</v>
      </c>
    </row>
    <row r="1209" spans="1:12" x14ac:dyDescent="0.3">
      <c r="A1209" s="1" t="s">
        <v>1217</v>
      </c>
      <c r="B1209" s="1" t="s">
        <v>22</v>
      </c>
      <c r="C1209" s="1" t="s">
        <v>30</v>
      </c>
      <c r="D1209" s="1" t="s">
        <v>16</v>
      </c>
      <c r="E1209" s="35">
        <v>45770</v>
      </c>
      <c r="F1209" s="1">
        <v>70919</v>
      </c>
      <c r="G1209" s="1">
        <v>674964</v>
      </c>
      <c r="H1209" s="3">
        <v>4001</v>
      </c>
      <c r="I1209" s="1">
        <v>23</v>
      </c>
      <c r="J1209" s="2">
        <v>45793</v>
      </c>
      <c r="K1209" s="8">
        <f>(F1209/G1209)*100</f>
        <v>10.507078896059642</v>
      </c>
      <c r="L1209" s="8">
        <f>(H1209/G1209)*100</f>
        <v>0.59277235526635497</v>
      </c>
    </row>
    <row r="1210" spans="1:12" x14ac:dyDescent="0.3">
      <c r="A1210" s="1" t="s">
        <v>1218</v>
      </c>
      <c r="B1210" s="1" t="s">
        <v>14</v>
      </c>
      <c r="C1210" s="1" t="s">
        <v>27</v>
      </c>
      <c r="D1210" s="1" t="s">
        <v>28</v>
      </c>
      <c r="E1210" s="35">
        <v>45771</v>
      </c>
      <c r="F1210" s="1">
        <v>12047</v>
      </c>
      <c r="G1210" s="1">
        <v>732780</v>
      </c>
      <c r="H1210" s="3">
        <v>2620</v>
      </c>
      <c r="I1210" s="1">
        <v>26</v>
      </c>
      <c r="J1210" s="2">
        <v>45797</v>
      </c>
      <c r="K1210" s="8">
        <f>(F1210/G1210)*100</f>
        <v>1.6440132099675209</v>
      </c>
      <c r="L1210" s="8">
        <f>(H1210/G1210)*100</f>
        <v>0.35754250934796256</v>
      </c>
    </row>
    <row r="1211" spans="1:12" x14ac:dyDescent="0.3">
      <c r="A1211" s="1" t="s">
        <v>1219</v>
      </c>
      <c r="B1211" s="1" t="s">
        <v>10</v>
      </c>
      <c r="C1211" s="1" t="s">
        <v>27</v>
      </c>
      <c r="D1211" s="1" t="s">
        <v>12</v>
      </c>
      <c r="E1211" s="35">
        <v>45772</v>
      </c>
      <c r="F1211" s="1">
        <v>95183</v>
      </c>
      <c r="G1211" s="1">
        <v>215010</v>
      </c>
      <c r="H1211" s="3">
        <v>2156</v>
      </c>
      <c r="I1211" s="1">
        <v>11</v>
      </c>
      <c r="J1211" s="2">
        <v>45783</v>
      </c>
      <c r="K1211" s="8">
        <f>(F1211/G1211)*100</f>
        <v>44.269103762615693</v>
      </c>
      <c r="L1211" s="8">
        <f>(H1211/G1211)*100</f>
        <v>1.0027440584158875</v>
      </c>
    </row>
    <row r="1212" spans="1:12" x14ac:dyDescent="0.3">
      <c r="A1212" s="1" t="s">
        <v>1220</v>
      </c>
      <c r="B1212" s="1" t="s">
        <v>10</v>
      </c>
      <c r="C1212" s="1" t="s">
        <v>30</v>
      </c>
      <c r="D1212" s="1" t="s">
        <v>19</v>
      </c>
      <c r="E1212" s="35">
        <v>45773</v>
      </c>
      <c r="F1212" s="1">
        <v>64440</v>
      </c>
      <c r="G1212" s="1">
        <v>915049</v>
      </c>
      <c r="H1212" s="3">
        <v>4076</v>
      </c>
      <c r="I1212" s="1">
        <v>22</v>
      </c>
      <c r="J1212" s="2">
        <v>45795</v>
      </c>
      <c r="K1212" s="8">
        <f>(F1212/G1212)*100</f>
        <v>7.0422458250869626</v>
      </c>
      <c r="L1212" s="8">
        <f>(H1212/G1212)*100</f>
        <v>0.44544062667682277</v>
      </c>
    </row>
    <row r="1213" spans="1:12" x14ac:dyDescent="0.3">
      <c r="A1213" s="1" t="s">
        <v>1221</v>
      </c>
      <c r="B1213" s="1" t="s">
        <v>14</v>
      </c>
      <c r="C1213" s="1" t="s">
        <v>27</v>
      </c>
      <c r="D1213" s="1" t="s">
        <v>12</v>
      </c>
      <c r="E1213" s="35">
        <v>45774</v>
      </c>
      <c r="F1213" s="1">
        <v>46035</v>
      </c>
      <c r="G1213" s="1">
        <v>72664</v>
      </c>
      <c r="H1213" s="3">
        <v>4703</v>
      </c>
      <c r="I1213" s="1">
        <v>12</v>
      </c>
      <c r="J1213" s="2">
        <v>45786</v>
      </c>
      <c r="K1213" s="8">
        <f>(F1213/G1213)*100</f>
        <v>63.353242320819113</v>
      </c>
      <c r="L1213" s="8">
        <f>(H1213/G1213)*100</f>
        <v>6.4722558626004627</v>
      </c>
    </row>
    <row r="1214" spans="1:12" x14ac:dyDescent="0.3">
      <c r="A1214" s="1" t="s">
        <v>1222</v>
      </c>
      <c r="B1214" s="1" t="s">
        <v>22</v>
      </c>
      <c r="C1214" s="1" t="s">
        <v>25</v>
      </c>
      <c r="D1214" s="1" t="s">
        <v>12</v>
      </c>
      <c r="E1214" s="35">
        <v>45775</v>
      </c>
      <c r="F1214" s="1">
        <v>56545</v>
      </c>
      <c r="G1214" s="1">
        <v>987547</v>
      </c>
      <c r="H1214" s="3">
        <v>495</v>
      </c>
      <c r="I1214" s="1">
        <v>23</v>
      </c>
      <c r="J1214" s="2">
        <v>45798</v>
      </c>
      <c r="K1214" s="8">
        <f>(F1214/G1214)*100</f>
        <v>5.7258034301152252</v>
      </c>
      <c r="L1214" s="8">
        <f>(H1214/G1214)*100</f>
        <v>5.0124196620515281E-2</v>
      </c>
    </row>
    <row r="1215" spans="1:12" x14ac:dyDescent="0.3">
      <c r="A1215" s="1" t="s">
        <v>1223</v>
      </c>
      <c r="B1215" s="1" t="s">
        <v>22</v>
      </c>
      <c r="C1215" s="1" t="s">
        <v>18</v>
      </c>
      <c r="D1215" s="1" t="s">
        <v>28</v>
      </c>
      <c r="E1215" s="35">
        <v>45776</v>
      </c>
      <c r="F1215" s="1">
        <v>18979</v>
      </c>
      <c r="G1215" s="1">
        <v>660621</v>
      </c>
      <c r="H1215" s="3">
        <v>2266</v>
      </c>
      <c r="I1215" s="1">
        <v>18</v>
      </c>
      <c r="J1215" s="2">
        <v>45794</v>
      </c>
      <c r="K1215" s="8">
        <f>(F1215/G1215)*100</f>
        <v>2.8729029201312097</v>
      </c>
      <c r="L1215" s="8">
        <f>(H1215/G1215)*100</f>
        <v>0.34301059154946634</v>
      </c>
    </row>
    <row r="1216" spans="1:12" x14ac:dyDescent="0.3">
      <c r="A1216" s="1" t="s">
        <v>1224</v>
      </c>
      <c r="B1216" s="1" t="s">
        <v>14</v>
      </c>
      <c r="C1216" s="1" t="s">
        <v>30</v>
      </c>
      <c r="D1216" s="1" t="s">
        <v>12</v>
      </c>
      <c r="E1216" s="35">
        <v>45777</v>
      </c>
      <c r="F1216" s="1">
        <v>81173</v>
      </c>
      <c r="G1216" s="1">
        <v>11162</v>
      </c>
      <c r="H1216" s="3">
        <v>2452</v>
      </c>
      <c r="I1216" s="1">
        <v>17</v>
      </c>
      <c r="J1216" s="2">
        <v>45794</v>
      </c>
      <c r="K1216" s="8">
        <f>(F1216/G1216)*100</f>
        <v>727.22630352983333</v>
      </c>
      <c r="L1216" s="8">
        <f>(H1216/G1216)*100</f>
        <v>21.967389356746104</v>
      </c>
    </row>
    <row r="1217" spans="1:12" x14ac:dyDescent="0.3">
      <c r="A1217" s="1" t="s">
        <v>1225</v>
      </c>
      <c r="B1217" s="1" t="s">
        <v>22</v>
      </c>
      <c r="C1217" s="1" t="s">
        <v>37</v>
      </c>
      <c r="D1217" s="1" t="s">
        <v>19</v>
      </c>
      <c r="E1217" s="35">
        <v>45778</v>
      </c>
      <c r="F1217" s="1">
        <v>99169</v>
      </c>
      <c r="G1217" s="1">
        <v>969363</v>
      </c>
      <c r="H1217" s="3">
        <v>221</v>
      </c>
      <c r="I1217" s="1">
        <v>7</v>
      </c>
      <c r="J1217" s="2">
        <v>45785</v>
      </c>
      <c r="K1217" s="8">
        <f>(F1217/G1217)*100</f>
        <v>10.230326513390754</v>
      </c>
      <c r="L1217" s="8">
        <f>(H1217/G1217)*100</f>
        <v>2.2798476937947912E-2</v>
      </c>
    </row>
    <row r="1218" spans="1:12" x14ac:dyDescent="0.3">
      <c r="A1218" s="1" t="s">
        <v>1226</v>
      </c>
      <c r="B1218" s="1" t="s">
        <v>14</v>
      </c>
      <c r="C1218" s="1" t="s">
        <v>30</v>
      </c>
      <c r="D1218" s="1" t="s">
        <v>32</v>
      </c>
      <c r="E1218" s="35">
        <v>45779</v>
      </c>
      <c r="F1218" s="1">
        <v>17478</v>
      </c>
      <c r="G1218" s="1">
        <v>378524</v>
      </c>
      <c r="H1218" s="3">
        <v>1711</v>
      </c>
      <c r="I1218" s="1">
        <v>18</v>
      </c>
      <c r="J1218" s="2">
        <v>45797</v>
      </c>
      <c r="K1218" s="8">
        <f>(F1218/G1218)*100</f>
        <v>4.6174086715769675</v>
      </c>
      <c r="L1218" s="8">
        <f>(H1218/G1218)*100</f>
        <v>0.4520188944426245</v>
      </c>
    </row>
    <row r="1219" spans="1:12" x14ac:dyDescent="0.3">
      <c r="A1219" s="1" t="s">
        <v>1227</v>
      </c>
      <c r="B1219" s="1" t="s">
        <v>14</v>
      </c>
      <c r="C1219" s="1" t="s">
        <v>27</v>
      </c>
      <c r="D1219" s="1" t="s">
        <v>19</v>
      </c>
      <c r="E1219" s="35">
        <v>45780</v>
      </c>
      <c r="F1219" s="1">
        <v>95188</v>
      </c>
      <c r="G1219" s="1">
        <v>492689</v>
      </c>
      <c r="H1219" s="3">
        <v>789</v>
      </c>
      <c r="I1219" s="1">
        <v>22</v>
      </c>
      <c r="J1219" s="2">
        <v>45802</v>
      </c>
      <c r="K1219" s="8">
        <f>(F1219/G1219)*100</f>
        <v>19.320098479974181</v>
      </c>
      <c r="L1219" s="8">
        <f>(H1219/G1219)*100</f>
        <v>0.16014159033386174</v>
      </c>
    </row>
    <row r="1220" spans="1:12" x14ac:dyDescent="0.3">
      <c r="A1220" s="1" t="s">
        <v>1228</v>
      </c>
      <c r="B1220" s="1" t="s">
        <v>22</v>
      </c>
      <c r="C1220" s="1" t="s">
        <v>37</v>
      </c>
      <c r="D1220" s="1" t="s">
        <v>16</v>
      </c>
      <c r="E1220" s="35">
        <v>45781</v>
      </c>
      <c r="F1220" s="1">
        <v>68271</v>
      </c>
      <c r="G1220" s="1">
        <v>994551</v>
      </c>
      <c r="H1220" s="3">
        <v>1861</v>
      </c>
      <c r="I1220" s="1">
        <v>1</v>
      </c>
      <c r="J1220" s="2">
        <v>45782</v>
      </c>
      <c r="K1220" s="8">
        <f>(F1220/G1220)*100</f>
        <v>6.8645046860342003</v>
      </c>
      <c r="L1220" s="8">
        <f>(H1220/G1220)*100</f>
        <v>0.18711961478094136</v>
      </c>
    </row>
    <row r="1221" spans="1:12" x14ac:dyDescent="0.3">
      <c r="A1221" s="1" t="s">
        <v>1229</v>
      </c>
      <c r="B1221" s="1" t="s">
        <v>22</v>
      </c>
      <c r="C1221" s="1" t="s">
        <v>30</v>
      </c>
      <c r="D1221" s="1" t="s">
        <v>16</v>
      </c>
      <c r="E1221" s="35">
        <v>45782</v>
      </c>
      <c r="F1221" s="1">
        <v>87944</v>
      </c>
      <c r="G1221" s="1">
        <v>440327</v>
      </c>
      <c r="H1221" s="3">
        <v>840</v>
      </c>
      <c r="I1221" s="1">
        <v>8</v>
      </c>
      <c r="J1221" s="2">
        <v>45790</v>
      </c>
      <c r="K1221" s="8">
        <f>(F1221/G1221)*100</f>
        <v>19.972429580743402</v>
      </c>
      <c r="L1221" s="8">
        <f>(H1221/G1221)*100</f>
        <v>0.19076731610825592</v>
      </c>
    </row>
    <row r="1222" spans="1:12" x14ac:dyDescent="0.3">
      <c r="A1222" s="1" t="s">
        <v>1230</v>
      </c>
      <c r="B1222" s="1" t="s">
        <v>22</v>
      </c>
      <c r="C1222" s="1" t="s">
        <v>18</v>
      </c>
      <c r="D1222" s="1" t="s">
        <v>32</v>
      </c>
      <c r="E1222" s="35">
        <v>45783</v>
      </c>
      <c r="F1222" s="1">
        <v>33591</v>
      </c>
      <c r="G1222" s="1">
        <v>444187</v>
      </c>
      <c r="H1222" s="3">
        <v>4361</v>
      </c>
      <c r="I1222" s="1">
        <v>10</v>
      </c>
      <c r="J1222" s="2">
        <v>45793</v>
      </c>
      <c r="K1222" s="8">
        <f>(F1222/G1222)*100</f>
        <v>7.5623554944201432</v>
      </c>
      <c r="L1222" s="8">
        <f>(H1222/G1222)*100</f>
        <v>0.98179370400304378</v>
      </c>
    </row>
    <row r="1223" spans="1:12" x14ac:dyDescent="0.3">
      <c r="A1223" s="1" t="s">
        <v>1231</v>
      </c>
      <c r="B1223" s="1" t="s">
        <v>10</v>
      </c>
      <c r="C1223" s="1" t="s">
        <v>30</v>
      </c>
      <c r="D1223" s="1" t="s">
        <v>16</v>
      </c>
      <c r="E1223" s="35">
        <v>45784</v>
      </c>
      <c r="F1223" s="1">
        <v>42821</v>
      </c>
      <c r="G1223" s="1">
        <v>697796</v>
      </c>
      <c r="H1223" s="3">
        <v>2205</v>
      </c>
      <c r="I1223" s="1">
        <v>15</v>
      </c>
      <c r="J1223" s="2">
        <v>45799</v>
      </c>
      <c r="K1223" s="8">
        <f>(F1223/G1223)*100</f>
        <v>6.1366072605747242</v>
      </c>
      <c r="L1223" s="8">
        <f>(H1223/G1223)*100</f>
        <v>0.31599493261640937</v>
      </c>
    </row>
    <row r="1224" spans="1:12" x14ac:dyDescent="0.3">
      <c r="A1224" s="1" t="s">
        <v>1232</v>
      </c>
      <c r="B1224" s="1" t="s">
        <v>14</v>
      </c>
      <c r="C1224" s="1" t="s">
        <v>25</v>
      </c>
      <c r="D1224" s="1" t="s">
        <v>19</v>
      </c>
      <c r="E1224" s="35">
        <v>45785</v>
      </c>
      <c r="F1224" s="1">
        <v>68390</v>
      </c>
      <c r="G1224" s="1">
        <v>353235</v>
      </c>
      <c r="H1224" s="3">
        <v>2810</v>
      </c>
      <c r="I1224" s="1">
        <v>26</v>
      </c>
      <c r="J1224" s="2">
        <v>45811</v>
      </c>
      <c r="K1224" s="8">
        <f>(F1224/G1224)*100</f>
        <v>19.3610485937124</v>
      </c>
      <c r="L1224" s="8">
        <f>(H1224/G1224)*100</f>
        <v>0.79550440924596943</v>
      </c>
    </row>
    <row r="1225" spans="1:12" x14ac:dyDescent="0.3">
      <c r="A1225" s="1" t="s">
        <v>1233</v>
      </c>
      <c r="B1225" s="1" t="s">
        <v>22</v>
      </c>
      <c r="C1225" s="1" t="s">
        <v>11</v>
      </c>
      <c r="D1225" s="1" t="s">
        <v>16</v>
      </c>
      <c r="E1225" s="35">
        <v>45786</v>
      </c>
      <c r="F1225" s="1">
        <v>82568</v>
      </c>
      <c r="G1225" s="1">
        <v>968981</v>
      </c>
      <c r="H1225" s="3">
        <v>762</v>
      </c>
      <c r="I1225" s="1">
        <v>11</v>
      </c>
      <c r="J1225" s="2">
        <v>45797</v>
      </c>
      <c r="K1225" s="8">
        <f>(F1225/G1225)*100</f>
        <v>8.521116513120484</v>
      </c>
      <c r="L1225" s="8">
        <f>(H1225/G1225)*100</f>
        <v>7.86393128451435E-2</v>
      </c>
    </row>
    <row r="1226" spans="1:12" x14ac:dyDescent="0.3">
      <c r="A1226" s="1" t="s">
        <v>1234</v>
      </c>
      <c r="B1226" s="1" t="s">
        <v>10</v>
      </c>
      <c r="C1226" s="1" t="s">
        <v>27</v>
      </c>
      <c r="D1226" s="1" t="s">
        <v>12</v>
      </c>
      <c r="E1226" s="35">
        <v>45787</v>
      </c>
      <c r="F1226" s="1">
        <v>1815</v>
      </c>
      <c r="G1226" s="1">
        <v>26805</v>
      </c>
      <c r="H1226" s="3">
        <v>3322</v>
      </c>
      <c r="I1226" s="1">
        <v>9</v>
      </c>
      <c r="J1226" s="2">
        <v>45796</v>
      </c>
      <c r="K1226" s="8">
        <f>(F1226/G1226)*100</f>
        <v>6.7711247901510907</v>
      </c>
      <c r="L1226" s="8">
        <f>(H1226/G1226)*100</f>
        <v>12.393210221973511</v>
      </c>
    </row>
    <row r="1227" spans="1:12" x14ac:dyDescent="0.3">
      <c r="A1227" s="1" t="s">
        <v>1235</v>
      </c>
      <c r="B1227" s="1" t="s">
        <v>14</v>
      </c>
      <c r="C1227" s="1" t="s">
        <v>25</v>
      </c>
      <c r="D1227" s="1" t="s">
        <v>32</v>
      </c>
      <c r="E1227" s="35">
        <v>45788</v>
      </c>
      <c r="F1227" s="1">
        <v>89013</v>
      </c>
      <c r="G1227" s="1">
        <v>756669</v>
      </c>
      <c r="H1227" s="3">
        <v>4663</v>
      </c>
      <c r="I1227" s="1">
        <v>24</v>
      </c>
      <c r="J1227" s="2">
        <v>45812</v>
      </c>
      <c r="K1227" s="8">
        <f>(F1227/G1227)*100</f>
        <v>11.76379632309504</v>
      </c>
      <c r="L1227" s="8">
        <f>(H1227/G1227)*100</f>
        <v>0.61625360626641235</v>
      </c>
    </row>
    <row r="1228" spans="1:12" x14ac:dyDescent="0.3">
      <c r="A1228" s="1" t="s">
        <v>1236</v>
      </c>
      <c r="B1228" s="1" t="s">
        <v>14</v>
      </c>
      <c r="C1228" s="1" t="s">
        <v>11</v>
      </c>
      <c r="D1228" s="1" t="s">
        <v>12</v>
      </c>
      <c r="E1228" s="35">
        <v>45789</v>
      </c>
      <c r="F1228" s="1">
        <v>67234</v>
      </c>
      <c r="G1228" s="1">
        <v>980117</v>
      </c>
      <c r="H1228" s="3">
        <v>808</v>
      </c>
      <c r="I1228" s="1">
        <v>17</v>
      </c>
      <c r="J1228" s="2">
        <v>45806</v>
      </c>
      <c r="K1228" s="8">
        <f>(F1228/G1228)*100</f>
        <v>6.8597932695790398</v>
      </c>
      <c r="L1228" s="8">
        <f>(H1228/G1228)*100</f>
        <v>8.243913736829378E-2</v>
      </c>
    </row>
    <row r="1229" spans="1:12" x14ac:dyDescent="0.3">
      <c r="A1229" s="1" t="s">
        <v>1237</v>
      </c>
      <c r="B1229" s="1" t="s">
        <v>24</v>
      </c>
      <c r="C1229" s="1" t="s">
        <v>11</v>
      </c>
      <c r="D1229" s="1" t="s">
        <v>28</v>
      </c>
      <c r="E1229" s="35">
        <v>45790</v>
      </c>
      <c r="F1229" s="1">
        <v>48352</v>
      </c>
      <c r="G1229" s="1">
        <v>418170</v>
      </c>
      <c r="H1229" s="3">
        <v>2573</v>
      </c>
      <c r="I1229" s="1">
        <v>5</v>
      </c>
      <c r="J1229" s="2">
        <v>45795</v>
      </c>
      <c r="K1229" s="8">
        <f>(F1229/G1229)*100</f>
        <v>11.562761556304853</v>
      </c>
      <c r="L1229" s="8">
        <f>(H1229/G1229)*100</f>
        <v>0.61529999760862808</v>
      </c>
    </row>
    <row r="1230" spans="1:12" x14ac:dyDescent="0.3">
      <c r="A1230" s="1" t="s">
        <v>1238</v>
      </c>
      <c r="B1230" s="1" t="s">
        <v>22</v>
      </c>
      <c r="C1230" s="1" t="s">
        <v>15</v>
      </c>
      <c r="D1230" s="1" t="s">
        <v>32</v>
      </c>
      <c r="E1230" s="35">
        <v>45791</v>
      </c>
      <c r="F1230" s="1">
        <v>75191</v>
      </c>
      <c r="G1230" s="1">
        <v>230427</v>
      </c>
      <c r="H1230" s="3">
        <v>4363</v>
      </c>
      <c r="I1230" s="1">
        <v>6</v>
      </c>
      <c r="J1230" s="2">
        <v>45797</v>
      </c>
      <c r="K1230" s="8">
        <f>(F1230/G1230)*100</f>
        <v>32.631158674981663</v>
      </c>
      <c r="L1230" s="8">
        <f>(H1230/G1230)*100</f>
        <v>1.8934413067913047</v>
      </c>
    </row>
    <row r="1231" spans="1:12" x14ac:dyDescent="0.3">
      <c r="A1231" s="1" t="s">
        <v>1239</v>
      </c>
      <c r="B1231" s="1" t="s">
        <v>22</v>
      </c>
      <c r="C1231" s="1" t="s">
        <v>37</v>
      </c>
      <c r="D1231" s="1" t="s">
        <v>28</v>
      </c>
      <c r="E1231" s="35">
        <v>45792</v>
      </c>
      <c r="F1231" s="1">
        <v>97362</v>
      </c>
      <c r="G1231" s="1">
        <v>412242</v>
      </c>
      <c r="H1231" s="3">
        <v>1321</v>
      </c>
      <c r="I1231" s="1">
        <v>12</v>
      </c>
      <c r="J1231" s="2">
        <v>45804</v>
      </c>
      <c r="K1231" s="8">
        <f>(F1231/G1231)*100</f>
        <v>23.61768087676656</v>
      </c>
      <c r="L1231" s="8">
        <f>(H1231/G1231)*100</f>
        <v>0.32044284667743705</v>
      </c>
    </row>
    <row r="1232" spans="1:12" x14ac:dyDescent="0.3">
      <c r="A1232" s="1" t="s">
        <v>1240</v>
      </c>
      <c r="B1232" s="1" t="s">
        <v>14</v>
      </c>
      <c r="C1232" s="1" t="s">
        <v>18</v>
      </c>
      <c r="D1232" s="1" t="s">
        <v>28</v>
      </c>
      <c r="E1232" s="35">
        <v>45793</v>
      </c>
      <c r="F1232" s="1">
        <v>77739</v>
      </c>
      <c r="G1232" s="1">
        <v>376720</v>
      </c>
      <c r="H1232" s="3">
        <v>2581</v>
      </c>
      <c r="I1232" s="1">
        <v>19</v>
      </c>
      <c r="J1232" s="2">
        <v>45812</v>
      </c>
      <c r="K1232" s="8">
        <f>(F1232/G1232)*100</f>
        <v>20.635750690167765</v>
      </c>
      <c r="L1232" s="8">
        <f>(H1232/G1232)*100</f>
        <v>0.68512423019749424</v>
      </c>
    </row>
    <row r="1233" spans="1:12" x14ac:dyDescent="0.3">
      <c r="A1233" s="1" t="s">
        <v>1241</v>
      </c>
      <c r="B1233" s="1" t="s">
        <v>22</v>
      </c>
      <c r="C1233" s="1" t="s">
        <v>11</v>
      </c>
      <c r="D1233" s="1" t="s">
        <v>28</v>
      </c>
      <c r="E1233" s="35">
        <v>45794</v>
      </c>
      <c r="F1233" s="1">
        <v>79578</v>
      </c>
      <c r="G1233" s="1">
        <v>188479</v>
      </c>
      <c r="H1233" s="3">
        <v>786</v>
      </c>
      <c r="I1233" s="1">
        <v>14</v>
      </c>
      <c r="J1233" s="2">
        <v>45808</v>
      </c>
      <c r="K1233" s="8">
        <f>(F1233/G1233)*100</f>
        <v>42.221149305758196</v>
      </c>
      <c r="L1233" s="8">
        <f>(H1233/G1233)*100</f>
        <v>0.41702258607059672</v>
      </c>
    </row>
    <row r="1234" spans="1:12" x14ac:dyDescent="0.3">
      <c r="A1234" s="1" t="s">
        <v>1242</v>
      </c>
      <c r="B1234" s="1" t="s">
        <v>14</v>
      </c>
      <c r="C1234" s="1" t="s">
        <v>25</v>
      </c>
      <c r="D1234" s="1" t="s">
        <v>32</v>
      </c>
      <c r="E1234" s="35">
        <v>45795</v>
      </c>
      <c r="F1234" s="1">
        <v>75712</v>
      </c>
      <c r="G1234" s="1">
        <v>629072</v>
      </c>
      <c r="H1234" s="3">
        <v>2908</v>
      </c>
      <c r="I1234" s="1">
        <v>16</v>
      </c>
      <c r="J1234" s="2">
        <v>45811</v>
      </c>
      <c r="K1234" s="8">
        <f>(F1234/G1234)*100</f>
        <v>12.035506269552611</v>
      </c>
      <c r="L1234" s="8">
        <f>(H1234/G1234)*100</f>
        <v>0.46226823002772338</v>
      </c>
    </row>
    <row r="1235" spans="1:12" x14ac:dyDescent="0.3">
      <c r="A1235" s="1" t="s">
        <v>1243</v>
      </c>
      <c r="B1235" s="1" t="s">
        <v>22</v>
      </c>
      <c r="C1235" s="1" t="s">
        <v>25</v>
      </c>
      <c r="D1235" s="1" t="s">
        <v>12</v>
      </c>
      <c r="E1235" s="35">
        <v>45796</v>
      </c>
      <c r="F1235" s="1">
        <v>59499</v>
      </c>
      <c r="G1235" s="1">
        <v>145149</v>
      </c>
      <c r="H1235" s="3">
        <v>923</v>
      </c>
      <c r="I1235" s="1">
        <v>26</v>
      </c>
      <c r="J1235" s="2">
        <v>45822</v>
      </c>
      <c r="K1235" s="8">
        <f>(F1235/G1235)*100</f>
        <v>40.991670628113184</v>
      </c>
      <c r="L1235" s="8">
        <f>(H1235/G1235)*100</f>
        <v>0.6358982838324756</v>
      </c>
    </row>
    <row r="1236" spans="1:12" x14ac:dyDescent="0.3">
      <c r="A1236" s="1" t="s">
        <v>1244</v>
      </c>
      <c r="B1236" s="1" t="s">
        <v>22</v>
      </c>
      <c r="C1236" s="1" t="s">
        <v>30</v>
      </c>
      <c r="D1236" s="1" t="s">
        <v>32</v>
      </c>
      <c r="E1236" s="35">
        <v>45797</v>
      </c>
      <c r="F1236" s="1">
        <v>66404</v>
      </c>
      <c r="G1236" s="1">
        <v>307609</v>
      </c>
      <c r="H1236" s="3">
        <v>1875</v>
      </c>
      <c r="I1236" s="1">
        <v>19</v>
      </c>
      <c r="J1236" s="2">
        <v>45816</v>
      </c>
      <c r="K1236" s="8">
        <f>(F1236/G1236)*100</f>
        <v>21.587144719432786</v>
      </c>
      <c r="L1236" s="8">
        <f>(H1236/G1236)*100</f>
        <v>0.609540032963925</v>
      </c>
    </row>
    <row r="1237" spans="1:12" x14ac:dyDescent="0.3">
      <c r="A1237" s="1" t="s">
        <v>1245</v>
      </c>
      <c r="B1237" s="1" t="s">
        <v>22</v>
      </c>
      <c r="C1237" s="1" t="s">
        <v>11</v>
      </c>
      <c r="D1237" s="1" t="s">
        <v>32</v>
      </c>
      <c r="E1237" s="35">
        <v>45798</v>
      </c>
      <c r="F1237" s="1">
        <v>61012</v>
      </c>
      <c r="G1237" s="1">
        <v>516309</v>
      </c>
      <c r="H1237" s="3">
        <v>2087</v>
      </c>
      <c r="I1237" s="1">
        <v>2</v>
      </c>
      <c r="J1237" s="2">
        <v>45800</v>
      </c>
      <c r="K1237" s="8">
        <f>(F1237/G1237)*100</f>
        <v>11.816954575651401</v>
      </c>
      <c r="L1237" s="8">
        <f>(H1237/G1237)*100</f>
        <v>0.40421530517577653</v>
      </c>
    </row>
    <row r="1238" spans="1:12" x14ac:dyDescent="0.3">
      <c r="A1238" s="1" t="s">
        <v>1246</v>
      </c>
      <c r="B1238" s="1" t="s">
        <v>14</v>
      </c>
      <c r="C1238" s="1" t="s">
        <v>15</v>
      </c>
      <c r="D1238" s="1" t="s">
        <v>12</v>
      </c>
      <c r="E1238" s="35">
        <v>45799</v>
      </c>
      <c r="F1238" s="1">
        <v>22399</v>
      </c>
      <c r="G1238" s="1">
        <v>708578</v>
      </c>
      <c r="H1238" s="3">
        <v>4578</v>
      </c>
      <c r="I1238" s="1">
        <v>18</v>
      </c>
      <c r="J1238" s="2">
        <v>45817</v>
      </c>
      <c r="K1238" s="8">
        <f>(F1238/G1238)*100</f>
        <v>3.1611198767108211</v>
      </c>
      <c r="L1238" s="8">
        <f>(H1238/G1238)*100</f>
        <v>0.64608271778124637</v>
      </c>
    </row>
    <row r="1239" spans="1:12" x14ac:dyDescent="0.3">
      <c r="A1239" s="1" t="s">
        <v>1247</v>
      </c>
      <c r="B1239" s="1" t="s">
        <v>22</v>
      </c>
      <c r="C1239" s="1" t="s">
        <v>15</v>
      </c>
      <c r="D1239" s="1" t="s">
        <v>19</v>
      </c>
      <c r="E1239" s="35">
        <v>45800</v>
      </c>
      <c r="F1239" s="1">
        <v>21660</v>
      </c>
      <c r="G1239" s="1">
        <v>315998</v>
      </c>
      <c r="H1239" s="3">
        <v>4766</v>
      </c>
      <c r="I1239" s="1">
        <v>23</v>
      </c>
      <c r="J1239" s="2">
        <v>45823</v>
      </c>
      <c r="K1239" s="8">
        <f>(F1239/G1239)*100</f>
        <v>6.8544737624921677</v>
      </c>
      <c r="L1239" s="8">
        <f>(H1239/G1239)*100</f>
        <v>1.5082373939075564</v>
      </c>
    </row>
    <row r="1240" spans="1:12" x14ac:dyDescent="0.3">
      <c r="A1240" s="1" t="s">
        <v>1248</v>
      </c>
      <c r="B1240" s="1" t="s">
        <v>22</v>
      </c>
      <c r="C1240" s="1" t="s">
        <v>18</v>
      </c>
      <c r="D1240" s="1" t="s">
        <v>28</v>
      </c>
      <c r="E1240" s="35">
        <v>45801</v>
      </c>
      <c r="F1240" s="1">
        <v>53404</v>
      </c>
      <c r="G1240" s="1">
        <v>112801</v>
      </c>
      <c r="H1240" s="3">
        <v>819</v>
      </c>
      <c r="I1240" s="1">
        <v>14</v>
      </c>
      <c r="J1240" s="2">
        <v>45815</v>
      </c>
      <c r="K1240" s="8">
        <f>(F1240/G1240)*100</f>
        <v>47.34355191886597</v>
      </c>
      <c r="L1240" s="8">
        <f>(H1240/G1240)*100</f>
        <v>0.72605739310821715</v>
      </c>
    </row>
    <row r="1241" spans="1:12" x14ac:dyDescent="0.3">
      <c r="A1241" s="1" t="s">
        <v>1249</v>
      </c>
      <c r="B1241" s="1" t="s">
        <v>10</v>
      </c>
      <c r="C1241" s="1" t="s">
        <v>18</v>
      </c>
      <c r="D1241" s="1" t="s">
        <v>19</v>
      </c>
      <c r="E1241" s="35">
        <v>45802</v>
      </c>
      <c r="F1241" s="1">
        <v>49846</v>
      </c>
      <c r="G1241" s="1">
        <v>250294</v>
      </c>
      <c r="H1241" s="3">
        <v>4925</v>
      </c>
      <c r="I1241" s="1">
        <v>28</v>
      </c>
      <c r="J1241" s="2">
        <v>45830</v>
      </c>
      <c r="K1241" s="8">
        <f>(F1241/G1241)*100</f>
        <v>19.914979983539357</v>
      </c>
      <c r="L1241" s="8">
        <f>(H1241/G1241)*100</f>
        <v>1.9676860012625152</v>
      </c>
    </row>
    <row r="1242" spans="1:12" x14ac:dyDescent="0.3">
      <c r="A1242" s="1" t="s">
        <v>1250</v>
      </c>
      <c r="B1242" s="1" t="s">
        <v>22</v>
      </c>
      <c r="C1242" s="1" t="s">
        <v>25</v>
      </c>
      <c r="D1242" s="1" t="s">
        <v>28</v>
      </c>
      <c r="E1242" s="35">
        <v>45803</v>
      </c>
      <c r="F1242" s="1">
        <v>76223</v>
      </c>
      <c r="G1242" s="1">
        <v>538674</v>
      </c>
      <c r="H1242" s="3">
        <v>3734</v>
      </c>
      <c r="I1242" s="1">
        <v>22</v>
      </c>
      <c r="J1242" s="2">
        <v>45825</v>
      </c>
      <c r="K1242" s="8">
        <f>(F1242/G1242)*100</f>
        <v>14.150116768212314</v>
      </c>
      <c r="L1242" s="8">
        <f>(H1242/G1242)*100</f>
        <v>0.69318363240104408</v>
      </c>
    </row>
    <row r="1243" spans="1:12" x14ac:dyDescent="0.3">
      <c r="A1243" s="1" t="s">
        <v>1251</v>
      </c>
      <c r="B1243" s="1" t="s">
        <v>22</v>
      </c>
      <c r="C1243" s="1" t="s">
        <v>27</v>
      </c>
      <c r="D1243" s="1" t="s">
        <v>19</v>
      </c>
      <c r="E1243" s="35">
        <v>45804</v>
      </c>
      <c r="F1243" s="1">
        <v>89526</v>
      </c>
      <c r="G1243" s="1">
        <v>850878</v>
      </c>
      <c r="H1243" s="3">
        <v>4017</v>
      </c>
      <c r="I1243" s="1">
        <v>19</v>
      </c>
      <c r="J1243" s="2">
        <v>45823</v>
      </c>
      <c r="K1243" s="8">
        <f>(F1243/G1243)*100</f>
        <v>10.521602391882269</v>
      </c>
      <c r="L1243" s="8">
        <f>(H1243/G1243)*100</f>
        <v>0.4721005831623335</v>
      </c>
    </row>
    <row r="1244" spans="1:12" x14ac:dyDescent="0.3">
      <c r="A1244" s="1" t="s">
        <v>1252</v>
      </c>
      <c r="B1244" s="1" t="s">
        <v>22</v>
      </c>
      <c r="C1244" s="1" t="s">
        <v>37</v>
      </c>
      <c r="D1244" s="1" t="s">
        <v>12</v>
      </c>
      <c r="E1244" s="35">
        <v>45805</v>
      </c>
      <c r="F1244" s="1">
        <v>88985</v>
      </c>
      <c r="G1244" s="1">
        <v>597168</v>
      </c>
      <c r="H1244" s="3">
        <v>536</v>
      </c>
      <c r="I1244" s="1">
        <v>19</v>
      </c>
      <c r="J1244" s="2">
        <v>45824</v>
      </c>
      <c r="K1244" s="8">
        <f>(F1244/G1244)*100</f>
        <v>14.901166840822015</v>
      </c>
      <c r="L1244" s="8">
        <f>(H1244/G1244)*100</f>
        <v>8.9756986308710443E-2</v>
      </c>
    </row>
    <row r="1245" spans="1:12" x14ac:dyDescent="0.3">
      <c r="A1245" s="1" t="s">
        <v>1253</v>
      </c>
      <c r="B1245" s="1" t="s">
        <v>22</v>
      </c>
      <c r="C1245" s="1" t="s">
        <v>18</v>
      </c>
      <c r="D1245" s="1" t="s">
        <v>19</v>
      </c>
      <c r="E1245" s="35">
        <v>45806</v>
      </c>
      <c r="F1245" s="1">
        <v>22365</v>
      </c>
      <c r="G1245" s="1">
        <v>659832</v>
      </c>
      <c r="H1245" s="3">
        <v>4880</v>
      </c>
      <c r="I1245" s="1">
        <v>27</v>
      </c>
      <c r="J1245" s="2">
        <v>45833</v>
      </c>
      <c r="K1245" s="8">
        <f>(F1245/G1245)*100</f>
        <v>3.3894991452369698</v>
      </c>
      <c r="L1245" s="8">
        <f>(H1245/G1245)*100</f>
        <v>0.73958219668036718</v>
      </c>
    </row>
    <row r="1246" spans="1:12" x14ac:dyDescent="0.3">
      <c r="A1246" s="1" t="s">
        <v>1254</v>
      </c>
      <c r="B1246" s="1" t="s">
        <v>22</v>
      </c>
      <c r="C1246" s="1" t="s">
        <v>15</v>
      </c>
      <c r="D1246" s="1" t="s">
        <v>12</v>
      </c>
      <c r="E1246" s="35">
        <v>45807</v>
      </c>
      <c r="F1246" s="1">
        <v>87043</v>
      </c>
      <c r="G1246" s="1">
        <v>383685</v>
      </c>
      <c r="H1246" s="3">
        <v>3430</v>
      </c>
      <c r="I1246" s="1">
        <v>6</v>
      </c>
      <c r="J1246" s="2">
        <v>45813</v>
      </c>
      <c r="K1246" s="8">
        <f>(F1246/G1246)*100</f>
        <v>22.686057573269739</v>
      </c>
      <c r="L1246" s="8">
        <f>(H1246/G1246)*100</f>
        <v>0.89396249527607285</v>
      </c>
    </row>
    <row r="1247" spans="1:12" x14ac:dyDescent="0.3">
      <c r="A1247" s="1" t="s">
        <v>1255</v>
      </c>
      <c r="B1247" s="1" t="s">
        <v>14</v>
      </c>
      <c r="C1247" s="1" t="s">
        <v>11</v>
      </c>
      <c r="D1247" s="1" t="s">
        <v>12</v>
      </c>
      <c r="E1247" s="35">
        <v>45808</v>
      </c>
      <c r="F1247" s="1">
        <v>23300</v>
      </c>
      <c r="G1247" s="1">
        <v>952151</v>
      </c>
      <c r="H1247" s="3">
        <v>1849</v>
      </c>
      <c r="I1247" s="1">
        <v>28</v>
      </c>
      <c r="J1247" s="2">
        <v>45836</v>
      </c>
      <c r="K1247" s="8">
        <f>(F1247/G1247)*100</f>
        <v>2.4470908500857531</v>
      </c>
      <c r="L1247" s="8">
        <f>(H1247/G1247)*100</f>
        <v>0.19419188763126857</v>
      </c>
    </row>
    <row r="1248" spans="1:12" x14ac:dyDescent="0.3">
      <c r="A1248" s="1" t="s">
        <v>1256</v>
      </c>
      <c r="B1248" s="1" t="s">
        <v>22</v>
      </c>
      <c r="C1248" s="1" t="s">
        <v>18</v>
      </c>
      <c r="D1248" s="1" t="s">
        <v>32</v>
      </c>
      <c r="E1248" s="35">
        <v>45809</v>
      </c>
      <c r="F1248" s="1">
        <v>96106</v>
      </c>
      <c r="G1248" s="1">
        <v>718366</v>
      </c>
      <c r="H1248" s="3">
        <v>2898</v>
      </c>
      <c r="I1248" s="1">
        <v>4</v>
      </c>
      <c r="J1248" s="2">
        <v>45813</v>
      </c>
      <c r="K1248" s="8">
        <f>(F1248/G1248)*100</f>
        <v>13.378417129986664</v>
      </c>
      <c r="L1248" s="8">
        <f>(H1248/G1248)*100</f>
        <v>0.40341552913138984</v>
      </c>
    </row>
    <row r="1249" spans="1:12" x14ac:dyDescent="0.3">
      <c r="A1249" s="1" t="s">
        <v>1257</v>
      </c>
      <c r="B1249" s="1" t="s">
        <v>10</v>
      </c>
      <c r="C1249" s="1" t="s">
        <v>11</v>
      </c>
      <c r="D1249" s="1" t="s">
        <v>12</v>
      </c>
      <c r="E1249" s="35">
        <v>45810</v>
      </c>
      <c r="F1249" s="1">
        <v>9842</v>
      </c>
      <c r="G1249" s="1">
        <v>735439</v>
      </c>
      <c r="H1249" s="3">
        <v>3037</v>
      </c>
      <c r="I1249" s="1">
        <v>13</v>
      </c>
      <c r="J1249" s="2">
        <v>45823</v>
      </c>
      <c r="K1249" s="8">
        <f>(F1249/G1249)*100</f>
        <v>1.3382483115526917</v>
      </c>
      <c r="L1249" s="8">
        <f>(H1249/G1249)*100</f>
        <v>0.41295063220742984</v>
      </c>
    </row>
    <row r="1250" spans="1:12" x14ac:dyDescent="0.3">
      <c r="A1250" s="1" t="s">
        <v>1258</v>
      </c>
      <c r="B1250" s="1" t="s">
        <v>24</v>
      </c>
      <c r="C1250" s="1" t="s">
        <v>18</v>
      </c>
      <c r="D1250" s="1" t="s">
        <v>28</v>
      </c>
      <c r="E1250" s="35">
        <v>45811</v>
      </c>
      <c r="F1250" s="1">
        <v>32514</v>
      </c>
      <c r="G1250" s="1">
        <v>495407</v>
      </c>
      <c r="H1250" s="3">
        <v>999</v>
      </c>
      <c r="I1250" s="1">
        <v>29</v>
      </c>
      <c r="J1250" s="2">
        <v>45840</v>
      </c>
      <c r="K1250" s="8">
        <f>(F1250/G1250)*100</f>
        <v>6.5630885312480443</v>
      </c>
      <c r="L1250" s="8">
        <f>(H1250/G1250)*100</f>
        <v>0.20165237875120862</v>
      </c>
    </row>
    <row r="1251" spans="1:12" x14ac:dyDescent="0.3">
      <c r="A1251" s="1" t="s">
        <v>1259</v>
      </c>
      <c r="B1251" s="1" t="s">
        <v>22</v>
      </c>
      <c r="C1251" s="1" t="s">
        <v>37</v>
      </c>
      <c r="D1251" s="1" t="s">
        <v>28</v>
      </c>
      <c r="E1251" s="35">
        <v>45812</v>
      </c>
      <c r="F1251" s="1">
        <v>95984</v>
      </c>
      <c r="G1251" s="1">
        <v>103711</v>
      </c>
      <c r="H1251" s="3">
        <v>2130</v>
      </c>
      <c r="I1251" s="1">
        <v>29</v>
      </c>
      <c r="J1251" s="2">
        <v>45841</v>
      </c>
      <c r="K1251" s="8">
        <f>(F1251/G1251)*100</f>
        <v>92.549488482417487</v>
      </c>
      <c r="L1251" s="8">
        <f>(H1251/G1251)*100</f>
        <v>2.0537840730491461</v>
      </c>
    </row>
    <row r="1252" spans="1:12" x14ac:dyDescent="0.3">
      <c r="A1252" s="1" t="s">
        <v>1260</v>
      </c>
      <c r="B1252" s="1" t="s">
        <v>22</v>
      </c>
      <c r="C1252" s="1" t="s">
        <v>27</v>
      </c>
      <c r="D1252" s="1" t="s">
        <v>12</v>
      </c>
      <c r="E1252" s="35">
        <v>45813</v>
      </c>
      <c r="F1252" s="1">
        <v>9266</v>
      </c>
      <c r="G1252" s="1">
        <v>398150</v>
      </c>
      <c r="H1252" s="3">
        <v>826</v>
      </c>
      <c r="I1252" s="1">
        <v>3</v>
      </c>
      <c r="J1252" s="2">
        <v>45816</v>
      </c>
      <c r="K1252" s="8">
        <f>(F1252/G1252)*100</f>
        <v>2.3272635941228184</v>
      </c>
      <c r="L1252" s="8">
        <f>(H1252/G1252)*100</f>
        <v>0.20745950018837123</v>
      </c>
    </row>
    <row r="1253" spans="1:12" x14ac:dyDescent="0.3">
      <c r="A1253" s="1" t="s">
        <v>1261</v>
      </c>
      <c r="B1253" s="1" t="s">
        <v>22</v>
      </c>
      <c r="C1253" s="1" t="s">
        <v>37</v>
      </c>
      <c r="D1253" s="1" t="s">
        <v>28</v>
      </c>
      <c r="E1253" s="35">
        <v>45814</v>
      </c>
      <c r="F1253" s="1">
        <v>28869</v>
      </c>
      <c r="G1253" s="1">
        <v>378298</v>
      </c>
      <c r="H1253" s="3">
        <v>4019</v>
      </c>
      <c r="I1253" s="1">
        <v>8</v>
      </c>
      <c r="J1253" s="2">
        <v>45822</v>
      </c>
      <c r="K1253" s="8">
        <f>(F1253/G1253)*100</f>
        <v>7.6312853887675853</v>
      </c>
      <c r="L1253" s="8">
        <f>(H1253/G1253)*100</f>
        <v>1.0623899676974238</v>
      </c>
    </row>
    <row r="1254" spans="1:12" x14ac:dyDescent="0.3">
      <c r="A1254" s="1" t="s">
        <v>1262</v>
      </c>
      <c r="B1254" s="1" t="s">
        <v>14</v>
      </c>
      <c r="C1254" s="1" t="s">
        <v>25</v>
      </c>
      <c r="D1254" s="1" t="s">
        <v>19</v>
      </c>
      <c r="E1254" s="35">
        <v>45815</v>
      </c>
      <c r="F1254" s="1">
        <v>97791</v>
      </c>
      <c r="G1254" s="1">
        <v>902005</v>
      </c>
      <c r="H1254" s="3">
        <v>470</v>
      </c>
      <c r="I1254" s="1">
        <v>7</v>
      </c>
      <c r="J1254" s="2">
        <v>45822</v>
      </c>
      <c r="K1254" s="8">
        <f>(F1254/G1254)*100</f>
        <v>10.84151418229389</v>
      </c>
      <c r="L1254" s="8">
        <f>(H1254/G1254)*100</f>
        <v>5.2106141318507111E-2</v>
      </c>
    </row>
    <row r="1255" spans="1:12" x14ac:dyDescent="0.3">
      <c r="A1255" s="1" t="s">
        <v>1263</v>
      </c>
      <c r="B1255" s="1" t="s">
        <v>22</v>
      </c>
      <c r="C1255" s="1" t="s">
        <v>37</v>
      </c>
      <c r="D1255" s="1" t="s">
        <v>28</v>
      </c>
      <c r="E1255" s="35">
        <v>45816</v>
      </c>
      <c r="F1255" s="1">
        <v>22477</v>
      </c>
      <c r="G1255" s="1">
        <v>958888</v>
      </c>
      <c r="H1255" s="3">
        <v>237</v>
      </c>
      <c r="I1255" s="1">
        <v>18</v>
      </c>
      <c r="J1255" s="2">
        <v>45834</v>
      </c>
      <c r="K1255" s="8">
        <f>(F1255/G1255)*100</f>
        <v>2.3440693803655899</v>
      </c>
      <c r="L1255" s="8">
        <f>(H1255/G1255)*100</f>
        <v>2.4716129516690163E-2</v>
      </c>
    </row>
    <row r="1256" spans="1:12" x14ac:dyDescent="0.3">
      <c r="A1256" s="1" t="s">
        <v>1264</v>
      </c>
      <c r="B1256" s="1" t="s">
        <v>10</v>
      </c>
      <c r="C1256" s="1" t="s">
        <v>15</v>
      </c>
      <c r="D1256" s="1" t="s">
        <v>32</v>
      </c>
      <c r="E1256" s="35">
        <v>45817</v>
      </c>
      <c r="F1256" s="1">
        <v>89618</v>
      </c>
      <c r="G1256" s="1">
        <v>699071</v>
      </c>
      <c r="H1256" s="3">
        <v>4341</v>
      </c>
      <c r="I1256" s="1">
        <v>25</v>
      </c>
      <c r="J1256" s="2">
        <v>45842</v>
      </c>
      <c r="K1256" s="8">
        <f>(F1256/G1256)*100</f>
        <v>12.819584849035362</v>
      </c>
      <c r="L1256" s="8">
        <f>(H1256/G1256)*100</f>
        <v>0.62096696902031412</v>
      </c>
    </row>
    <row r="1257" spans="1:12" x14ac:dyDescent="0.3">
      <c r="A1257" s="1" t="s">
        <v>1265</v>
      </c>
      <c r="B1257" s="1" t="s">
        <v>10</v>
      </c>
      <c r="C1257" s="1" t="s">
        <v>25</v>
      </c>
      <c r="D1257" s="1" t="s">
        <v>28</v>
      </c>
      <c r="E1257" s="35">
        <v>45818</v>
      </c>
      <c r="F1257" s="1">
        <v>68945</v>
      </c>
      <c r="G1257" s="1">
        <v>185904</v>
      </c>
      <c r="H1257" s="3">
        <v>2286</v>
      </c>
      <c r="I1257" s="1">
        <v>13</v>
      </c>
      <c r="J1257" s="2">
        <v>45831</v>
      </c>
      <c r="K1257" s="8">
        <f>(F1257/G1257)*100</f>
        <v>37.086345640760818</v>
      </c>
      <c r="L1257" s="8">
        <f>(H1257/G1257)*100</f>
        <v>1.2296669248644463</v>
      </c>
    </row>
    <row r="1258" spans="1:12" x14ac:dyDescent="0.3">
      <c r="A1258" s="1" t="s">
        <v>1266</v>
      </c>
      <c r="B1258" s="1" t="s">
        <v>10</v>
      </c>
      <c r="C1258" s="1" t="s">
        <v>37</v>
      </c>
      <c r="D1258" s="1" t="s">
        <v>12</v>
      </c>
      <c r="E1258" s="35">
        <v>45819</v>
      </c>
      <c r="F1258" s="1">
        <v>10362</v>
      </c>
      <c r="G1258" s="1">
        <v>610386</v>
      </c>
      <c r="H1258" s="3">
        <v>2207</v>
      </c>
      <c r="I1258" s="1">
        <v>14</v>
      </c>
      <c r="J1258" s="2">
        <v>45833</v>
      </c>
      <c r="K1258" s="8">
        <f>(F1258/G1258)*100</f>
        <v>1.6976142965271157</v>
      </c>
      <c r="L1258" s="8">
        <f>(H1258/G1258)*100</f>
        <v>0.36157447910011042</v>
      </c>
    </row>
    <row r="1259" spans="1:12" x14ac:dyDescent="0.3">
      <c r="A1259" s="1" t="s">
        <v>1267</v>
      </c>
      <c r="B1259" s="1" t="s">
        <v>14</v>
      </c>
      <c r="C1259" s="1" t="s">
        <v>37</v>
      </c>
      <c r="D1259" s="1" t="s">
        <v>16</v>
      </c>
      <c r="E1259" s="35">
        <v>45820</v>
      </c>
      <c r="F1259" s="1">
        <v>94147</v>
      </c>
      <c r="G1259" s="1">
        <v>151405</v>
      </c>
      <c r="H1259" s="3">
        <v>335</v>
      </c>
      <c r="I1259" s="1">
        <v>9</v>
      </c>
      <c r="J1259" s="2">
        <v>45829</v>
      </c>
      <c r="K1259" s="8">
        <f>(F1259/G1259)*100</f>
        <v>62.18222647864998</v>
      </c>
      <c r="L1259" s="8">
        <f>(H1259/G1259)*100</f>
        <v>0.22126085664277931</v>
      </c>
    </row>
    <row r="1260" spans="1:12" x14ac:dyDescent="0.3">
      <c r="A1260" s="1" t="s">
        <v>1268</v>
      </c>
      <c r="B1260" s="1" t="s">
        <v>24</v>
      </c>
      <c r="C1260" s="1" t="s">
        <v>11</v>
      </c>
      <c r="D1260" s="1" t="s">
        <v>32</v>
      </c>
      <c r="E1260" s="35">
        <v>45821</v>
      </c>
      <c r="F1260" s="1">
        <v>71168</v>
      </c>
      <c r="G1260" s="1">
        <v>766452</v>
      </c>
      <c r="H1260" s="3">
        <v>3304</v>
      </c>
      <c r="I1260" s="1">
        <v>20</v>
      </c>
      <c r="J1260" s="2">
        <v>45841</v>
      </c>
      <c r="K1260" s="8">
        <f>(F1260/G1260)*100</f>
        <v>9.2853825158000767</v>
      </c>
      <c r="L1260" s="8">
        <f>(H1260/G1260)*100</f>
        <v>0.4310772233616717</v>
      </c>
    </row>
    <row r="1261" spans="1:12" x14ac:dyDescent="0.3">
      <c r="A1261" s="1" t="s">
        <v>1269</v>
      </c>
      <c r="B1261" s="1" t="s">
        <v>22</v>
      </c>
      <c r="C1261" s="1" t="s">
        <v>27</v>
      </c>
      <c r="D1261" s="1" t="s">
        <v>12</v>
      </c>
      <c r="E1261" s="35">
        <v>45822</v>
      </c>
      <c r="F1261" s="1">
        <v>6248</v>
      </c>
      <c r="G1261" s="1">
        <v>305518</v>
      </c>
      <c r="H1261" s="3">
        <v>4688</v>
      </c>
      <c r="I1261" s="1">
        <v>14</v>
      </c>
      <c r="J1261" s="2">
        <v>45836</v>
      </c>
      <c r="K1261" s="8">
        <f>(F1261/G1261)*100</f>
        <v>2.045051355402955</v>
      </c>
      <c r="L1261" s="8">
        <f>(H1261/G1261)*100</f>
        <v>1.5344431424662377</v>
      </c>
    </row>
    <row r="1262" spans="1:12" x14ac:dyDescent="0.3">
      <c r="A1262" s="1" t="s">
        <v>1270</v>
      </c>
      <c r="B1262" s="1" t="s">
        <v>14</v>
      </c>
      <c r="C1262" s="1" t="s">
        <v>18</v>
      </c>
      <c r="D1262" s="1" t="s">
        <v>16</v>
      </c>
      <c r="E1262" s="35">
        <v>45823</v>
      </c>
      <c r="F1262" s="1">
        <v>93199</v>
      </c>
      <c r="G1262" s="1">
        <v>95444</v>
      </c>
      <c r="H1262" s="3">
        <v>4981</v>
      </c>
      <c r="I1262" s="1">
        <v>11</v>
      </c>
      <c r="J1262" s="2">
        <v>45834</v>
      </c>
      <c r="K1262" s="8">
        <f>(F1262/G1262)*100</f>
        <v>97.647835379908642</v>
      </c>
      <c r="L1262" s="8">
        <f>(H1262/G1262)*100</f>
        <v>5.2187670256904575</v>
      </c>
    </row>
    <row r="1263" spans="1:12" x14ac:dyDescent="0.3">
      <c r="A1263" s="1" t="s">
        <v>1271</v>
      </c>
      <c r="B1263" s="1" t="s">
        <v>22</v>
      </c>
      <c r="C1263" s="1" t="s">
        <v>11</v>
      </c>
      <c r="D1263" s="1" t="s">
        <v>32</v>
      </c>
      <c r="E1263" s="35">
        <v>45824</v>
      </c>
      <c r="F1263" s="1">
        <v>24029</v>
      </c>
      <c r="G1263" s="1">
        <v>923501</v>
      </c>
      <c r="H1263" s="3">
        <v>4381</v>
      </c>
      <c r="I1263" s="1">
        <v>24</v>
      </c>
      <c r="J1263" s="2">
        <v>45848</v>
      </c>
      <c r="K1263" s="8">
        <f>(F1263/G1263)*100</f>
        <v>2.6019462891756477</v>
      </c>
      <c r="L1263" s="8">
        <f>(H1263/G1263)*100</f>
        <v>0.47439039048143966</v>
      </c>
    </row>
    <row r="1264" spans="1:12" x14ac:dyDescent="0.3">
      <c r="A1264" s="1" t="s">
        <v>1272</v>
      </c>
      <c r="B1264" s="1" t="s">
        <v>24</v>
      </c>
      <c r="C1264" s="1" t="s">
        <v>18</v>
      </c>
      <c r="D1264" s="1" t="s">
        <v>32</v>
      </c>
      <c r="E1264" s="35">
        <v>45825</v>
      </c>
      <c r="F1264" s="1">
        <v>45029</v>
      </c>
      <c r="G1264" s="1">
        <v>402172</v>
      </c>
      <c r="H1264" s="3">
        <v>3107</v>
      </c>
      <c r="I1264" s="1">
        <v>27</v>
      </c>
      <c r="J1264" s="2">
        <v>45852</v>
      </c>
      <c r="K1264" s="8">
        <f>(F1264/G1264)*100</f>
        <v>11.196453258804691</v>
      </c>
      <c r="L1264" s="8">
        <f>(H1264/G1264)*100</f>
        <v>0.77255502620769223</v>
      </c>
    </row>
    <row r="1265" spans="1:12" x14ac:dyDescent="0.3">
      <c r="A1265" s="1" t="s">
        <v>1273</v>
      </c>
      <c r="B1265" s="1" t="s">
        <v>14</v>
      </c>
      <c r="C1265" s="1" t="s">
        <v>18</v>
      </c>
      <c r="D1265" s="1" t="s">
        <v>32</v>
      </c>
      <c r="E1265" s="35">
        <v>45826</v>
      </c>
      <c r="F1265" s="1">
        <v>73840</v>
      </c>
      <c r="G1265" s="1">
        <v>71437</v>
      </c>
      <c r="H1265" s="3">
        <v>299</v>
      </c>
      <c r="I1265" s="1">
        <v>8</v>
      </c>
      <c r="J1265" s="2">
        <v>45834</v>
      </c>
      <c r="K1265" s="8">
        <f>(F1265/G1265)*100</f>
        <v>103.3638030712376</v>
      </c>
      <c r="L1265" s="8">
        <f>(H1265/G1265)*100</f>
        <v>0.4185506110278987</v>
      </c>
    </row>
    <row r="1266" spans="1:12" x14ac:dyDescent="0.3">
      <c r="A1266" s="1" t="s">
        <v>1274</v>
      </c>
      <c r="B1266" s="1" t="s">
        <v>10</v>
      </c>
      <c r="C1266" s="1" t="s">
        <v>15</v>
      </c>
      <c r="D1266" s="1" t="s">
        <v>32</v>
      </c>
      <c r="E1266" s="35">
        <v>45827</v>
      </c>
      <c r="F1266" s="1">
        <v>47966</v>
      </c>
      <c r="G1266" s="1">
        <v>577434</v>
      </c>
      <c r="H1266" s="3">
        <v>3863</v>
      </c>
      <c r="I1266" s="1">
        <v>13</v>
      </c>
      <c r="J1266" s="2">
        <v>45840</v>
      </c>
      <c r="K1266" s="8">
        <f>(F1266/G1266)*100</f>
        <v>8.3067502086818585</v>
      </c>
      <c r="L1266" s="8">
        <f>(H1266/G1266)*100</f>
        <v>0.66899420539836585</v>
      </c>
    </row>
    <row r="1267" spans="1:12" x14ac:dyDescent="0.3">
      <c r="A1267" s="1" t="s">
        <v>1275</v>
      </c>
      <c r="B1267" s="1" t="s">
        <v>22</v>
      </c>
      <c r="C1267" s="1" t="s">
        <v>11</v>
      </c>
      <c r="D1267" s="1" t="s">
        <v>28</v>
      </c>
      <c r="E1267" s="35">
        <v>45828</v>
      </c>
      <c r="F1267" s="1">
        <v>5046</v>
      </c>
      <c r="G1267" s="1">
        <v>24307</v>
      </c>
      <c r="H1267" s="3">
        <v>2387</v>
      </c>
      <c r="I1267" s="1">
        <v>16</v>
      </c>
      <c r="J1267" s="2">
        <v>45844</v>
      </c>
      <c r="K1267" s="8">
        <f>(F1267/G1267)*100</f>
        <v>20.759452009709136</v>
      </c>
      <c r="L1267" s="8">
        <f>(H1267/G1267)*100</f>
        <v>9.8202163985683146</v>
      </c>
    </row>
    <row r="1268" spans="1:12" x14ac:dyDescent="0.3">
      <c r="A1268" s="1" t="s">
        <v>1276</v>
      </c>
      <c r="B1268" s="1" t="s">
        <v>24</v>
      </c>
      <c r="C1268" s="1" t="s">
        <v>18</v>
      </c>
      <c r="D1268" s="1" t="s">
        <v>32</v>
      </c>
      <c r="E1268" s="35">
        <v>45829</v>
      </c>
      <c r="F1268" s="1">
        <v>29879</v>
      </c>
      <c r="G1268" s="1">
        <v>933658</v>
      </c>
      <c r="H1268" s="3">
        <v>1403</v>
      </c>
      <c r="I1268" s="1">
        <v>20</v>
      </c>
      <c r="J1268" s="2">
        <v>45849</v>
      </c>
      <c r="K1268" s="8">
        <f>(F1268/G1268)*100</f>
        <v>3.2002082132858072</v>
      </c>
      <c r="L1268" s="8">
        <f>(H1268/G1268)*100</f>
        <v>0.15026915637203345</v>
      </c>
    </row>
    <row r="1269" spans="1:12" x14ac:dyDescent="0.3">
      <c r="A1269" s="1" t="s">
        <v>1277</v>
      </c>
      <c r="B1269" s="1" t="s">
        <v>14</v>
      </c>
      <c r="C1269" s="1" t="s">
        <v>11</v>
      </c>
      <c r="D1269" s="1" t="s">
        <v>32</v>
      </c>
      <c r="E1269" s="35">
        <v>45830</v>
      </c>
      <c r="F1269" s="1">
        <v>30463</v>
      </c>
      <c r="G1269" s="1">
        <v>462402</v>
      </c>
      <c r="H1269" s="3">
        <v>1609</v>
      </c>
      <c r="I1269" s="1">
        <v>5</v>
      </c>
      <c r="J1269" s="2">
        <v>45835</v>
      </c>
      <c r="K1269" s="8">
        <f>(F1269/G1269)*100</f>
        <v>6.5879905363731135</v>
      </c>
      <c r="L1269" s="8">
        <f>(H1269/G1269)*100</f>
        <v>0.34796562298605976</v>
      </c>
    </row>
    <row r="1270" spans="1:12" x14ac:dyDescent="0.3">
      <c r="A1270" s="1" t="s">
        <v>1278</v>
      </c>
      <c r="B1270" s="1" t="s">
        <v>14</v>
      </c>
      <c r="C1270" s="1" t="s">
        <v>15</v>
      </c>
      <c r="D1270" s="1" t="s">
        <v>12</v>
      </c>
      <c r="E1270" s="35">
        <v>45831</v>
      </c>
      <c r="F1270" s="1">
        <v>98506</v>
      </c>
      <c r="G1270" s="1">
        <v>479080</v>
      </c>
      <c r="H1270" s="3">
        <v>791</v>
      </c>
      <c r="I1270" s="1">
        <v>21</v>
      </c>
      <c r="J1270" s="2">
        <v>45852</v>
      </c>
      <c r="K1270" s="8">
        <f>(F1270/G1270)*100</f>
        <v>20.561492861317525</v>
      </c>
      <c r="L1270" s="8">
        <f>(H1270/G1270)*100</f>
        <v>0.16510812390414961</v>
      </c>
    </row>
    <row r="1271" spans="1:12" x14ac:dyDescent="0.3">
      <c r="A1271" s="1" t="s">
        <v>1279</v>
      </c>
      <c r="B1271" s="1" t="s">
        <v>24</v>
      </c>
      <c r="C1271" s="1" t="s">
        <v>25</v>
      </c>
      <c r="D1271" s="1" t="s">
        <v>32</v>
      </c>
      <c r="E1271" s="35">
        <v>45832</v>
      </c>
      <c r="F1271" s="1">
        <v>45121</v>
      </c>
      <c r="G1271" s="1">
        <v>200428</v>
      </c>
      <c r="H1271" s="3">
        <v>3321</v>
      </c>
      <c r="I1271" s="1">
        <v>1</v>
      </c>
      <c r="J1271" s="2">
        <v>45833</v>
      </c>
      <c r="K1271" s="8">
        <f>(F1271/G1271)*100</f>
        <v>22.512323627437283</v>
      </c>
      <c r="L1271" s="8">
        <f>(H1271/G1271)*100</f>
        <v>1.6569541181870797</v>
      </c>
    </row>
    <row r="1272" spans="1:12" x14ac:dyDescent="0.3">
      <c r="A1272" s="1" t="s">
        <v>1280</v>
      </c>
      <c r="B1272" s="1" t="s">
        <v>22</v>
      </c>
      <c r="C1272" s="1" t="s">
        <v>30</v>
      </c>
      <c r="D1272" s="1" t="s">
        <v>12</v>
      </c>
      <c r="E1272" s="35">
        <v>45833</v>
      </c>
      <c r="F1272" s="1">
        <v>59106</v>
      </c>
      <c r="G1272" s="1">
        <v>476114</v>
      </c>
      <c r="H1272" s="3">
        <v>1649</v>
      </c>
      <c r="I1272" s="1">
        <v>29</v>
      </c>
      <c r="J1272" s="2">
        <v>45862</v>
      </c>
      <c r="K1272" s="8">
        <f>(F1272/G1272)*100</f>
        <v>12.414253729148902</v>
      </c>
      <c r="L1272" s="8">
        <f>(H1272/G1272)*100</f>
        <v>0.34634562310707101</v>
      </c>
    </row>
    <row r="1273" spans="1:12" x14ac:dyDescent="0.3">
      <c r="A1273" s="1" t="s">
        <v>1281</v>
      </c>
      <c r="B1273" s="1" t="s">
        <v>22</v>
      </c>
      <c r="C1273" s="1" t="s">
        <v>11</v>
      </c>
      <c r="D1273" s="1" t="s">
        <v>28</v>
      </c>
      <c r="E1273" s="35">
        <v>45834</v>
      </c>
      <c r="F1273" s="1">
        <v>55549</v>
      </c>
      <c r="G1273" s="1">
        <v>722688</v>
      </c>
      <c r="H1273" s="3">
        <v>716</v>
      </c>
      <c r="I1273" s="1">
        <v>28</v>
      </c>
      <c r="J1273" s="2">
        <v>45862</v>
      </c>
      <c r="K1273" s="8">
        <f>(F1273/G1273)*100</f>
        <v>7.6864428356358481</v>
      </c>
      <c r="L1273" s="8">
        <f>(H1273/G1273)*100</f>
        <v>9.9074566064470418E-2</v>
      </c>
    </row>
    <row r="1274" spans="1:12" x14ac:dyDescent="0.3">
      <c r="A1274" s="1" t="s">
        <v>1282</v>
      </c>
      <c r="B1274" s="1" t="s">
        <v>14</v>
      </c>
      <c r="C1274" s="1" t="s">
        <v>15</v>
      </c>
      <c r="D1274" s="1" t="s">
        <v>12</v>
      </c>
      <c r="E1274" s="35">
        <v>45835</v>
      </c>
      <c r="F1274" s="1">
        <v>56344</v>
      </c>
      <c r="G1274" s="1">
        <v>848571</v>
      </c>
      <c r="H1274" s="3">
        <v>2547</v>
      </c>
      <c r="I1274" s="1">
        <v>7</v>
      </c>
      <c r="J1274" s="2">
        <v>45842</v>
      </c>
      <c r="K1274" s="8">
        <f>(F1274/G1274)*100</f>
        <v>6.6398686733343464</v>
      </c>
      <c r="L1274" s="8">
        <f>(H1274/G1274)*100</f>
        <v>0.30015166674326604</v>
      </c>
    </row>
    <row r="1275" spans="1:12" x14ac:dyDescent="0.3">
      <c r="A1275" s="1" t="s">
        <v>1283</v>
      </c>
      <c r="B1275" s="1" t="s">
        <v>22</v>
      </c>
      <c r="C1275" s="1" t="s">
        <v>15</v>
      </c>
      <c r="D1275" s="1" t="s">
        <v>32</v>
      </c>
      <c r="E1275" s="35">
        <v>45836</v>
      </c>
      <c r="F1275" s="1">
        <v>14239</v>
      </c>
      <c r="G1275" s="1">
        <v>418132</v>
      </c>
      <c r="H1275" s="3">
        <v>391</v>
      </c>
      <c r="I1275" s="1">
        <v>3</v>
      </c>
      <c r="J1275" s="2">
        <v>45839</v>
      </c>
      <c r="K1275" s="8">
        <f>(F1275/G1275)*100</f>
        <v>3.4053839457396227</v>
      </c>
      <c r="L1275" s="8">
        <f>(H1275/G1275)*100</f>
        <v>9.3511140022767933E-2</v>
      </c>
    </row>
    <row r="1276" spans="1:12" x14ac:dyDescent="0.3">
      <c r="A1276" s="1" t="s">
        <v>1284</v>
      </c>
      <c r="B1276" s="1" t="s">
        <v>22</v>
      </c>
      <c r="C1276" s="1" t="s">
        <v>27</v>
      </c>
      <c r="D1276" s="1" t="s">
        <v>32</v>
      </c>
      <c r="E1276" s="35">
        <v>45837</v>
      </c>
      <c r="F1276" s="1">
        <v>4388</v>
      </c>
      <c r="G1276" s="1">
        <v>752038</v>
      </c>
      <c r="H1276" s="3">
        <v>1363</v>
      </c>
      <c r="I1276" s="1">
        <v>18</v>
      </c>
      <c r="J1276" s="2">
        <v>45855</v>
      </c>
      <c r="K1276" s="8">
        <f>(F1276/G1276)*100</f>
        <v>0.58348115387786259</v>
      </c>
      <c r="L1276" s="8">
        <f>(H1276/G1276)*100</f>
        <v>0.1812408415532194</v>
      </c>
    </row>
    <row r="1277" spans="1:12" x14ac:dyDescent="0.3">
      <c r="A1277" s="1" t="s">
        <v>1285</v>
      </c>
      <c r="B1277" s="1" t="s">
        <v>22</v>
      </c>
      <c r="C1277" s="1" t="s">
        <v>25</v>
      </c>
      <c r="D1277" s="1" t="s">
        <v>19</v>
      </c>
      <c r="E1277" s="35">
        <v>45838</v>
      </c>
      <c r="F1277" s="1">
        <v>38147</v>
      </c>
      <c r="G1277" s="1">
        <v>994431</v>
      </c>
      <c r="H1277" s="3">
        <v>2880</v>
      </c>
      <c r="I1277" s="1">
        <v>17</v>
      </c>
      <c r="J1277" s="2">
        <v>45855</v>
      </c>
      <c r="K1277" s="8">
        <f>(F1277/G1277)*100</f>
        <v>3.8360630350421498</v>
      </c>
      <c r="L1277" s="8">
        <f>(H1277/G1277)*100</f>
        <v>0.28961285398383596</v>
      </c>
    </row>
    <row r="1278" spans="1:12" x14ac:dyDescent="0.3">
      <c r="A1278" s="1" t="s">
        <v>1286</v>
      </c>
      <c r="B1278" s="1" t="s">
        <v>22</v>
      </c>
      <c r="C1278" s="1" t="s">
        <v>18</v>
      </c>
      <c r="D1278" s="1" t="s">
        <v>32</v>
      </c>
      <c r="E1278" s="35">
        <v>45839</v>
      </c>
      <c r="F1278" s="1">
        <v>9448</v>
      </c>
      <c r="G1278" s="1">
        <v>439484</v>
      </c>
      <c r="H1278" s="3">
        <v>1655</v>
      </c>
      <c r="I1278" s="1">
        <v>23</v>
      </c>
      <c r="J1278" s="2">
        <v>45862</v>
      </c>
      <c r="K1278" s="8">
        <f>(F1278/G1278)*100</f>
        <v>2.1497938491503672</v>
      </c>
      <c r="L1278" s="8">
        <f>(H1278/G1278)*100</f>
        <v>0.37657798691192401</v>
      </c>
    </row>
    <row r="1279" spans="1:12" x14ac:dyDescent="0.3">
      <c r="A1279" s="1" t="s">
        <v>1287</v>
      </c>
      <c r="B1279" s="1" t="s">
        <v>10</v>
      </c>
      <c r="C1279" s="1" t="s">
        <v>37</v>
      </c>
      <c r="D1279" s="1" t="s">
        <v>28</v>
      </c>
      <c r="E1279" s="35">
        <v>45840</v>
      </c>
      <c r="F1279" s="1">
        <v>91896</v>
      </c>
      <c r="G1279" s="1">
        <v>268080</v>
      </c>
      <c r="H1279" s="3">
        <v>1435</v>
      </c>
      <c r="I1279" s="1">
        <v>19</v>
      </c>
      <c r="J1279" s="2">
        <v>45859</v>
      </c>
      <c r="K1279" s="8">
        <f>(F1279/G1279)*100</f>
        <v>34.279319606087732</v>
      </c>
      <c r="L1279" s="8">
        <f>(H1279/G1279)*100</f>
        <v>0.53528797373918235</v>
      </c>
    </row>
    <row r="1280" spans="1:12" x14ac:dyDescent="0.3">
      <c r="A1280" s="1" t="s">
        <v>1288</v>
      </c>
      <c r="B1280" s="1" t="s">
        <v>14</v>
      </c>
      <c r="C1280" s="1" t="s">
        <v>11</v>
      </c>
      <c r="D1280" s="1" t="s">
        <v>28</v>
      </c>
      <c r="E1280" s="35">
        <v>45841</v>
      </c>
      <c r="F1280" s="1">
        <v>17504</v>
      </c>
      <c r="G1280" s="1">
        <v>381785</v>
      </c>
      <c r="H1280" s="3">
        <v>3653</v>
      </c>
      <c r="I1280" s="1">
        <v>1</v>
      </c>
      <c r="J1280" s="2">
        <v>45842</v>
      </c>
      <c r="K1280" s="8">
        <f>(F1280/G1280)*100</f>
        <v>4.5847793915423605</v>
      </c>
      <c r="L1280" s="8">
        <f>(H1280/G1280)*100</f>
        <v>0.95682124756079989</v>
      </c>
    </row>
    <row r="1281" spans="1:12" x14ac:dyDescent="0.3">
      <c r="A1281" s="1" t="s">
        <v>1289</v>
      </c>
      <c r="B1281" s="1" t="s">
        <v>22</v>
      </c>
      <c r="C1281" s="1" t="s">
        <v>15</v>
      </c>
      <c r="D1281" s="1" t="s">
        <v>12</v>
      </c>
      <c r="E1281" s="35">
        <v>45842</v>
      </c>
      <c r="F1281" s="1">
        <v>92781</v>
      </c>
      <c r="G1281" s="1">
        <v>312162</v>
      </c>
      <c r="H1281" s="3">
        <v>2345</v>
      </c>
      <c r="I1281" s="1">
        <v>6</v>
      </c>
      <c r="J1281" s="2">
        <v>45848</v>
      </c>
      <c r="K1281" s="8">
        <f>(F1281/G1281)*100</f>
        <v>29.722067388086952</v>
      </c>
      <c r="L1281" s="8">
        <f>(H1281/G1281)*100</f>
        <v>0.75121251145238688</v>
      </c>
    </row>
    <row r="1282" spans="1:12" x14ac:dyDescent="0.3">
      <c r="A1282" s="1" t="s">
        <v>1290</v>
      </c>
      <c r="B1282" s="1" t="s">
        <v>14</v>
      </c>
      <c r="C1282" s="1" t="s">
        <v>15</v>
      </c>
      <c r="D1282" s="1" t="s">
        <v>28</v>
      </c>
      <c r="E1282" s="35">
        <v>45843</v>
      </c>
      <c r="F1282" s="1">
        <v>18616</v>
      </c>
      <c r="G1282" s="1">
        <v>990286</v>
      </c>
      <c r="H1282" s="3">
        <v>2757</v>
      </c>
      <c r="I1282" s="1">
        <v>10</v>
      </c>
      <c r="J1282" s="2">
        <v>45853</v>
      </c>
      <c r="K1282" s="8">
        <f>(F1282/G1282)*100</f>
        <v>1.8798609694573083</v>
      </c>
      <c r="L1282" s="8">
        <f>(H1282/G1282)*100</f>
        <v>0.27840442054113662</v>
      </c>
    </row>
    <row r="1283" spans="1:12" x14ac:dyDescent="0.3">
      <c r="A1283" s="1" t="s">
        <v>1291</v>
      </c>
      <c r="B1283" s="1" t="s">
        <v>14</v>
      </c>
      <c r="C1283" s="1" t="s">
        <v>15</v>
      </c>
      <c r="D1283" s="1" t="s">
        <v>16</v>
      </c>
      <c r="E1283" s="35">
        <v>45844</v>
      </c>
      <c r="F1283" s="1">
        <v>44654</v>
      </c>
      <c r="G1283" s="1">
        <v>299949</v>
      </c>
      <c r="H1283" s="3">
        <v>3094</v>
      </c>
      <c r="I1283" s="1">
        <v>25</v>
      </c>
      <c r="J1283" s="2">
        <v>45869</v>
      </c>
      <c r="K1283" s="8">
        <f>(F1283/G1283)*100</f>
        <v>14.887197490240005</v>
      </c>
      <c r="L1283" s="8">
        <f>(H1283/G1283)*100</f>
        <v>1.0315086898106012</v>
      </c>
    </row>
    <row r="1284" spans="1:12" x14ac:dyDescent="0.3">
      <c r="A1284" s="1" t="s">
        <v>1292</v>
      </c>
      <c r="B1284" s="1" t="s">
        <v>14</v>
      </c>
      <c r="C1284" s="1" t="s">
        <v>30</v>
      </c>
      <c r="D1284" s="1" t="s">
        <v>16</v>
      </c>
      <c r="E1284" s="35">
        <v>45845</v>
      </c>
      <c r="F1284" s="1">
        <v>7140</v>
      </c>
      <c r="G1284" s="1">
        <v>378412</v>
      </c>
      <c r="H1284" s="3">
        <v>1589</v>
      </c>
      <c r="I1284" s="1">
        <v>22</v>
      </c>
      <c r="J1284" s="2">
        <v>45867</v>
      </c>
      <c r="K1284" s="8">
        <f>(F1284/G1284)*100</f>
        <v>1.8868323414690864</v>
      </c>
      <c r="L1284" s="8">
        <f>(H1284/G1284)*100</f>
        <v>0.41991268775831636</v>
      </c>
    </row>
    <row r="1285" spans="1:12" x14ac:dyDescent="0.3">
      <c r="A1285" s="1" t="s">
        <v>1293</v>
      </c>
      <c r="B1285" s="1" t="s">
        <v>24</v>
      </c>
      <c r="C1285" s="1" t="s">
        <v>25</v>
      </c>
      <c r="D1285" s="1" t="s">
        <v>28</v>
      </c>
      <c r="E1285" s="35">
        <v>45846</v>
      </c>
      <c r="F1285" s="1">
        <v>45578</v>
      </c>
      <c r="G1285" s="1">
        <v>35969</v>
      </c>
      <c r="H1285" s="3">
        <v>3377</v>
      </c>
      <c r="I1285" s="1">
        <v>2</v>
      </c>
      <c r="J1285" s="2">
        <v>45848</v>
      </c>
      <c r="K1285" s="8">
        <f>(F1285/G1285)*100</f>
        <v>126.71467096666574</v>
      </c>
      <c r="L1285" s="8">
        <f>(H1285/G1285)*100</f>
        <v>9.3886402179654702</v>
      </c>
    </row>
    <row r="1286" spans="1:12" x14ac:dyDescent="0.3">
      <c r="A1286" s="1" t="s">
        <v>1294</v>
      </c>
      <c r="B1286" s="1" t="s">
        <v>24</v>
      </c>
      <c r="C1286" s="1" t="s">
        <v>37</v>
      </c>
      <c r="D1286" s="1" t="s">
        <v>16</v>
      </c>
      <c r="E1286" s="35">
        <v>45847</v>
      </c>
      <c r="F1286" s="1">
        <v>44020</v>
      </c>
      <c r="G1286" s="1">
        <v>9892</v>
      </c>
      <c r="H1286" s="3">
        <v>3672</v>
      </c>
      <c r="I1286" s="1">
        <v>7</v>
      </c>
      <c r="J1286" s="2">
        <v>45854</v>
      </c>
      <c r="K1286" s="8">
        <f>(F1286/G1286)*100</f>
        <v>445.00606550748086</v>
      </c>
      <c r="L1286" s="8">
        <f>(H1286/G1286)*100</f>
        <v>37.120905782450464</v>
      </c>
    </row>
    <row r="1287" spans="1:12" x14ac:dyDescent="0.3">
      <c r="A1287" s="1" t="s">
        <v>1295</v>
      </c>
      <c r="B1287" s="1" t="s">
        <v>22</v>
      </c>
      <c r="C1287" s="1" t="s">
        <v>11</v>
      </c>
      <c r="D1287" s="1" t="s">
        <v>32</v>
      </c>
      <c r="E1287" s="35">
        <v>45848</v>
      </c>
      <c r="F1287" s="1">
        <v>92226</v>
      </c>
      <c r="G1287" s="1">
        <v>481835</v>
      </c>
      <c r="H1287" s="3">
        <v>4567</v>
      </c>
      <c r="I1287" s="1">
        <v>15</v>
      </c>
      <c r="J1287" s="2">
        <v>45863</v>
      </c>
      <c r="K1287" s="8">
        <f>(F1287/G1287)*100</f>
        <v>19.140577168532797</v>
      </c>
      <c r="L1287" s="8">
        <f>(H1287/G1287)*100</f>
        <v>0.94783483972729254</v>
      </c>
    </row>
    <row r="1288" spans="1:12" x14ac:dyDescent="0.3">
      <c r="A1288" s="1" t="s">
        <v>1296</v>
      </c>
      <c r="B1288" s="1" t="s">
        <v>22</v>
      </c>
      <c r="C1288" s="1" t="s">
        <v>15</v>
      </c>
      <c r="D1288" s="1" t="s">
        <v>19</v>
      </c>
      <c r="E1288" s="35">
        <v>45849</v>
      </c>
      <c r="F1288" s="1">
        <v>19755</v>
      </c>
      <c r="G1288" s="1">
        <v>503489</v>
      </c>
      <c r="H1288" s="3">
        <v>3873</v>
      </c>
      <c r="I1288" s="1">
        <v>26</v>
      </c>
      <c r="J1288" s="2">
        <v>45875</v>
      </c>
      <c r="K1288" s="8">
        <f>(F1288/G1288)*100</f>
        <v>3.9236209728514422</v>
      </c>
      <c r="L1288" s="8">
        <f>(H1288/G1288)*100</f>
        <v>0.76923229703131546</v>
      </c>
    </row>
    <row r="1289" spans="1:12" x14ac:dyDescent="0.3">
      <c r="A1289" s="1" t="s">
        <v>1297</v>
      </c>
      <c r="B1289" s="1" t="s">
        <v>14</v>
      </c>
      <c r="C1289" s="1" t="s">
        <v>15</v>
      </c>
      <c r="D1289" s="1" t="s">
        <v>12</v>
      </c>
      <c r="E1289" s="35">
        <v>45850</v>
      </c>
      <c r="F1289" s="1">
        <v>89177</v>
      </c>
      <c r="G1289" s="1">
        <v>759745</v>
      </c>
      <c r="H1289" s="3">
        <v>2179</v>
      </c>
      <c r="I1289" s="1">
        <v>8</v>
      </c>
      <c r="J1289" s="2">
        <v>45858</v>
      </c>
      <c r="K1289" s="8">
        <f>(F1289/G1289)*100</f>
        <v>11.737754114867489</v>
      </c>
      <c r="L1289" s="8">
        <f>(H1289/G1289)*100</f>
        <v>0.28680675753048723</v>
      </c>
    </row>
    <row r="1290" spans="1:12" x14ac:dyDescent="0.3">
      <c r="A1290" s="1" t="s">
        <v>1298</v>
      </c>
      <c r="B1290" s="1" t="s">
        <v>14</v>
      </c>
      <c r="C1290" s="1" t="s">
        <v>30</v>
      </c>
      <c r="D1290" s="1" t="s">
        <v>28</v>
      </c>
      <c r="E1290" s="35">
        <v>45851</v>
      </c>
      <c r="F1290" s="1">
        <v>34901</v>
      </c>
      <c r="G1290" s="1">
        <v>702741</v>
      </c>
      <c r="H1290" s="3">
        <v>251</v>
      </c>
      <c r="I1290" s="1">
        <v>24</v>
      </c>
      <c r="J1290" s="2">
        <v>45875</v>
      </c>
      <c r="K1290" s="8">
        <f>(F1290/G1290)*100</f>
        <v>4.966410099880326</v>
      </c>
      <c r="L1290" s="8">
        <f>(H1290/G1290)*100</f>
        <v>3.5717284177243111E-2</v>
      </c>
    </row>
    <row r="1291" spans="1:12" x14ac:dyDescent="0.3">
      <c r="A1291" s="1" t="s">
        <v>1299</v>
      </c>
      <c r="B1291" s="1" t="s">
        <v>14</v>
      </c>
      <c r="C1291" s="1" t="s">
        <v>37</v>
      </c>
      <c r="D1291" s="1" t="s">
        <v>12</v>
      </c>
      <c r="E1291" s="35">
        <v>45852</v>
      </c>
      <c r="F1291" s="1">
        <v>48344</v>
      </c>
      <c r="G1291" s="1">
        <v>336125</v>
      </c>
      <c r="H1291" s="3">
        <v>2376</v>
      </c>
      <c r="I1291" s="1">
        <v>6</v>
      </c>
      <c r="J1291" s="2">
        <v>45858</v>
      </c>
      <c r="K1291" s="8">
        <f>(F1291/G1291)*100</f>
        <v>14.382744514689474</v>
      </c>
      <c r="L1291" s="8">
        <f>(H1291/G1291)*100</f>
        <v>0.706879880996653</v>
      </c>
    </row>
    <row r="1292" spans="1:12" x14ac:dyDescent="0.3">
      <c r="A1292" s="1" t="s">
        <v>1300</v>
      </c>
      <c r="B1292" s="1" t="s">
        <v>14</v>
      </c>
      <c r="C1292" s="1" t="s">
        <v>25</v>
      </c>
      <c r="D1292" s="1" t="s">
        <v>12</v>
      </c>
      <c r="E1292" s="35">
        <v>45853</v>
      </c>
      <c r="F1292" s="1">
        <v>13871</v>
      </c>
      <c r="G1292" s="1">
        <v>406888</v>
      </c>
      <c r="H1292" s="3">
        <v>2370</v>
      </c>
      <c r="I1292" s="1">
        <v>5</v>
      </c>
      <c r="J1292" s="2">
        <v>45858</v>
      </c>
      <c r="K1292" s="8">
        <f>(F1292/G1292)*100</f>
        <v>3.4090462240223358</v>
      </c>
      <c r="L1292" s="8">
        <f>(H1292/G1292)*100</f>
        <v>0.58246986885826069</v>
      </c>
    </row>
    <row r="1293" spans="1:12" x14ac:dyDescent="0.3">
      <c r="A1293" s="1" t="s">
        <v>1301</v>
      </c>
      <c r="B1293" s="1" t="s">
        <v>14</v>
      </c>
      <c r="C1293" s="1" t="s">
        <v>30</v>
      </c>
      <c r="D1293" s="1" t="s">
        <v>19</v>
      </c>
      <c r="E1293" s="35">
        <v>45854</v>
      </c>
      <c r="F1293" s="1">
        <v>21003</v>
      </c>
      <c r="G1293" s="1">
        <v>842582</v>
      </c>
      <c r="H1293" s="3">
        <v>4886</v>
      </c>
      <c r="I1293" s="1">
        <v>1</v>
      </c>
      <c r="J1293" s="2">
        <v>45855</v>
      </c>
      <c r="K1293" s="8">
        <f>(F1293/G1293)*100</f>
        <v>2.4926950730017969</v>
      </c>
      <c r="L1293" s="8">
        <f>(H1293/G1293)*100</f>
        <v>0.57988421304988713</v>
      </c>
    </row>
    <row r="1294" spans="1:12" x14ac:dyDescent="0.3">
      <c r="A1294" s="1" t="s">
        <v>1302</v>
      </c>
      <c r="B1294" s="1" t="s">
        <v>22</v>
      </c>
      <c r="C1294" s="1" t="s">
        <v>15</v>
      </c>
      <c r="D1294" s="1" t="s">
        <v>32</v>
      </c>
      <c r="E1294" s="35">
        <v>45855</v>
      </c>
      <c r="F1294" s="1">
        <v>98003</v>
      </c>
      <c r="G1294" s="1">
        <v>373994</v>
      </c>
      <c r="H1294" s="3">
        <v>3505</v>
      </c>
      <c r="I1294" s="1">
        <v>27</v>
      </c>
      <c r="J1294" s="2">
        <v>45882</v>
      </c>
      <c r="K1294" s="8">
        <f>(F1294/G1294)*100</f>
        <v>26.204431087129741</v>
      </c>
      <c r="L1294" s="8">
        <f>(H1294/G1294)*100</f>
        <v>0.93718081038733236</v>
      </c>
    </row>
    <row r="1295" spans="1:12" x14ac:dyDescent="0.3">
      <c r="A1295" s="1" t="s">
        <v>1303</v>
      </c>
      <c r="B1295" s="1" t="s">
        <v>22</v>
      </c>
      <c r="C1295" s="1" t="s">
        <v>37</v>
      </c>
      <c r="D1295" s="1" t="s">
        <v>32</v>
      </c>
      <c r="E1295" s="35">
        <v>45856</v>
      </c>
      <c r="F1295" s="1">
        <v>6183</v>
      </c>
      <c r="G1295" s="1">
        <v>924567</v>
      </c>
      <c r="H1295" s="3">
        <v>2028</v>
      </c>
      <c r="I1295" s="1">
        <v>24</v>
      </c>
      <c r="J1295" s="2">
        <v>45880</v>
      </c>
      <c r="K1295" s="8">
        <f>(F1295/G1295)*100</f>
        <v>0.66874547761276359</v>
      </c>
      <c r="L1295" s="8">
        <f>(H1295/G1295)*100</f>
        <v>0.21934592084727231</v>
      </c>
    </row>
    <row r="1296" spans="1:12" x14ac:dyDescent="0.3">
      <c r="A1296" s="1" t="s">
        <v>1304</v>
      </c>
      <c r="B1296" s="1" t="s">
        <v>22</v>
      </c>
      <c r="C1296" s="1" t="s">
        <v>25</v>
      </c>
      <c r="D1296" s="1" t="s">
        <v>28</v>
      </c>
      <c r="E1296" s="35">
        <v>45857</v>
      </c>
      <c r="F1296" s="1">
        <v>17800</v>
      </c>
      <c r="G1296" s="1">
        <v>257802</v>
      </c>
      <c r="H1296" s="3">
        <v>2508</v>
      </c>
      <c r="I1296" s="1">
        <v>1</v>
      </c>
      <c r="J1296" s="2">
        <v>45858</v>
      </c>
      <c r="K1296" s="8">
        <f>(F1296/G1296)*100</f>
        <v>6.9045236266592189</v>
      </c>
      <c r="L1296" s="8">
        <f>(H1296/G1296)*100</f>
        <v>0.97283962110456867</v>
      </c>
    </row>
    <row r="1297" spans="1:12" x14ac:dyDescent="0.3">
      <c r="A1297" s="1" t="s">
        <v>1305</v>
      </c>
      <c r="B1297" s="1" t="s">
        <v>22</v>
      </c>
      <c r="C1297" s="1" t="s">
        <v>15</v>
      </c>
      <c r="D1297" s="1" t="s">
        <v>19</v>
      </c>
      <c r="E1297" s="35">
        <v>45858</v>
      </c>
      <c r="F1297" s="1">
        <v>45194</v>
      </c>
      <c r="G1297" s="1">
        <v>230583</v>
      </c>
      <c r="H1297" s="3">
        <v>175</v>
      </c>
      <c r="I1297" s="1">
        <v>13</v>
      </c>
      <c r="J1297" s="2">
        <v>45871</v>
      </c>
      <c r="K1297" s="8">
        <f>(F1297/G1297)*100</f>
        <v>19.599883772871372</v>
      </c>
      <c r="L1297" s="8">
        <f>(H1297/G1297)*100</f>
        <v>7.5894580259602828E-2</v>
      </c>
    </row>
    <row r="1298" spans="1:12" x14ac:dyDescent="0.3">
      <c r="A1298" s="1" t="s">
        <v>1306</v>
      </c>
      <c r="B1298" s="1" t="s">
        <v>22</v>
      </c>
      <c r="C1298" s="1" t="s">
        <v>18</v>
      </c>
      <c r="D1298" s="1" t="s">
        <v>32</v>
      </c>
      <c r="E1298" s="35">
        <v>45859</v>
      </c>
      <c r="F1298" s="1">
        <v>63877</v>
      </c>
      <c r="G1298" s="1">
        <v>577052</v>
      </c>
      <c r="H1298" s="3">
        <v>1837</v>
      </c>
      <c r="I1298" s="1">
        <v>5</v>
      </c>
      <c r="J1298" s="2">
        <v>45864</v>
      </c>
      <c r="K1298" s="8">
        <f>(F1298/G1298)*100</f>
        <v>11.069539660203933</v>
      </c>
      <c r="L1298" s="8">
        <f>(H1298/G1298)*100</f>
        <v>0.31834219446427703</v>
      </c>
    </row>
    <row r="1299" spans="1:12" x14ac:dyDescent="0.3">
      <c r="A1299" s="1" t="s">
        <v>1307</v>
      </c>
      <c r="B1299" s="1" t="s">
        <v>10</v>
      </c>
      <c r="C1299" s="1" t="s">
        <v>11</v>
      </c>
      <c r="D1299" s="1" t="s">
        <v>16</v>
      </c>
      <c r="E1299" s="35">
        <v>45860</v>
      </c>
      <c r="F1299" s="1">
        <v>70657</v>
      </c>
      <c r="G1299" s="1">
        <v>531451</v>
      </c>
      <c r="H1299" s="3">
        <v>298</v>
      </c>
      <c r="I1299" s="1">
        <v>9</v>
      </c>
      <c r="J1299" s="2">
        <v>45869</v>
      </c>
      <c r="K1299" s="8">
        <f>(F1299/G1299)*100</f>
        <v>13.295110932146143</v>
      </c>
      <c r="L1299" s="8">
        <f>(H1299/G1299)*100</f>
        <v>5.6072902299553487E-2</v>
      </c>
    </row>
    <row r="1300" spans="1:12" x14ac:dyDescent="0.3">
      <c r="A1300" s="1" t="s">
        <v>1308</v>
      </c>
      <c r="B1300" s="1" t="s">
        <v>22</v>
      </c>
      <c r="C1300" s="1" t="s">
        <v>25</v>
      </c>
      <c r="D1300" s="1" t="s">
        <v>16</v>
      </c>
      <c r="E1300" s="35">
        <v>45861</v>
      </c>
      <c r="F1300" s="1">
        <v>83923</v>
      </c>
      <c r="G1300" s="1">
        <v>683919</v>
      </c>
      <c r="H1300" s="3">
        <v>3921</v>
      </c>
      <c r="I1300" s="1">
        <v>29</v>
      </c>
      <c r="J1300" s="2">
        <v>45890</v>
      </c>
      <c r="K1300" s="8">
        <f>(F1300/G1300)*100</f>
        <v>12.270897577052253</v>
      </c>
      <c r="L1300" s="8">
        <f>(H1300/G1300)*100</f>
        <v>0.57331350642400636</v>
      </c>
    </row>
    <row r="1301" spans="1:12" x14ac:dyDescent="0.3">
      <c r="A1301" s="1" t="s">
        <v>1309</v>
      </c>
      <c r="B1301" s="1" t="s">
        <v>22</v>
      </c>
      <c r="C1301" s="1" t="s">
        <v>30</v>
      </c>
      <c r="D1301" s="1" t="s">
        <v>19</v>
      </c>
      <c r="E1301" s="35">
        <v>45862</v>
      </c>
      <c r="F1301" s="1">
        <v>41686</v>
      </c>
      <c r="G1301" s="1">
        <v>434547</v>
      </c>
      <c r="H1301" s="3">
        <v>2629</v>
      </c>
      <c r="I1301" s="1">
        <v>14</v>
      </c>
      <c r="J1301" s="2">
        <v>45876</v>
      </c>
      <c r="K1301" s="8">
        <f>(F1301/G1301)*100</f>
        <v>9.5929784350139347</v>
      </c>
      <c r="L1301" s="8">
        <f>(H1301/G1301)*100</f>
        <v>0.60499784833401227</v>
      </c>
    </row>
    <row r="1302" spans="1:12" x14ac:dyDescent="0.3">
      <c r="A1302" s="1" t="s">
        <v>1310</v>
      </c>
      <c r="B1302" s="1" t="s">
        <v>14</v>
      </c>
      <c r="C1302" s="1" t="s">
        <v>11</v>
      </c>
      <c r="D1302" s="1" t="s">
        <v>32</v>
      </c>
      <c r="E1302" s="35">
        <v>45863</v>
      </c>
      <c r="F1302" s="1">
        <v>37741</v>
      </c>
      <c r="G1302" s="1">
        <v>794293</v>
      </c>
      <c r="H1302" s="3">
        <v>796</v>
      </c>
      <c r="I1302" s="1">
        <v>29</v>
      </c>
      <c r="J1302" s="2">
        <v>45892</v>
      </c>
      <c r="K1302" s="8">
        <f>(F1302/G1302)*100</f>
        <v>4.7515211641044299</v>
      </c>
      <c r="L1302" s="8">
        <f>(H1302/G1302)*100</f>
        <v>0.10021490810066311</v>
      </c>
    </row>
    <row r="1303" spans="1:12" x14ac:dyDescent="0.3">
      <c r="A1303" s="1" t="s">
        <v>1311</v>
      </c>
      <c r="B1303" s="1" t="s">
        <v>10</v>
      </c>
      <c r="C1303" s="1" t="s">
        <v>27</v>
      </c>
      <c r="D1303" s="1" t="s">
        <v>16</v>
      </c>
      <c r="E1303" s="35">
        <v>45864</v>
      </c>
      <c r="F1303" s="1">
        <v>74479</v>
      </c>
      <c r="G1303" s="1">
        <v>254069</v>
      </c>
      <c r="H1303" s="3">
        <v>4907</v>
      </c>
      <c r="I1303" s="1">
        <v>16</v>
      </c>
      <c r="J1303" s="2">
        <v>45880</v>
      </c>
      <c r="K1303" s="8">
        <f>(F1303/G1303)*100</f>
        <v>29.314477563181658</v>
      </c>
      <c r="L1303" s="8">
        <f>(H1303/G1303)*100</f>
        <v>1.9313651016062565</v>
      </c>
    </row>
    <row r="1304" spans="1:12" x14ac:dyDescent="0.3">
      <c r="A1304" s="1" t="s">
        <v>1312</v>
      </c>
      <c r="B1304" s="1" t="s">
        <v>22</v>
      </c>
      <c r="C1304" s="1" t="s">
        <v>37</v>
      </c>
      <c r="D1304" s="1" t="s">
        <v>16</v>
      </c>
      <c r="E1304" s="35">
        <v>45865</v>
      </c>
      <c r="F1304" s="1">
        <v>33350</v>
      </c>
      <c r="G1304" s="1">
        <v>462120</v>
      </c>
      <c r="H1304" s="3">
        <v>3223</v>
      </c>
      <c r="I1304" s="1">
        <v>27</v>
      </c>
      <c r="J1304" s="2">
        <v>45892</v>
      </c>
      <c r="K1304" s="8">
        <f>(F1304/G1304)*100</f>
        <v>7.2167402406301386</v>
      </c>
      <c r="L1304" s="8">
        <f>(H1304/G1304)*100</f>
        <v>0.69743789491906871</v>
      </c>
    </row>
    <row r="1305" spans="1:12" x14ac:dyDescent="0.3">
      <c r="A1305" s="1" t="s">
        <v>1313</v>
      </c>
      <c r="B1305" s="1" t="s">
        <v>10</v>
      </c>
      <c r="C1305" s="1" t="s">
        <v>25</v>
      </c>
      <c r="D1305" s="1" t="s">
        <v>28</v>
      </c>
      <c r="E1305" s="35">
        <v>45866</v>
      </c>
      <c r="F1305" s="1">
        <v>6153</v>
      </c>
      <c r="G1305" s="1">
        <v>379160</v>
      </c>
      <c r="H1305" s="3">
        <v>3638</v>
      </c>
      <c r="I1305" s="1">
        <v>14</v>
      </c>
      <c r="J1305" s="2">
        <v>45880</v>
      </c>
      <c r="K1305" s="8">
        <f>(F1305/G1305)*100</f>
        <v>1.62279776347716</v>
      </c>
      <c r="L1305" s="8">
        <f>(H1305/G1305)*100</f>
        <v>0.95948939761578234</v>
      </c>
    </row>
    <row r="1306" spans="1:12" x14ac:dyDescent="0.3">
      <c r="A1306" s="1" t="s">
        <v>1314</v>
      </c>
      <c r="B1306" s="1" t="s">
        <v>24</v>
      </c>
      <c r="C1306" s="1" t="s">
        <v>25</v>
      </c>
      <c r="D1306" s="1" t="s">
        <v>32</v>
      </c>
      <c r="E1306" s="35">
        <v>45867</v>
      </c>
      <c r="F1306" s="1">
        <v>63704</v>
      </c>
      <c r="G1306" s="1">
        <v>382867</v>
      </c>
      <c r="H1306" s="3">
        <v>4188</v>
      </c>
      <c r="I1306" s="1">
        <v>19</v>
      </c>
      <c r="J1306" s="2">
        <v>45886</v>
      </c>
      <c r="K1306" s="8">
        <f>(F1306/G1306)*100</f>
        <v>16.63867609378714</v>
      </c>
      <c r="L1306" s="8">
        <f>(H1306/G1306)*100</f>
        <v>1.0938524343962788</v>
      </c>
    </row>
    <row r="1307" spans="1:12" x14ac:dyDescent="0.3">
      <c r="A1307" s="1" t="s">
        <v>1315</v>
      </c>
      <c r="B1307" s="1" t="s">
        <v>14</v>
      </c>
      <c r="C1307" s="1" t="s">
        <v>25</v>
      </c>
      <c r="D1307" s="1" t="s">
        <v>12</v>
      </c>
      <c r="E1307" s="35">
        <v>45868</v>
      </c>
      <c r="F1307" s="1">
        <v>21050</v>
      </c>
      <c r="G1307" s="1">
        <v>864867</v>
      </c>
      <c r="H1307" s="3">
        <v>2868</v>
      </c>
      <c r="I1307" s="1">
        <v>19</v>
      </c>
      <c r="J1307" s="2">
        <v>45887</v>
      </c>
      <c r="K1307" s="8">
        <f>(F1307/G1307)*100</f>
        <v>2.4339002413087791</v>
      </c>
      <c r="L1307" s="8">
        <f>(H1307/G1307)*100</f>
        <v>0.3316116813336617</v>
      </c>
    </row>
    <row r="1308" spans="1:12" x14ac:dyDescent="0.3">
      <c r="A1308" s="1" t="s">
        <v>1316</v>
      </c>
      <c r="B1308" s="1" t="s">
        <v>14</v>
      </c>
      <c r="C1308" s="1" t="s">
        <v>30</v>
      </c>
      <c r="D1308" s="1" t="s">
        <v>28</v>
      </c>
      <c r="E1308" s="35">
        <v>45869</v>
      </c>
      <c r="F1308" s="1">
        <v>66601</v>
      </c>
      <c r="G1308" s="1">
        <v>733826</v>
      </c>
      <c r="H1308" s="3">
        <v>4117</v>
      </c>
      <c r="I1308" s="1">
        <v>5</v>
      </c>
      <c r="J1308" s="2">
        <v>45874</v>
      </c>
      <c r="K1308" s="8">
        <f>(F1308/G1308)*100</f>
        <v>9.0758572195588592</v>
      </c>
      <c r="L1308" s="8">
        <f>(H1308/G1308)*100</f>
        <v>0.56103217929045845</v>
      </c>
    </row>
    <row r="1309" spans="1:12" x14ac:dyDescent="0.3">
      <c r="A1309" s="1" t="s">
        <v>1317</v>
      </c>
      <c r="B1309" s="1" t="s">
        <v>22</v>
      </c>
      <c r="C1309" s="1" t="s">
        <v>18</v>
      </c>
      <c r="D1309" s="1" t="s">
        <v>19</v>
      </c>
      <c r="E1309" s="35">
        <v>45870</v>
      </c>
      <c r="F1309" s="1">
        <v>21951</v>
      </c>
      <c r="G1309" s="1">
        <v>752959</v>
      </c>
      <c r="H1309" s="3">
        <v>488</v>
      </c>
      <c r="I1309" s="1">
        <v>28</v>
      </c>
      <c r="J1309" s="2">
        <v>45898</v>
      </c>
      <c r="K1309" s="8">
        <f>(F1309/G1309)*100</f>
        <v>2.915298176925968</v>
      </c>
      <c r="L1309" s="8">
        <f>(H1309/G1309)*100</f>
        <v>6.4810965802918882E-2</v>
      </c>
    </row>
    <row r="1310" spans="1:12" x14ac:dyDescent="0.3">
      <c r="A1310" s="1" t="s">
        <v>1318</v>
      </c>
      <c r="B1310" s="1" t="s">
        <v>24</v>
      </c>
      <c r="C1310" s="1" t="s">
        <v>25</v>
      </c>
      <c r="D1310" s="1" t="s">
        <v>16</v>
      </c>
      <c r="E1310" s="35">
        <v>45871</v>
      </c>
      <c r="F1310" s="1">
        <v>66127</v>
      </c>
      <c r="G1310" s="1">
        <v>62216</v>
      </c>
      <c r="H1310" s="3">
        <v>2159</v>
      </c>
      <c r="I1310" s="1">
        <v>15</v>
      </c>
      <c r="J1310" s="2">
        <v>45886</v>
      </c>
      <c r="K1310" s="8">
        <f>(F1310/G1310)*100</f>
        <v>106.28616433071878</v>
      </c>
      <c r="L1310" s="8">
        <f>(H1310/G1310)*100</f>
        <v>3.47016844541597</v>
      </c>
    </row>
    <row r="1311" spans="1:12" x14ac:dyDescent="0.3">
      <c r="A1311" s="1" t="s">
        <v>1319</v>
      </c>
      <c r="B1311" s="1" t="s">
        <v>22</v>
      </c>
      <c r="C1311" s="1" t="s">
        <v>11</v>
      </c>
      <c r="D1311" s="1" t="s">
        <v>19</v>
      </c>
      <c r="E1311" s="35">
        <v>45872</v>
      </c>
      <c r="F1311" s="1">
        <v>8618</v>
      </c>
      <c r="G1311" s="1">
        <v>781710</v>
      </c>
      <c r="H1311" s="3">
        <v>3499</v>
      </c>
      <c r="I1311" s="1">
        <v>28</v>
      </c>
      <c r="J1311" s="2">
        <v>45900</v>
      </c>
      <c r="K1311" s="8">
        <f>(F1311/G1311)*100</f>
        <v>1.1024548745698532</v>
      </c>
      <c r="L1311" s="8">
        <f>(H1311/G1311)*100</f>
        <v>0.44760844814573175</v>
      </c>
    </row>
    <row r="1312" spans="1:12" x14ac:dyDescent="0.3">
      <c r="A1312" s="1" t="s">
        <v>1320</v>
      </c>
      <c r="B1312" s="1" t="s">
        <v>24</v>
      </c>
      <c r="C1312" s="1" t="s">
        <v>18</v>
      </c>
      <c r="D1312" s="1" t="s">
        <v>28</v>
      </c>
      <c r="E1312" s="35">
        <v>45873</v>
      </c>
      <c r="F1312" s="1">
        <v>55148</v>
      </c>
      <c r="G1312" s="1">
        <v>595353</v>
      </c>
      <c r="H1312" s="3">
        <v>2939</v>
      </c>
      <c r="I1312" s="1">
        <v>3</v>
      </c>
      <c r="J1312" s="2">
        <v>45876</v>
      </c>
      <c r="K1312" s="8">
        <f>(F1312/G1312)*100</f>
        <v>9.2630758558367887</v>
      </c>
      <c r="L1312" s="8">
        <f>(H1312/G1312)*100</f>
        <v>0.4936567045097614</v>
      </c>
    </row>
    <row r="1313" spans="1:12" x14ac:dyDescent="0.3">
      <c r="A1313" s="1" t="s">
        <v>1321</v>
      </c>
      <c r="B1313" s="1" t="s">
        <v>14</v>
      </c>
      <c r="C1313" s="1" t="s">
        <v>18</v>
      </c>
      <c r="D1313" s="1" t="s">
        <v>32</v>
      </c>
      <c r="E1313" s="35">
        <v>45874</v>
      </c>
      <c r="F1313" s="1">
        <v>23124</v>
      </c>
      <c r="G1313" s="1">
        <v>911641</v>
      </c>
      <c r="H1313" s="3">
        <v>2990</v>
      </c>
      <c r="I1313" s="1">
        <v>11</v>
      </c>
      <c r="J1313" s="2">
        <v>45885</v>
      </c>
      <c r="K1313" s="8">
        <f>(F1313/G1313)*100</f>
        <v>2.5365247942995106</v>
      </c>
      <c r="L1313" s="8">
        <f>(H1313/G1313)*100</f>
        <v>0.32797998334870854</v>
      </c>
    </row>
    <row r="1314" spans="1:12" x14ac:dyDescent="0.3">
      <c r="A1314" s="1" t="s">
        <v>1322</v>
      </c>
      <c r="B1314" s="1" t="s">
        <v>22</v>
      </c>
      <c r="C1314" s="1" t="s">
        <v>30</v>
      </c>
      <c r="D1314" s="1" t="s">
        <v>32</v>
      </c>
      <c r="E1314" s="35">
        <v>45875</v>
      </c>
      <c r="F1314" s="1">
        <v>37546</v>
      </c>
      <c r="G1314" s="1">
        <v>666884</v>
      </c>
      <c r="H1314" s="3">
        <v>1512</v>
      </c>
      <c r="I1314" s="1">
        <v>6</v>
      </c>
      <c r="J1314" s="2">
        <v>45881</v>
      </c>
      <c r="K1314" s="8">
        <f>(F1314/G1314)*100</f>
        <v>5.6300645989407458</v>
      </c>
      <c r="L1314" s="8">
        <f>(H1314/G1314)*100</f>
        <v>0.22672608729554164</v>
      </c>
    </row>
    <row r="1315" spans="1:12" x14ac:dyDescent="0.3">
      <c r="A1315" s="1" t="s">
        <v>1323</v>
      </c>
      <c r="B1315" s="1" t="s">
        <v>22</v>
      </c>
      <c r="C1315" s="1" t="s">
        <v>27</v>
      </c>
      <c r="D1315" s="1" t="s">
        <v>16</v>
      </c>
      <c r="E1315" s="35">
        <v>45876</v>
      </c>
      <c r="F1315" s="1">
        <v>67889</v>
      </c>
      <c r="G1315" s="1">
        <v>325626</v>
      </c>
      <c r="H1315" s="3">
        <v>1571</v>
      </c>
      <c r="I1315" s="1">
        <v>2</v>
      </c>
      <c r="J1315" s="2">
        <v>45878</v>
      </c>
      <c r="K1315" s="8">
        <f>(F1315/G1315)*100</f>
        <v>20.848765147746189</v>
      </c>
      <c r="L1315" s="8">
        <f>(H1315/G1315)*100</f>
        <v>0.48245533219091841</v>
      </c>
    </row>
    <row r="1316" spans="1:12" x14ac:dyDescent="0.3">
      <c r="A1316" s="1" t="s">
        <v>1324</v>
      </c>
      <c r="B1316" s="1" t="s">
        <v>14</v>
      </c>
      <c r="C1316" s="1" t="s">
        <v>27</v>
      </c>
      <c r="D1316" s="1" t="s">
        <v>16</v>
      </c>
      <c r="E1316" s="35">
        <v>45877</v>
      </c>
      <c r="F1316" s="1">
        <v>54079</v>
      </c>
      <c r="G1316" s="1">
        <v>928905</v>
      </c>
      <c r="H1316" s="3">
        <v>4457</v>
      </c>
      <c r="I1316" s="1">
        <v>8</v>
      </c>
      <c r="J1316" s="2">
        <v>45885</v>
      </c>
      <c r="K1316" s="8">
        <f>(F1316/G1316)*100</f>
        <v>5.8218009376631619</v>
      </c>
      <c r="L1316" s="8">
        <f>(H1316/G1316)*100</f>
        <v>0.47981225206022143</v>
      </c>
    </row>
    <row r="1317" spans="1:12" x14ac:dyDescent="0.3">
      <c r="A1317" s="1" t="s">
        <v>1325</v>
      </c>
      <c r="B1317" s="1" t="s">
        <v>14</v>
      </c>
      <c r="C1317" s="1" t="s">
        <v>30</v>
      </c>
      <c r="D1317" s="1" t="s">
        <v>19</v>
      </c>
      <c r="E1317" s="35">
        <v>45878</v>
      </c>
      <c r="F1317" s="1">
        <v>3737</v>
      </c>
      <c r="G1317" s="1">
        <v>625752</v>
      </c>
      <c r="H1317" s="3">
        <v>1383</v>
      </c>
      <c r="I1317" s="1">
        <v>23</v>
      </c>
      <c r="J1317" s="2">
        <v>45901</v>
      </c>
      <c r="K1317" s="8">
        <f>(F1317/G1317)*100</f>
        <v>0.59720144721870649</v>
      </c>
      <c r="L1317" s="8">
        <f>(H1317/G1317)*100</f>
        <v>0.22101407586392055</v>
      </c>
    </row>
    <row r="1318" spans="1:12" x14ac:dyDescent="0.3">
      <c r="A1318" s="1" t="s">
        <v>1326</v>
      </c>
      <c r="B1318" s="1" t="s">
        <v>22</v>
      </c>
      <c r="C1318" s="1" t="s">
        <v>27</v>
      </c>
      <c r="D1318" s="1" t="s">
        <v>32</v>
      </c>
      <c r="E1318" s="35">
        <v>45879</v>
      </c>
      <c r="F1318" s="1">
        <v>27808</v>
      </c>
      <c r="G1318" s="1">
        <v>120981</v>
      </c>
      <c r="H1318" s="3">
        <v>2196</v>
      </c>
      <c r="I1318" s="1">
        <v>16</v>
      </c>
      <c r="J1318" s="2">
        <v>45895</v>
      </c>
      <c r="K1318" s="8">
        <f>(F1318/G1318)*100</f>
        <v>22.985427463816631</v>
      </c>
      <c r="L1318" s="8">
        <f>(H1318/G1318)*100</f>
        <v>1.8151610583480051</v>
      </c>
    </row>
    <row r="1319" spans="1:12" x14ac:dyDescent="0.3">
      <c r="A1319" s="1" t="s">
        <v>1327</v>
      </c>
      <c r="B1319" s="1" t="s">
        <v>10</v>
      </c>
      <c r="C1319" s="1" t="s">
        <v>37</v>
      </c>
      <c r="D1319" s="1" t="s">
        <v>28</v>
      </c>
      <c r="E1319" s="35">
        <v>45880</v>
      </c>
      <c r="F1319" s="1">
        <v>66808</v>
      </c>
      <c r="G1319" s="1">
        <v>299074</v>
      </c>
      <c r="H1319" s="3">
        <v>1220</v>
      </c>
      <c r="I1319" s="1">
        <v>7</v>
      </c>
      <c r="J1319" s="2">
        <v>45887</v>
      </c>
      <c r="K1319" s="8">
        <f>(F1319/G1319)*100</f>
        <v>22.338284170472861</v>
      </c>
      <c r="L1319" s="8">
        <f>(H1319/G1319)*100</f>
        <v>0.40792579762868053</v>
      </c>
    </row>
    <row r="1320" spans="1:12" x14ac:dyDescent="0.3">
      <c r="A1320" s="1" t="s">
        <v>1328</v>
      </c>
      <c r="B1320" s="1" t="s">
        <v>10</v>
      </c>
      <c r="C1320" s="1" t="s">
        <v>11</v>
      </c>
      <c r="D1320" s="1" t="s">
        <v>12</v>
      </c>
      <c r="E1320" s="35">
        <v>45881</v>
      </c>
      <c r="F1320" s="1">
        <v>90432</v>
      </c>
      <c r="G1320" s="1">
        <v>484906</v>
      </c>
      <c r="H1320" s="3">
        <v>3829</v>
      </c>
      <c r="I1320" s="1">
        <v>29</v>
      </c>
      <c r="J1320" s="2">
        <v>45910</v>
      </c>
      <c r="K1320" s="8">
        <f>(F1320/G1320)*100</f>
        <v>18.649387716382144</v>
      </c>
      <c r="L1320" s="8">
        <f>(H1320/G1320)*100</f>
        <v>0.78963757924216238</v>
      </c>
    </row>
    <row r="1321" spans="1:12" x14ac:dyDescent="0.3">
      <c r="A1321" s="1" t="s">
        <v>1329</v>
      </c>
      <c r="B1321" s="1" t="s">
        <v>14</v>
      </c>
      <c r="C1321" s="1" t="s">
        <v>37</v>
      </c>
      <c r="D1321" s="1" t="s">
        <v>32</v>
      </c>
      <c r="E1321" s="35">
        <v>45882</v>
      </c>
      <c r="F1321" s="1">
        <v>91270</v>
      </c>
      <c r="G1321" s="1">
        <v>83657</v>
      </c>
      <c r="H1321" s="3">
        <v>3256</v>
      </c>
      <c r="I1321" s="1">
        <v>8</v>
      </c>
      <c r="J1321" s="2">
        <v>45890</v>
      </c>
      <c r="K1321" s="8">
        <f>(F1321/G1321)*100</f>
        <v>109.10025461109052</v>
      </c>
      <c r="L1321" s="8">
        <f>(H1321/G1321)*100</f>
        <v>3.8920831490490935</v>
      </c>
    </row>
    <row r="1322" spans="1:12" x14ac:dyDescent="0.3">
      <c r="A1322" s="1" t="s">
        <v>1330</v>
      </c>
      <c r="B1322" s="1" t="s">
        <v>14</v>
      </c>
      <c r="C1322" s="1" t="s">
        <v>11</v>
      </c>
      <c r="D1322" s="1" t="s">
        <v>28</v>
      </c>
      <c r="E1322" s="35">
        <v>45883</v>
      </c>
      <c r="F1322" s="1">
        <v>84198</v>
      </c>
      <c r="G1322" s="1">
        <v>165652</v>
      </c>
      <c r="H1322" s="3">
        <v>633</v>
      </c>
      <c r="I1322" s="1">
        <v>16</v>
      </c>
      <c r="J1322" s="2">
        <v>45899</v>
      </c>
      <c r="K1322" s="8">
        <f>(F1322/G1322)*100</f>
        <v>50.828242339362042</v>
      </c>
      <c r="L1322" s="8">
        <f>(H1322/G1322)*100</f>
        <v>0.38212638543452537</v>
      </c>
    </row>
    <row r="1323" spans="1:12" x14ac:dyDescent="0.3">
      <c r="A1323" s="1" t="s">
        <v>1331</v>
      </c>
      <c r="B1323" s="1" t="s">
        <v>22</v>
      </c>
      <c r="C1323" s="1" t="s">
        <v>15</v>
      </c>
      <c r="D1323" s="1" t="s">
        <v>16</v>
      </c>
      <c r="E1323" s="35">
        <v>45884</v>
      </c>
      <c r="F1323" s="1">
        <v>37555</v>
      </c>
      <c r="G1323" s="1">
        <v>221008</v>
      </c>
      <c r="H1323" s="3">
        <v>2919</v>
      </c>
      <c r="I1323" s="1">
        <v>26</v>
      </c>
      <c r="J1323" s="2">
        <v>45910</v>
      </c>
      <c r="K1323" s="8">
        <f>(F1323/G1323)*100</f>
        <v>16.992597553029753</v>
      </c>
      <c r="L1323" s="8">
        <f>(H1323/G1323)*100</f>
        <v>1.3207666690798523</v>
      </c>
    </row>
    <row r="1324" spans="1:12" x14ac:dyDescent="0.3">
      <c r="A1324" s="1" t="s">
        <v>1332</v>
      </c>
      <c r="B1324" s="1" t="s">
        <v>10</v>
      </c>
      <c r="C1324" s="1" t="s">
        <v>11</v>
      </c>
      <c r="D1324" s="1" t="s">
        <v>12</v>
      </c>
      <c r="E1324" s="35">
        <v>45885</v>
      </c>
      <c r="F1324" s="1">
        <v>28956</v>
      </c>
      <c r="G1324" s="1">
        <v>497275</v>
      </c>
      <c r="H1324" s="3">
        <v>1761</v>
      </c>
      <c r="I1324" s="1">
        <v>1</v>
      </c>
      <c r="J1324" s="2">
        <v>45886</v>
      </c>
      <c r="K1324" s="8">
        <f>(F1324/G1324)*100</f>
        <v>5.8229349957267109</v>
      </c>
      <c r="L1324" s="8">
        <f>(H1324/G1324)*100</f>
        <v>0.35413000854657883</v>
      </c>
    </row>
    <row r="1325" spans="1:12" x14ac:dyDescent="0.3">
      <c r="A1325" s="1" t="s">
        <v>1333</v>
      </c>
      <c r="B1325" s="1" t="s">
        <v>22</v>
      </c>
      <c r="C1325" s="1" t="s">
        <v>18</v>
      </c>
      <c r="D1325" s="1" t="s">
        <v>12</v>
      </c>
      <c r="E1325" s="35">
        <v>45886</v>
      </c>
      <c r="F1325" s="1">
        <v>54315</v>
      </c>
      <c r="G1325" s="1">
        <v>377544</v>
      </c>
      <c r="H1325" s="3">
        <v>2147</v>
      </c>
      <c r="I1325" s="1">
        <v>19</v>
      </c>
      <c r="J1325" s="2">
        <v>45905</v>
      </c>
      <c r="K1325" s="8">
        <f>(F1325/G1325)*100</f>
        <v>14.386402644459984</v>
      </c>
      <c r="L1325" s="8">
        <f>(H1325/G1325)*100</f>
        <v>0.56867543915411189</v>
      </c>
    </row>
    <row r="1326" spans="1:12" x14ac:dyDescent="0.3">
      <c r="A1326" s="1" t="s">
        <v>1334</v>
      </c>
      <c r="B1326" s="1" t="s">
        <v>10</v>
      </c>
      <c r="C1326" s="1" t="s">
        <v>11</v>
      </c>
      <c r="D1326" s="1" t="s">
        <v>19</v>
      </c>
      <c r="E1326" s="35">
        <v>45887</v>
      </c>
      <c r="F1326" s="1">
        <v>19830</v>
      </c>
      <c r="G1326" s="1">
        <v>915498</v>
      </c>
      <c r="H1326" s="3">
        <v>2489</v>
      </c>
      <c r="I1326" s="1">
        <f>Table1[[#This Row],[end_date]]-Table1[[#This Row],[start_date]]</f>
        <v>20</v>
      </c>
      <c r="J1326" s="2">
        <v>45907</v>
      </c>
      <c r="K1326" s="8">
        <f>(F1326/G1326)*100</f>
        <v>2.1660342239961201</v>
      </c>
      <c r="L1326" s="8">
        <f>(H1326/G1326)*100</f>
        <v>0.27187388721766736</v>
      </c>
    </row>
    <row r="1327" spans="1:12" x14ac:dyDescent="0.3">
      <c r="A1327" s="1" t="s">
        <v>1335</v>
      </c>
      <c r="B1327" s="1" t="s">
        <v>22</v>
      </c>
      <c r="C1327" s="1" t="s">
        <v>27</v>
      </c>
      <c r="D1327" s="1" t="s">
        <v>19</v>
      </c>
      <c r="E1327" s="35">
        <v>45888</v>
      </c>
      <c r="F1327" s="1">
        <v>97320</v>
      </c>
      <c r="G1327" s="1">
        <v>886719</v>
      </c>
      <c r="H1327" s="3">
        <v>3851</v>
      </c>
      <c r="I1327" s="1">
        <f>Table1[[#This Row],[end_date]]-Table1[[#This Row],[start_date]]</f>
        <v>27</v>
      </c>
      <c r="J1327" s="2">
        <v>45915</v>
      </c>
      <c r="K1327" s="8">
        <f>(F1327/G1327)*100</f>
        <v>10.975292059829551</v>
      </c>
      <c r="L1327" s="8">
        <f>(H1327/G1327)*100</f>
        <v>0.43429767491166871</v>
      </c>
    </row>
    <row r="1328" spans="1:12" x14ac:dyDescent="0.3">
      <c r="A1328" s="1" t="s">
        <v>1336</v>
      </c>
      <c r="B1328" s="1" t="s">
        <v>14</v>
      </c>
      <c r="C1328" s="1" t="s">
        <v>25</v>
      </c>
      <c r="D1328" s="1" t="s">
        <v>16</v>
      </c>
      <c r="E1328" s="35">
        <v>45889</v>
      </c>
      <c r="F1328" s="1">
        <v>17326</v>
      </c>
      <c r="G1328" s="1">
        <v>910324</v>
      </c>
      <c r="H1328" s="3">
        <v>1023</v>
      </c>
      <c r="I1328" s="1">
        <f>Table1[[#This Row],[end_date]]-Table1[[#This Row],[start_date]]</f>
        <v>18</v>
      </c>
      <c r="J1328" s="2">
        <v>45907</v>
      </c>
      <c r="K1328" s="8">
        <f>(F1328/G1328)*100</f>
        <v>1.9032783931874804</v>
      </c>
      <c r="L1328" s="8">
        <f>(H1328/G1328)*100</f>
        <v>0.11237757106261068</v>
      </c>
    </row>
    <row r="1329" spans="1:12" x14ac:dyDescent="0.3">
      <c r="A1329" s="1" t="s">
        <v>1337</v>
      </c>
      <c r="B1329" s="1" t="s">
        <v>22</v>
      </c>
      <c r="C1329" s="1" t="s">
        <v>25</v>
      </c>
      <c r="D1329" s="1" t="s">
        <v>28</v>
      </c>
      <c r="E1329" s="35">
        <v>45890</v>
      </c>
      <c r="F1329" s="1">
        <v>17362</v>
      </c>
      <c r="G1329" s="1">
        <v>727947</v>
      </c>
      <c r="H1329" s="3">
        <v>1143</v>
      </c>
      <c r="I1329" s="1">
        <v>20</v>
      </c>
      <c r="J1329" s="2">
        <v>45910</v>
      </c>
      <c r="K1329" s="8">
        <f>(F1329/G1329)*100</f>
        <v>2.385063747772846</v>
      </c>
      <c r="L1329" s="8">
        <f>(H1329/G1329)*100</f>
        <v>0.15701692568277636</v>
      </c>
    </row>
    <row r="1330" spans="1:12" x14ac:dyDescent="0.3">
      <c r="A1330" s="1" t="s">
        <v>1338</v>
      </c>
      <c r="B1330" s="1" t="s">
        <v>22</v>
      </c>
      <c r="C1330" s="1" t="s">
        <v>11</v>
      </c>
      <c r="D1330" s="1" t="s">
        <v>28</v>
      </c>
      <c r="E1330" s="35">
        <v>45891</v>
      </c>
      <c r="F1330" s="1">
        <v>86977</v>
      </c>
      <c r="G1330" s="1">
        <v>434469</v>
      </c>
      <c r="H1330" s="3">
        <v>3798</v>
      </c>
      <c r="I1330" s="1">
        <v>21</v>
      </c>
      <c r="J1330" s="2">
        <v>45912</v>
      </c>
      <c r="K1330" s="8">
        <f>(F1330/G1330)*100</f>
        <v>20.019149812759942</v>
      </c>
      <c r="L1330" s="8">
        <f>(H1330/G1330)*100</f>
        <v>0.87417053920993204</v>
      </c>
    </row>
    <row r="1331" spans="1:12" x14ac:dyDescent="0.3">
      <c r="A1331" s="1" t="s">
        <v>1339</v>
      </c>
      <c r="B1331" s="1" t="s">
        <v>10</v>
      </c>
      <c r="C1331" s="1" t="s">
        <v>37</v>
      </c>
      <c r="D1331" s="1" t="s">
        <v>19</v>
      </c>
      <c r="E1331" s="35">
        <v>45892</v>
      </c>
      <c r="F1331" s="1">
        <v>24964</v>
      </c>
      <c r="G1331" s="1">
        <v>900211</v>
      </c>
      <c r="H1331" s="3">
        <v>619</v>
      </c>
      <c r="I1331" s="1">
        <v>28</v>
      </c>
      <c r="J1331" s="2">
        <v>45920</v>
      </c>
      <c r="K1331" s="8">
        <f>(F1331/G1331)*100</f>
        <v>2.7731276334103891</v>
      </c>
      <c r="L1331" s="8">
        <f>(H1331/G1331)*100</f>
        <v>6.8761656989305836E-2</v>
      </c>
    </row>
    <row r="1332" spans="1:12" x14ac:dyDescent="0.3">
      <c r="A1332" s="1" t="s">
        <v>1340</v>
      </c>
      <c r="B1332" s="1" t="s">
        <v>14</v>
      </c>
      <c r="C1332" s="1" t="s">
        <v>18</v>
      </c>
      <c r="D1332" s="1" t="s">
        <v>16</v>
      </c>
      <c r="E1332" s="35">
        <v>45893</v>
      </c>
      <c r="F1332" s="1">
        <v>3611</v>
      </c>
      <c r="G1332" s="1">
        <v>748405</v>
      </c>
      <c r="H1332" s="3">
        <v>1649</v>
      </c>
      <c r="I1332" s="1">
        <v>8</v>
      </c>
      <c r="J1332" s="2">
        <v>45901</v>
      </c>
      <c r="K1332" s="8">
        <f>(F1332/G1332)*100</f>
        <v>0.48249276795318047</v>
      </c>
      <c r="L1332" s="8">
        <f>(H1332/G1332)*100</f>
        <v>0.22033524629044435</v>
      </c>
    </row>
    <row r="1333" spans="1:12" x14ac:dyDescent="0.3">
      <c r="A1333" s="1" t="s">
        <v>1341</v>
      </c>
      <c r="B1333" s="1" t="s">
        <v>14</v>
      </c>
      <c r="C1333" s="1" t="s">
        <v>18</v>
      </c>
      <c r="D1333" s="1" t="s">
        <v>12</v>
      </c>
      <c r="E1333" s="35">
        <v>45894</v>
      </c>
      <c r="F1333" s="1">
        <v>72293</v>
      </c>
      <c r="G1333" s="1">
        <v>353912</v>
      </c>
      <c r="H1333" s="3">
        <v>4586</v>
      </c>
      <c r="I1333" s="1">
        <v>15</v>
      </c>
      <c r="J1333" s="2">
        <v>45909</v>
      </c>
      <c r="K1333" s="8">
        <f>(F1333/G1333)*100</f>
        <v>20.426829268292682</v>
      </c>
      <c r="L1333" s="8">
        <f>(H1333/G1333)*100</f>
        <v>1.2958023463459842</v>
      </c>
    </row>
    <row r="1334" spans="1:12" x14ac:dyDescent="0.3">
      <c r="A1334" s="1" t="s">
        <v>1342</v>
      </c>
      <c r="B1334" s="1" t="s">
        <v>24</v>
      </c>
      <c r="C1334" s="1" t="s">
        <v>25</v>
      </c>
      <c r="D1334" s="1" t="s">
        <v>32</v>
      </c>
      <c r="E1334" s="35">
        <v>45895</v>
      </c>
      <c r="F1334" s="1">
        <v>79105</v>
      </c>
      <c r="G1334" s="1">
        <v>308261</v>
      </c>
      <c r="H1334" s="3">
        <v>2452</v>
      </c>
      <c r="I1334" s="1">
        <v>19</v>
      </c>
      <c r="J1334" s="2">
        <v>45914</v>
      </c>
      <c r="K1334" s="8">
        <f>(F1334/G1334)*100</f>
        <v>25.661695770791638</v>
      </c>
      <c r="L1334" s="8">
        <f>(H1334/G1334)*100</f>
        <v>0.7954298467856783</v>
      </c>
    </row>
    <row r="1335" spans="1:12" x14ac:dyDescent="0.3">
      <c r="A1335" s="1" t="s">
        <v>1343</v>
      </c>
      <c r="B1335" s="1" t="s">
        <v>24</v>
      </c>
      <c r="C1335" s="1" t="s">
        <v>27</v>
      </c>
      <c r="D1335" s="1" t="s">
        <v>28</v>
      </c>
      <c r="E1335" s="35">
        <v>45896</v>
      </c>
      <c r="F1335" s="1">
        <v>23008</v>
      </c>
      <c r="G1335" s="1">
        <v>294990</v>
      </c>
      <c r="H1335" s="3">
        <v>3249</v>
      </c>
      <c r="I1335" s="1">
        <v>3</v>
      </c>
      <c r="J1335" s="2">
        <v>45899</v>
      </c>
      <c r="K1335" s="8">
        <f>(F1335/G1335)*100</f>
        <v>7.7995864266585304</v>
      </c>
      <c r="L1335" s="8">
        <f>(H1335/G1335)*100</f>
        <v>1.1013932675683922</v>
      </c>
    </row>
    <row r="1336" spans="1:12" x14ac:dyDescent="0.3">
      <c r="A1336" s="1" t="s">
        <v>1344</v>
      </c>
      <c r="B1336" s="1" t="s">
        <v>10</v>
      </c>
      <c r="C1336" s="1" t="s">
        <v>27</v>
      </c>
      <c r="D1336" s="1" t="s">
        <v>32</v>
      </c>
      <c r="E1336" s="35">
        <v>45897</v>
      </c>
      <c r="F1336" s="1">
        <v>33481</v>
      </c>
      <c r="G1336" s="1">
        <v>250162</v>
      </c>
      <c r="H1336" s="3">
        <v>3089</v>
      </c>
      <c r="I1336" s="1">
        <v>23</v>
      </c>
      <c r="J1336" s="2">
        <v>45920</v>
      </c>
      <c r="K1336" s="8">
        <f>(F1336/G1336)*100</f>
        <v>13.383727344680645</v>
      </c>
      <c r="L1336" s="8">
        <f>(H1336/G1336)*100</f>
        <v>1.2347998496973962</v>
      </c>
    </row>
    <row r="1337" spans="1:12" x14ac:dyDescent="0.3">
      <c r="A1337" s="1" t="s">
        <v>1364</v>
      </c>
      <c r="B1337" s="1" t="s">
        <v>14</v>
      </c>
      <c r="C1337" s="1" t="s">
        <v>11</v>
      </c>
      <c r="D1337" s="1" t="s">
        <v>28</v>
      </c>
      <c r="E1337" s="35">
        <v>44591</v>
      </c>
      <c r="F1337" s="1">
        <v>78786</v>
      </c>
      <c r="G1337" s="1">
        <v>784142</v>
      </c>
      <c r="H1337" s="3">
        <v>178</v>
      </c>
      <c r="I1337" s="1">
        <v>10</v>
      </c>
      <c r="J1337" s="2">
        <v>44601</v>
      </c>
      <c r="K1337" s="8">
        <f>(F1337/G1337)*100</f>
        <v>10.047414881488303</v>
      </c>
      <c r="L1337" s="8">
        <f>(H1337/G1337)*100</f>
        <v>2.2699970158466198E-2</v>
      </c>
    </row>
    <row r="1338" spans="1:12" x14ac:dyDescent="0.3">
      <c r="A1338"/>
      <c r="B1338"/>
      <c r="C1338"/>
      <c r="D1338"/>
      <c r="E1338"/>
      <c r="F1338"/>
      <c r="G1338"/>
      <c r="H1338"/>
      <c r="I1338"/>
      <c r="J1338"/>
      <c r="K1338"/>
      <c r="L1338"/>
    </row>
    <row r="1339" spans="1:12" x14ac:dyDescent="0.3">
      <c r="A1339"/>
      <c r="B1339"/>
      <c r="C1339"/>
      <c r="D1339"/>
      <c r="E1339"/>
      <c r="F1339"/>
      <c r="G1339"/>
      <c r="H1339"/>
      <c r="I1339"/>
      <c r="J1339"/>
      <c r="K1339"/>
      <c r="L1339"/>
    </row>
    <row r="1340" spans="1:12" x14ac:dyDescent="0.3">
      <c r="A1340"/>
      <c r="B1340"/>
      <c r="C1340"/>
      <c r="D1340"/>
      <c r="E1340"/>
      <c r="F1340"/>
      <c r="G1340"/>
      <c r="H1340"/>
      <c r="I1340"/>
      <c r="J1340"/>
      <c r="K1340"/>
      <c r="L1340"/>
    </row>
  </sheetData>
  <conditionalFormatting sqref="A1341">
    <cfRule type="duplicateValues" dxfId="5515" priority="2"/>
  </conditionalFormatting>
  <conditionalFormatting sqref="A1:A1337 A1341:A1048576">
    <cfRule type="duplicateValues" dxfId="5513" priority="1"/>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1BF20-4831-4F2C-9AE3-B04ACB0FC58F}">
  <dimension ref="B2:T2733"/>
  <sheetViews>
    <sheetView topLeftCell="K10" zoomScale="79" zoomScaleNormal="121" workbookViewId="0">
      <selection activeCell="C3" sqref="C3"/>
    </sheetView>
  </sheetViews>
  <sheetFormatPr defaultColWidth="8.88671875" defaultRowHeight="14.4" x14ac:dyDescent="0.3"/>
  <cols>
    <col min="1" max="1" width="8.88671875" style="1"/>
    <col min="2" max="2" width="16.33203125" style="1" bestFit="1" customWidth="1"/>
    <col min="3" max="3" width="19.77734375" style="1" bestFit="1" customWidth="1"/>
    <col min="4" max="4" width="20.109375" style="1" bestFit="1" customWidth="1"/>
    <col min="5" max="5" width="29.88671875" style="1" bestFit="1" customWidth="1"/>
    <col min="6" max="6" width="16.33203125" style="1" bestFit="1" customWidth="1"/>
    <col min="7" max="8" width="19.77734375" style="1" bestFit="1" customWidth="1"/>
    <col min="9" max="9" width="22.44140625" style="1" bestFit="1" customWidth="1"/>
    <col min="10" max="10" width="19.5546875" style="1" bestFit="1" customWidth="1"/>
    <col min="11" max="11" width="19.77734375" style="1" bestFit="1" customWidth="1"/>
    <col min="12" max="12" width="14.77734375" style="1" bestFit="1" customWidth="1"/>
    <col min="13" max="13" width="16.33203125" style="1" bestFit="1" customWidth="1"/>
    <col min="14" max="14" width="24.109375" style="1" bestFit="1" customWidth="1"/>
    <col min="15" max="15" width="35" style="1" bestFit="1" customWidth="1"/>
    <col min="16" max="16" width="13.44140625" style="1" bestFit="1" customWidth="1"/>
    <col min="17" max="17" width="16.109375" style="1" bestFit="1" customWidth="1"/>
    <col min="18" max="19" width="19.5546875" style="1" bestFit="1" customWidth="1"/>
    <col min="20" max="20" width="21.33203125" style="1" customWidth="1"/>
    <col min="21" max="21" width="14" style="1" customWidth="1"/>
    <col min="22" max="22" width="21.6640625" style="1" customWidth="1"/>
    <col min="23" max="16384" width="8.88671875" style="1"/>
  </cols>
  <sheetData>
    <row r="2" spans="2:14" x14ac:dyDescent="0.3">
      <c r="B2" s="1" t="s">
        <v>1380</v>
      </c>
      <c r="D2" s="1" t="s">
        <v>1410</v>
      </c>
      <c r="E2" s="11" t="s">
        <v>1411</v>
      </c>
      <c r="G2" s="1" t="s">
        <v>1387</v>
      </c>
      <c r="H2" s="1" t="s">
        <v>1386</v>
      </c>
      <c r="I2" s="1" t="str">
        <f>G2</f>
        <v>Average of estimated_reach</v>
      </c>
      <c r="J2" s="1" t="str">
        <f>H2</f>
        <v>Average of product_sales</v>
      </c>
    </row>
    <row r="3" spans="2:14" x14ac:dyDescent="0.3">
      <c r="B3" s="23">
        <v>3290214.2960000001</v>
      </c>
      <c r="C3" s="19">
        <f>GETPIVOTDATA("product_sales",$B$2)</f>
        <v>3290214.2960000001</v>
      </c>
      <c r="D3" s="38">
        <v>1339</v>
      </c>
      <c r="E3" s="29">
        <f>GETPIVOTDATA("product_sales",$B$2)/D3</f>
        <v>2457.2175474234505</v>
      </c>
      <c r="G3" s="38">
        <v>502308.99402539211</v>
      </c>
      <c r="H3" s="38">
        <v>2457.2175474234505</v>
      </c>
      <c r="I3" s="1">
        <f>GETPIVOTDATA("Average of estimated_reach",$G$2)</f>
        <v>502308.99402539211</v>
      </c>
      <c r="J3">
        <f>GETPIVOTDATA("Average of product_sales",$G$2)</f>
        <v>2457.2175474234505</v>
      </c>
      <c r="K3"/>
      <c r="L3"/>
      <c r="M3" s="6" t="s">
        <v>1378</v>
      </c>
      <c r="N3" s="1" t="s">
        <v>1390</v>
      </c>
    </row>
    <row r="4" spans="2:14" x14ac:dyDescent="0.3">
      <c r="J4"/>
      <c r="K4"/>
      <c r="L4"/>
      <c r="M4" s="1" t="s">
        <v>11</v>
      </c>
      <c r="N4" s="16">
        <v>48.374967598387435</v>
      </c>
    </row>
    <row r="5" spans="2:14" x14ac:dyDescent="0.3">
      <c r="B5" s="1" t="s">
        <v>1382</v>
      </c>
      <c r="D5" s="1" t="s">
        <v>1408</v>
      </c>
      <c r="E5" s="1" t="s">
        <v>1413</v>
      </c>
      <c r="F5"/>
      <c r="J5"/>
      <c r="K5"/>
      <c r="L5"/>
      <c r="M5" s="1" t="s">
        <v>18</v>
      </c>
      <c r="N5" s="16">
        <v>34.999210580107395</v>
      </c>
    </row>
    <row r="6" spans="2:14" x14ac:dyDescent="0.3">
      <c r="B6" s="16">
        <v>66217673</v>
      </c>
      <c r="C6" s="25">
        <f>GETPIVOTDATA("engagements",$B$5)</f>
        <v>66217673</v>
      </c>
      <c r="D6" s="16">
        <v>672591743</v>
      </c>
      <c r="E6" s="34">
        <f>GETPIVOTDATA("engagements",$B$5)/GETPIVOTDATA("estimated_reach",$D$5)</f>
        <v>9.8451510428369915E-2</v>
      </c>
      <c r="F6"/>
      <c r="G6" s="6" t="s">
        <v>1378</v>
      </c>
      <c r="H6" s="1" t="s">
        <v>1380</v>
      </c>
      <c r="I6" s="1" t="s">
        <v>1409</v>
      </c>
      <c r="J6" s="1" t="s">
        <v>1415</v>
      </c>
      <c r="K6"/>
      <c r="L6"/>
      <c r="M6" s="1" t="s">
        <v>37</v>
      </c>
      <c r="N6" s="16">
        <v>32.129884428497284</v>
      </c>
    </row>
    <row r="7" spans="2:14" x14ac:dyDescent="0.3">
      <c r="G7" s="20" t="s">
        <v>22</v>
      </c>
      <c r="H7" s="37">
        <v>1316411.2960000001</v>
      </c>
      <c r="I7" s="1" t="str">
        <f t="shared" ref="I7:I11" si="0">G7</f>
        <v>Instagram</v>
      </c>
      <c r="J7" s="1">
        <f t="shared" ref="J7:J11" si="1">H7</f>
        <v>1316411.2960000001</v>
      </c>
      <c r="K7"/>
      <c r="L7"/>
      <c r="M7" s="1" t="s">
        <v>15</v>
      </c>
      <c r="N7" s="16">
        <v>26.69905409293272</v>
      </c>
    </row>
    <row r="8" spans="2:14" x14ac:dyDescent="0.3">
      <c r="B8" s="1" t="s">
        <v>1395</v>
      </c>
      <c r="C8" s="1" t="s">
        <v>1380</v>
      </c>
      <c r="D8" s="11" t="s">
        <v>1396</v>
      </c>
      <c r="E8" s="1" t="s">
        <v>1414</v>
      </c>
      <c r="G8" s="20" t="s">
        <v>14</v>
      </c>
      <c r="H8" s="37">
        <v>973442</v>
      </c>
      <c r="I8" s="1" t="str">
        <f t="shared" si="0"/>
        <v>YouTube</v>
      </c>
      <c r="J8" s="1">
        <f t="shared" si="1"/>
        <v>973442</v>
      </c>
      <c r="K8"/>
      <c r="L8"/>
      <c r="M8" s="1" t="s">
        <v>25</v>
      </c>
      <c r="N8" s="16">
        <v>26.554857586328311</v>
      </c>
    </row>
    <row r="9" spans="2:14" x14ac:dyDescent="0.3">
      <c r="B9" s="17">
        <v>1339</v>
      </c>
      <c r="C9" s="23">
        <v>3290214.2960000001</v>
      </c>
      <c r="D9" s="39">
        <f>GETPIVOTDATA("Sum of product_sales",$B$8)/GETPIVOTDATA("Count of campaign_duration_days",$B$8)</f>
        <v>2457.2175474234505</v>
      </c>
      <c r="E9" s="34">
        <f>GETPIVOTDATA("Sum of product_sales",$B$8)/GETPIVOTDATA("estimated_reach",$D$5)</f>
        <v>4.8918446148691419E-3</v>
      </c>
      <c r="G9" s="20" t="s">
        <v>10</v>
      </c>
      <c r="H9" s="37">
        <v>658219</v>
      </c>
      <c r="I9" s="1" t="str">
        <f t="shared" si="0"/>
        <v>TikTok</v>
      </c>
      <c r="J9" s="1">
        <f t="shared" si="1"/>
        <v>658219</v>
      </c>
      <c r="M9" s="1" t="s">
        <v>27</v>
      </c>
      <c r="N9" s="16">
        <v>24.221059618165487</v>
      </c>
    </row>
    <row r="10" spans="2:14" x14ac:dyDescent="0.3">
      <c r="G10" s="20" t="s">
        <v>24</v>
      </c>
      <c r="H10" s="37">
        <v>342142</v>
      </c>
      <c r="I10" s="1" t="str">
        <f t="shared" si="0"/>
        <v>Twitter</v>
      </c>
      <c r="J10" s="1">
        <f t="shared" si="1"/>
        <v>342142</v>
      </c>
      <c r="M10" s="1" t="s">
        <v>30</v>
      </c>
      <c r="N10" s="16">
        <v>20.103549420152977</v>
      </c>
    </row>
    <row r="11" spans="2:14" x14ac:dyDescent="0.3">
      <c r="B11" s="22" t="s">
        <v>1397</v>
      </c>
      <c r="G11" s="1" t="s">
        <v>1379</v>
      </c>
      <c r="H11" s="37">
        <v>3290214.2960000001</v>
      </c>
      <c r="I11" s="1" t="str">
        <f t="shared" si="0"/>
        <v>Grand Total</v>
      </c>
      <c r="J11" s="1">
        <f t="shared" si="1"/>
        <v>3290214.2960000001</v>
      </c>
      <c r="M11" s="1" t="s">
        <v>1379</v>
      </c>
      <c r="N11" s="16">
        <v>30.681984542044756</v>
      </c>
    </row>
    <row r="12" spans="2:14" x14ac:dyDescent="0.3">
      <c r="B12" s="24">
        <f>C3/C6*1000</f>
        <v>49.687857439508633</v>
      </c>
      <c r="G12"/>
      <c r="H12"/>
      <c r="M12"/>
      <c r="N12"/>
    </row>
    <row r="13" spans="2:14" x14ac:dyDescent="0.3">
      <c r="G13"/>
      <c r="H13" s="1" t="str">
        <f>G7</f>
        <v>Instagram</v>
      </c>
    </row>
    <row r="14" spans="2:14" x14ac:dyDescent="0.3">
      <c r="B14"/>
      <c r="C14"/>
      <c r="E14"/>
      <c r="G14"/>
      <c r="H14"/>
    </row>
    <row r="15" spans="2:14" x14ac:dyDescent="0.3">
      <c r="B15" s="6" t="s">
        <v>1378</v>
      </c>
      <c r="C15" s="1" t="s">
        <v>1380</v>
      </c>
      <c r="E15"/>
      <c r="G15"/>
      <c r="H15"/>
    </row>
    <row r="16" spans="2:14" x14ac:dyDescent="0.3">
      <c r="B16" s="1" t="s">
        <v>1398</v>
      </c>
      <c r="C16" s="18">
        <v>920855</v>
      </c>
    </row>
    <row r="17" spans="2:20" x14ac:dyDescent="0.3">
      <c r="B17" s="1" t="s">
        <v>1402</v>
      </c>
      <c r="C17" s="18">
        <v>223807</v>
      </c>
    </row>
    <row r="18" spans="2:20" x14ac:dyDescent="0.3">
      <c r="B18" s="1" t="s">
        <v>1403</v>
      </c>
      <c r="C18" s="18">
        <v>235670</v>
      </c>
    </row>
    <row r="19" spans="2:20" x14ac:dyDescent="0.3">
      <c r="B19" s="1" t="s">
        <v>1404</v>
      </c>
      <c r="C19" s="18">
        <v>230679</v>
      </c>
      <c r="M19"/>
      <c r="N19"/>
      <c r="O19"/>
      <c r="P19" s="26" t="s">
        <v>1378</v>
      </c>
      <c r="Q19" t="s">
        <v>1382</v>
      </c>
      <c r="R19" t="s">
        <v>1380</v>
      </c>
      <c r="S19"/>
    </row>
    <row r="20" spans="2:20" x14ac:dyDescent="0.3">
      <c r="B20" s="1" t="s">
        <v>1405</v>
      </c>
      <c r="C20" s="18">
        <v>230699</v>
      </c>
      <c r="F20" s="6" t="s">
        <v>1378</v>
      </c>
      <c r="G20" s="1" t="s">
        <v>1380</v>
      </c>
      <c r="M20" s="30" t="s">
        <v>1409</v>
      </c>
      <c r="N20" s="31" t="s">
        <v>1406</v>
      </c>
      <c r="O20"/>
      <c r="P20" s="27" t="s">
        <v>30</v>
      </c>
      <c r="Q20" s="36">
        <v>8312129</v>
      </c>
      <c r="R20" s="36">
        <v>418964</v>
      </c>
      <c r="S20"/>
    </row>
    <row r="21" spans="2:20" x14ac:dyDescent="0.3">
      <c r="B21" s="1" t="s">
        <v>1399</v>
      </c>
      <c r="C21" s="18">
        <v>850364</v>
      </c>
      <c r="F21" s="20" t="s">
        <v>18</v>
      </c>
      <c r="G21" s="37">
        <v>492685</v>
      </c>
      <c r="M21" s="1" t="s">
        <v>40</v>
      </c>
      <c r="N21" s="1">
        <v>7060</v>
      </c>
      <c r="O21"/>
      <c r="P21" s="27" t="s">
        <v>37</v>
      </c>
      <c r="Q21" s="36">
        <v>9088938</v>
      </c>
      <c r="R21" s="36">
        <v>463775</v>
      </c>
      <c r="S21"/>
    </row>
    <row r="22" spans="2:20" x14ac:dyDescent="0.3">
      <c r="B22" s="1" t="s">
        <v>1402</v>
      </c>
      <c r="C22" s="18">
        <v>196013</v>
      </c>
      <c r="F22" s="20" t="s">
        <v>15</v>
      </c>
      <c r="G22" s="37">
        <v>491688</v>
      </c>
      <c r="M22" s="1" t="s">
        <v>105</v>
      </c>
      <c r="N22" s="1">
        <v>6918</v>
      </c>
      <c r="O22"/>
      <c r="P22" s="27" t="s">
        <v>27</v>
      </c>
      <c r="Q22" s="36">
        <v>9280679</v>
      </c>
      <c r="R22" s="36">
        <v>480806</v>
      </c>
      <c r="S22"/>
    </row>
    <row r="23" spans="2:20" x14ac:dyDescent="0.3">
      <c r="B23" s="1" t="s">
        <v>1403</v>
      </c>
      <c r="C23" s="18">
        <v>188865</v>
      </c>
      <c r="F23" s="20" t="s">
        <v>27</v>
      </c>
      <c r="G23" s="37">
        <v>480806</v>
      </c>
      <c r="M23" s="1" t="s">
        <v>195</v>
      </c>
      <c r="N23" s="1">
        <v>5526</v>
      </c>
      <c r="O23"/>
      <c r="P23" s="27" t="s">
        <v>11</v>
      </c>
      <c r="Q23" s="36">
        <v>9321139</v>
      </c>
      <c r="R23" s="36">
        <v>479180</v>
      </c>
      <c r="S23"/>
    </row>
    <row r="24" spans="2:20" x14ac:dyDescent="0.3">
      <c r="B24" s="1" t="s">
        <v>1404</v>
      </c>
      <c r="C24" s="18">
        <v>227638</v>
      </c>
      <c r="F24" s="20" t="s">
        <v>11</v>
      </c>
      <c r="G24" s="37">
        <v>479180</v>
      </c>
      <c r="M24" s="1" t="s">
        <v>966</v>
      </c>
      <c r="N24" s="1">
        <v>4994</v>
      </c>
      <c r="O24"/>
      <c r="P24" s="27" t="s">
        <v>18</v>
      </c>
      <c r="Q24" s="36">
        <v>9809071</v>
      </c>
      <c r="R24" s="36">
        <v>492685</v>
      </c>
      <c r="S24"/>
    </row>
    <row r="25" spans="2:20" x14ac:dyDescent="0.3">
      <c r="B25" s="1" t="s">
        <v>1405</v>
      </c>
      <c r="C25" s="18">
        <v>237848</v>
      </c>
      <c r="F25" s="20" t="s">
        <v>37</v>
      </c>
      <c r="G25" s="37">
        <v>463775</v>
      </c>
      <c r="M25" s="1" t="s">
        <v>801</v>
      </c>
      <c r="N25" s="1">
        <v>4994</v>
      </c>
      <c r="O25"/>
      <c r="P25" s="27" t="s">
        <v>25</v>
      </c>
      <c r="Q25" s="36">
        <v>9881330</v>
      </c>
      <c r="R25" s="36">
        <v>463116.29599999997</v>
      </c>
      <c r="S25"/>
    </row>
    <row r="26" spans="2:20" x14ac:dyDescent="0.3">
      <c r="B26" s="1" t="s">
        <v>1400</v>
      </c>
      <c r="C26" s="18">
        <v>914635.29599999997</v>
      </c>
      <c r="F26" s="20" t="s">
        <v>25</v>
      </c>
      <c r="G26" s="37">
        <v>463116.29599999997</v>
      </c>
      <c r="M26" s="1" t="s">
        <v>165</v>
      </c>
      <c r="N26" s="1">
        <v>4994</v>
      </c>
      <c r="O26"/>
      <c r="P26" s="27" t="s">
        <v>15</v>
      </c>
      <c r="Q26" s="36">
        <v>10524387</v>
      </c>
      <c r="R26" s="36">
        <v>491688</v>
      </c>
      <c r="S26"/>
    </row>
    <row r="27" spans="2:20" x14ac:dyDescent="0.3">
      <c r="B27" s="1" t="s">
        <v>1402</v>
      </c>
      <c r="C27" s="18">
        <v>232149</v>
      </c>
      <c r="F27" s="20" t="s">
        <v>30</v>
      </c>
      <c r="G27" s="37">
        <v>418964</v>
      </c>
      <c r="M27" s="1" t="s">
        <v>176</v>
      </c>
      <c r="N27" s="1">
        <v>4989</v>
      </c>
      <c r="O27"/>
      <c r="P27" s="27" t="s">
        <v>1379</v>
      </c>
      <c r="Q27" s="36">
        <v>66217673</v>
      </c>
      <c r="R27" s="36">
        <v>3290214.2960000001</v>
      </c>
      <c r="S27"/>
    </row>
    <row r="28" spans="2:20" x14ac:dyDescent="0.3">
      <c r="B28" s="1" t="s">
        <v>1403</v>
      </c>
      <c r="C28" s="18">
        <v>209559</v>
      </c>
      <c r="F28" s="1" t="s">
        <v>1379</v>
      </c>
      <c r="G28" s="37">
        <v>3290214.2960000001</v>
      </c>
      <c r="M28" s="1" t="s">
        <v>469</v>
      </c>
      <c r="N28" s="1">
        <v>4985</v>
      </c>
      <c r="O28"/>
      <c r="P28"/>
      <c r="Q28"/>
      <c r="R28"/>
      <c r="S28"/>
    </row>
    <row r="29" spans="2:20" x14ac:dyDescent="0.3">
      <c r="B29" s="1" t="s">
        <v>1404</v>
      </c>
      <c r="C29" s="18">
        <v>250099.296</v>
      </c>
      <c r="F29"/>
      <c r="G29"/>
      <c r="M29" s="1" t="s">
        <v>328</v>
      </c>
      <c r="N29" s="1">
        <v>4983</v>
      </c>
      <c r="O29"/>
      <c r="P29"/>
      <c r="Q29"/>
      <c r="R29"/>
      <c r="S29"/>
    </row>
    <row r="30" spans="2:20" x14ac:dyDescent="0.3">
      <c r="B30" s="1" t="s">
        <v>1405</v>
      </c>
      <c r="C30" s="18">
        <v>222828</v>
      </c>
      <c r="M30" s="1" t="s">
        <v>522</v>
      </c>
      <c r="N30" s="1">
        <v>4983</v>
      </c>
      <c r="O30"/>
      <c r="P30"/>
      <c r="Q30"/>
      <c r="R30"/>
      <c r="S30"/>
    </row>
    <row r="31" spans="2:20" x14ac:dyDescent="0.3">
      <c r="B31" s="1" t="s">
        <v>1401</v>
      </c>
      <c r="C31" s="18">
        <v>604360</v>
      </c>
      <c r="F31" s="6" t="s">
        <v>1378</v>
      </c>
      <c r="G31" s="1" t="s">
        <v>1385</v>
      </c>
      <c r="M31" s="32"/>
      <c r="N31" s="33"/>
      <c r="O31"/>
      <c r="P31"/>
      <c r="Q31"/>
      <c r="R31"/>
      <c r="S31"/>
    </row>
    <row r="32" spans="2:20" x14ac:dyDescent="0.3">
      <c r="B32" s="1" t="s">
        <v>1402</v>
      </c>
      <c r="C32" s="18">
        <v>221639</v>
      </c>
      <c r="F32" s="20" t="s">
        <v>10</v>
      </c>
      <c r="G32" s="21">
        <v>50936.242647058825</v>
      </c>
      <c r="M32"/>
      <c r="N32"/>
      <c r="O32"/>
      <c r="Q32"/>
      <c r="R32"/>
      <c r="S32"/>
      <c r="T32"/>
    </row>
    <row r="33" spans="2:20" x14ac:dyDescent="0.3">
      <c r="B33" s="1" t="s">
        <v>1403</v>
      </c>
      <c r="C33" s="18">
        <v>231097</v>
      </c>
      <c r="F33" s="20" t="s">
        <v>22</v>
      </c>
      <c r="G33" s="21">
        <v>50160.156424581008</v>
      </c>
      <c r="Q33" s="26" t="s">
        <v>1378</v>
      </c>
      <c r="R33" t="s">
        <v>1380</v>
      </c>
      <c r="S33"/>
      <c r="T33"/>
    </row>
    <row r="34" spans="2:20" x14ac:dyDescent="0.3">
      <c r="B34" s="1" t="s">
        <v>1404</v>
      </c>
      <c r="C34" s="18">
        <v>151624</v>
      </c>
      <c r="F34" s="20" t="s">
        <v>14</v>
      </c>
      <c r="G34" s="21">
        <v>49101.556390977443</v>
      </c>
      <c r="P34" s="1" t="str">
        <f>Q34</f>
        <v>Brand Awareness</v>
      </c>
      <c r="Q34" s="27" t="s">
        <v>19</v>
      </c>
      <c r="R34" s="28">
        <v>714255</v>
      </c>
      <c r="S34"/>
      <c r="T34"/>
    </row>
    <row r="35" spans="2:20" x14ac:dyDescent="0.3">
      <c r="B35" s="1" t="s">
        <v>1379</v>
      </c>
      <c r="C35" s="18">
        <v>3290214.2960000001</v>
      </c>
      <c r="F35" s="20" t="s">
        <v>24</v>
      </c>
      <c r="G35" s="21">
        <v>44545.725190839694</v>
      </c>
      <c r="Q35" s="27" t="s">
        <v>12</v>
      </c>
      <c r="R35" s="28">
        <v>666998.29599999997</v>
      </c>
      <c r="S35"/>
      <c r="T35"/>
    </row>
    <row r="36" spans="2:20" x14ac:dyDescent="0.3">
      <c r="B36"/>
      <c r="C36"/>
      <c r="D36"/>
      <c r="F36" s="1" t="s">
        <v>1379</v>
      </c>
      <c r="G36" s="37">
        <v>49453.079163554889</v>
      </c>
      <c r="M36" s="30" t="s">
        <v>1</v>
      </c>
      <c r="N36" s="31" t="s">
        <v>1407</v>
      </c>
      <c r="Q36" s="27" t="s">
        <v>16</v>
      </c>
      <c r="R36" s="28">
        <v>653635</v>
      </c>
      <c r="S36"/>
      <c r="T36"/>
    </row>
    <row r="37" spans="2:20" x14ac:dyDescent="0.3">
      <c r="B37"/>
      <c r="C37"/>
      <c r="D37"/>
      <c r="F37"/>
      <c r="G37"/>
      <c r="M37" s="1" t="s">
        <v>394</v>
      </c>
      <c r="N37" s="1">
        <v>34</v>
      </c>
      <c r="Q37" s="27" t="s">
        <v>32</v>
      </c>
      <c r="R37" s="28">
        <v>649841</v>
      </c>
      <c r="S37"/>
      <c r="T37"/>
    </row>
    <row r="38" spans="2:20" x14ac:dyDescent="0.3">
      <c r="B38"/>
      <c r="C38"/>
      <c r="D38"/>
      <c r="E38"/>
      <c r="M38" s="1" t="s">
        <v>440</v>
      </c>
      <c r="N38" s="1">
        <v>27</v>
      </c>
      <c r="Q38" s="27" t="s">
        <v>28</v>
      </c>
      <c r="R38" s="28">
        <v>605485</v>
      </c>
      <c r="S38"/>
      <c r="T38"/>
    </row>
    <row r="39" spans="2:20" x14ac:dyDescent="0.3">
      <c r="B39"/>
      <c r="C39"/>
      <c r="D39"/>
      <c r="E39"/>
      <c r="F39" s="19">
        <f>GETPIVOTDATA("product_sales",$B$2)</f>
        <v>3290214.2960000001</v>
      </c>
      <c r="M39" s="1" t="s">
        <v>587</v>
      </c>
      <c r="N39" s="1">
        <v>24</v>
      </c>
      <c r="Q39" s="27" t="s">
        <v>1379</v>
      </c>
      <c r="R39" s="36">
        <v>3290214.2960000001</v>
      </c>
      <c r="S39"/>
      <c r="T39"/>
    </row>
    <row r="40" spans="2:20" x14ac:dyDescent="0.3">
      <c r="B40"/>
      <c r="C40"/>
      <c r="D40"/>
      <c r="M40" s="1" t="s">
        <v>49</v>
      </c>
      <c r="N40" s="1">
        <v>18</v>
      </c>
      <c r="Q40"/>
      <c r="R40"/>
      <c r="S40"/>
      <c r="T40"/>
    </row>
    <row r="41" spans="2:20" x14ac:dyDescent="0.3">
      <c r="B41"/>
      <c r="C41"/>
      <c r="D41"/>
      <c r="M41" s="1" t="s">
        <v>1150</v>
      </c>
      <c r="N41" s="1">
        <v>18</v>
      </c>
      <c r="Q41"/>
      <c r="R41"/>
      <c r="S41"/>
      <c r="T41"/>
    </row>
    <row r="42" spans="2:20" x14ac:dyDescent="0.3">
      <c r="B42"/>
      <c r="C42"/>
      <c r="I42" s="1" t="s">
        <v>1408</v>
      </c>
      <c r="J42" s="1" t="s">
        <v>1382</v>
      </c>
      <c r="K42" s="1" t="s">
        <v>1380</v>
      </c>
      <c r="M42" s="1" t="s">
        <v>884</v>
      </c>
      <c r="N42" s="1">
        <v>12</v>
      </c>
      <c r="Q42"/>
      <c r="R42"/>
      <c r="S42"/>
      <c r="T42"/>
    </row>
    <row r="43" spans="2:20" x14ac:dyDescent="0.3">
      <c r="B43"/>
      <c r="C43"/>
      <c r="I43" s="37">
        <v>672591743</v>
      </c>
      <c r="J43" s="37">
        <v>66217673</v>
      </c>
      <c r="K43" s="29">
        <v>3290214.2960000001</v>
      </c>
      <c r="M43" s="1" t="s">
        <v>1012</v>
      </c>
      <c r="N43" s="1">
        <v>10</v>
      </c>
      <c r="Q43" s="26" t="s">
        <v>1378</v>
      </c>
      <c r="R43" t="s">
        <v>1382</v>
      </c>
      <c r="S43"/>
      <c r="T43"/>
    </row>
    <row r="44" spans="2:20" x14ac:dyDescent="0.3">
      <c r="B44"/>
      <c r="C44"/>
      <c r="I44"/>
      <c r="J44"/>
      <c r="K44"/>
      <c r="M44" s="1" t="s">
        <v>367</v>
      </c>
      <c r="N44" s="1">
        <v>3</v>
      </c>
      <c r="Q44" s="27" t="s">
        <v>12</v>
      </c>
      <c r="R44" s="28">
        <v>14002028</v>
      </c>
      <c r="S44"/>
      <c r="T44"/>
    </row>
    <row r="45" spans="2:20" x14ac:dyDescent="0.3">
      <c r="B45"/>
      <c r="C45"/>
      <c r="I45"/>
      <c r="J45"/>
      <c r="K45"/>
      <c r="M45" s="1" t="s">
        <v>1058</v>
      </c>
      <c r="N45" s="1">
        <v>2</v>
      </c>
      <c r="O45"/>
      <c r="Q45" s="27" t="s">
        <v>16</v>
      </c>
      <c r="R45" s="28">
        <v>13724550</v>
      </c>
      <c r="S45"/>
      <c r="T45"/>
    </row>
    <row r="46" spans="2:20" x14ac:dyDescent="0.3">
      <c r="B46"/>
      <c r="C46"/>
      <c r="I46" t="str" cm="1">
        <f t="array" ref="I46:K47">I42:K43</f>
        <v>Sum of estimated_reach</v>
      </c>
      <c r="J46" t="str">
        <v>Sum of engagements</v>
      </c>
      <c r="K46" t="str">
        <v>Sum of product_sales</v>
      </c>
      <c r="M46" s="1" t="s">
        <v>988</v>
      </c>
      <c r="N46" s="1">
        <v>1.296</v>
      </c>
      <c r="O46"/>
      <c r="Q46" s="27" t="s">
        <v>19</v>
      </c>
      <c r="R46" s="28">
        <v>13551583</v>
      </c>
      <c r="S46"/>
      <c r="T46"/>
    </row>
    <row r="47" spans="2:20" x14ac:dyDescent="0.3">
      <c r="B47"/>
      <c r="C47"/>
      <c r="I47">
        <v>672591743</v>
      </c>
      <c r="J47">
        <v>66217673</v>
      </c>
      <c r="K47">
        <v>3290214.2960000001</v>
      </c>
      <c r="M47" s="32"/>
      <c r="N47" s="32"/>
      <c r="O47"/>
      <c r="Q47" s="27" t="s">
        <v>32</v>
      </c>
      <c r="R47" s="28">
        <v>12522514</v>
      </c>
      <c r="S47"/>
      <c r="T47"/>
    </row>
    <row r="48" spans="2:20" x14ac:dyDescent="0.3">
      <c r="B48"/>
      <c r="C48"/>
      <c r="I48"/>
      <c r="J48"/>
      <c r="K48"/>
      <c r="M48"/>
      <c r="N48"/>
      <c r="O48"/>
      <c r="Q48" s="27" t="s">
        <v>28</v>
      </c>
      <c r="R48" s="28">
        <v>12416998</v>
      </c>
      <c r="S48"/>
      <c r="T48"/>
    </row>
    <row r="49" spans="2:20" x14ac:dyDescent="0.3">
      <c r="B49"/>
      <c r="C49"/>
      <c r="I49"/>
      <c r="J49"/>
      <c r="K49"/>
      <c r="M49"/>
      <c r="N49"/>
      <c r="O49"/>
      <c r="Q49" s="27" t="s">
        <v>1379</v>
      </c>
      <c r="R49" s="36">
        <v>66217673</v>
      </c>
      <c r="S49"/>
      <c r="T49"/>
    </row>
    <row r="50" spans="2:20" x14ac:dyDescent="0.3">
      <c r="B50"/>
      <c r="C50"/>
      <c r="I50"/>
      <c r="J50"/>
      <c r="K50"/>
      <c r="M50"/>
      <c r="N50"/>
      <c r="O50"/>
      <c r="Q50"/>
      <c r="R50"/>
      <c r="S50"/>
      <c r="T50"/>
    </row>
    <row r="51" spans="2:20" x14ac:dyDescent="0.3">
      <c r="B51"/>
      <c r="C51"/>
      <c r="I51"/>
      <c r="J51"/>
      <c r="K51"/>
      <c r="M51"/>
      <c r="N51"/>
      <c r="O51"/>
      <c r="Q51"/>
      <c r="R51"/>
      <c r="S51"/>
      <c r="T51"/>
    </row>
    <row r="52" spans="2:20" x14ac:dyDescent="0.3">
      <c r="B52"/>
      <c r="C52"/>
      <c r="I52"/>
      <c r="J52"/>
      <c r="K52"/>
      <c r="M52"/>
      <c r="N52"/>
      <c r="O52"/>
      <c r="Q52"/>
      <c r="R52"/>
      <c r="S52"/>
      <c r="T52"/>
    </row>
    <row r="53" spans="2:20" x14ac:dyDescent="0.3">
      <c r="B53"/>
      <c r="C53"/>
      <c r="I53"/>
      <c r="J53"/>
      <c r="K53"/>
      <c r="M53"/>
      <c r="N53"/>
      <c r="O53"/>
      <c r="Q53"/>
      <c r="R53"/>
      <c r="S53"/>
      <c r="T53"/>
    </row>
    <row r="54" spans="2:20" x14ac:dyDescent="0.3">
      <c r="B54"/>
      <c r="C54"/>
      <c r="I54"/>
      <c r="J54"/>
      <c r="K54"/>
      <c r="M54"/>
      <c r="N54"/>
      <c r="O54"/>
      <c r="Q54"/>
      <c r="R54"/>
      <c r="S54"/>
      <c r="T54"/>
    </row>
    <row r="55" spans="2:20" x14ac:dyDescent="0.3">
      <c r="B55"/>
      <c r="C55"/>
      <c r="I55"/>
      <c r="J55"/>
      <c r="K55"/>
      <c r="M55"/>
      <c r="N55"/>
      <c r="O55"/>
      <c r="Q55"/>
      <c r="R55"/>
      <c r="S55"/>
      <c r="T55"/>
    </row>
    <row r="56" spans="2:20" x14ac:dyDescent="0.3">
      <c r="B56"/>
      <c r="C56"/>
      <c r="I56"/>
      <c r="J56"/>
      <c r="K56"/>
      <c r="M56"/>
      <c r="N56"/>
      <c r="O56"/>
      <c r="Q56"/>
      <c r="R56"/>
      <c r="S56"/>
      <c r="T56"/>
    </row>
    <row r="57" spans="2:20" x14ac:dyDescent="0.3">
      <c r="B57"/>
      <c r="C57"/>
      <c r="I57"/>
      <c r="J57"/>
      <c r="K57"/>
      <c r="M57"/>
      <c r="N57"/>
      <c r="O57"/>
      <c r="Q57"/>
      <c r="R57"/>
      <c r="S57"/>
      <c r="T57"/>
    </row>
    <row r="58" spans="2:20" x14ac:dyDescent="0.3">
      <c r="B58"/>
      <c r="C58"/>
      <c r="I58"/>
      <c r="J58"/>
      <c r="K58"/>
      <c r="M58"/>
      <c r="N58"/>
      <c r="O58"/>
      <c r="Q58"/>
      <c r="R58"/>
      <c r="S58"/>
      <c r="T58"/>
    </row>
    <row r="59" spans="2:20" x14ac:dyDescent="0.3">
      <c r="B59"/>
      <c r="C59"/>
      <c r="I59"/>
      <c r="J59"/>
      <c r="K59"/>
      <c r="M59"/>
      <c r="N59"/>
      <c r="O59"/>
      <c r="Q59"/>
      <c r="R59"/>
      <c r="S59"/>
      <c r="T59"/>
    </row>
    <row r="60" spans="2:20" x14ac:dyDescent="0.3">
      <c r="B60"/>
      <c r="C60"/>
      <c r="I60"/>
      <c r="J60"/>
      <c r="K60"/>
      <c r="L60"/>
      <c r="M60"/>
      <c r="N60"/>
      <c r="O60"/>
      <c r="Q60"/>
      <c r="R60"/>
      <c r="S60"/>
      <c r="T60"/>
    </row>
    <row r="61" spans="2:20" x14ac:dyDescent="0.3">
      <c r="B61" s="6" t="s">
        <v>1378</v>
      </c>
      <c r="C61" s="1" t="s">
        <v>1380</v>
      </c>
      <c r="F61"/>
      <c r="G61"/>
      <c r="H61"/>
      <c r="I61"/>
      <c r="J61"/>
      <c r="K61"/>
      <c r="L61"/>
      <c r="M61"/>
      <c r="N61"/>
      <c r="O61"/>
      <c r="P61"/>
    </row>
    <row r="62" spans="2:20" x14ac:dyDescent="0.3">
      <c r="B62" s="1" t="s">
        <v>1416</v>
      </c>
      <c r="C62" s="37">
        <v>522862.29599999997</v>
      </c>
      <c r="F62"/>
      <c r="G62"/>
      <c r="H62"/>
      <c r="I62"/>
      <c r="J62"/>
      <c r="K62"/>
      <c r="L62"/>
      <c r="M62"/>
      <c r="N62"/>
      <c r="O62"/>
      <c r="P62"/>
    </row>
    <row r="63" spans="2:20" x14ac:dyDescent="0.3">
      <c r="B63" s="1" t="s">
        <v>1417</v>
      </c>
      <c r="C63" s="37">
        <v>565520</v>
      </c>
      <c r="F63"/>
      <c r="G63"/>
      <c r="H63"/>
      <c r="I63"/>
      <c r="J63"/>
      <c r="K63"/>
      <c r="L63"/>
      <c r="M63"/>
      <c r="N63"/>
      <c r="O63"/>
      <c r="P63"/>
    </row>
    <row r="64" spans="2:20" x14ac:dyDescent="0.3">
      <c r="B64" s="1" t="s">
        <v>1418</v>
      </c>
      <c r="C64" s="37">
        <v>538177</v>
      </c>
      <c r="F64"/>
      <c r="G64"/>
      <c r="H64"/>
      <c r="I64"/>
      <c r="J64"/>
      <c r="K64"/>
      <c r="L64"/>
      <c r="M64"/>
      <c r="N64"/>
      <c r="O64"/>
      <c r="P64"/>
    </row>
    <row r="65" spans="2:15" x14ac:dyDescent="0.3">
      <c r="B65" s="1" t="s">
        <v>1419</v>
      </c>
      <c r="C65" s="37">
        <v>589686</v>
      </c>
      <c r="F65"/>
      <c r="G65"/>
      <c r="H65"/>
      <c r="I65"/>
      <c r="J65"/>
      <c r="K65"/>
      <c r="L65"/>
      <c r="M65"/>
      <c r="N65"/>
      <c r="O65"/>
    </row>
    <row r="66" spans="2:15" x14ac:dyDescent="0.3">
      <c r="B66" s="1" t="s">
        <v>1420</v>
      </c>
      <c r="C66" s="37">
        <v>608095</v>
      </c>
      <c r="F66"/>
      <c r="G66"/>
      <c r="H66"/>
      <c r="I66"/>
      <c r="J66"/>
      <c r="K66"/>
      <c r="L66"/>
      <c r="M66"/>
      <c r="N66"/>
      <c r="O66"/>
    </row>
    <row r="67" spans="2:15" x14ac:dyDescent="0.3">
      <c r="B67" s="1" t="s">
        <v>1421</v>
      </c>
      <c r="C67" s="37">
        <v>465874</v>
      </c>
      <c r="F67"/>
      <c r="G67"/>
      <c r="H67"/>
      <c r="I67"/>
      <c r="J67"/>
      <c r="K67"/>
      <c r="L67"/>
      <c r="M67"/>
      <c r="N67"/>
      <c r="O67"/>
    </row>
    <row r="68" spans="2:15" x14ac:dyDescent="0.3">
      <c r="B68" s="1" t="s">
        <v>1379</v>
      </c>
      <c r="C68" s="37">
        <v>3290214.2960000001</v>
      </c>
      <c r="F68"/>
      <c r="G68"/>
      <c r="H68"/>
      <c r="I68"/>
      <c r="J68"/>
      <c r="K68"/>
      <c r="L68"/>
      <c r="M68"/>
      <c r="N68"/>
      <c r="O68"/>
    </row>
    <row r="69" spans="2:15" x14ac:dyDescent="0.3">
      <c r="B69"/>
      <c r="C69"/>
      <c r="F69"/>
      <c r="G69"/>
      <c r="H69"/>
      <c r="I69"/>
      <c r="J69"/>
      <c r="K69"/>
      <c r="L69"/>
      <c r="M69"/>
      <c r="N69"/>
      <c r="O69"/>
    </row>
    <row r="70" spans="2:15" x14ac:dyDescent="0.3">
      <c r="B70"/>
      <c r="C70"/>
      <c r="F70"/>
      <c r="G70"/>
      <c r="H70"/>
      <c r="I70"/>
      <c r="J70"/>
      <c r="K70"/>
      <c r="L70"/>
      <c r="M70"/>
      <c r="N70"/>
      <c r="O70"/>
    </row>
    <row r="71" spans="2:15" x14ac:dyDescent="0.3">
      <c r="B71"/>
      <c r="C71"/>
      <c r="F71"/>
      <c r="G71"/>
      <c r="H71"/>
      <c r="I71"/>
      <c r="J71"/>
      <c r="K71"/>
      <c r="L71"/>
      <c r="M71"/>
      <c r="N71"/>
      <c r="O71"/>
    </row>
    <row r="72" spans="2:15" x14ac:dyDescent="0.3">
      <c r="B72"/>
      <c r="C72"/>
      <c r="F72"/>
      <c r="G72"/>
      <c r="H72"/>
      <c r="I72"/>
      <c r="J72"/>
      <c r="K72"/>
      <c r="L72"/>
      <c r="M72"/>
      <c r="N72"/>
      <c r="O72"/>
    </row>
    <row r="73" spans="2:15" x14ac:dyDescent="0.3">
      <c r="B73"/>
      <c r="C73"/>
      <c r="F73"/>
      <c r="G73"/>
      <c r="H73"/>
      <c r="I73"/>
      <c r="J73"/>
      <c r="K73"/>
      <c r="L73"/>
      <c r="M73"/>
      <c r="N73"/>
      <c r="O73"/>
    </row>
    <row r="74" spans="2:15" x14ac:dyDescent="0.3">
      <c r="B74"/>
      <c r="C74"/>
      <c r="F74"/>
      <c r="G74"/>
      <c r="H74"/>
      <c r="I74"/>
      <c r="J74"/>
      <c r="L74"/>
      <c r="M74"/>
      <c r="N74"/>
      <c r="O74"/>
    </row>
    <row r="75" spans="2:15" x14ac:dyDescent="0.3">
      <c r="B75"/>
      <c r="C75"/>
      <c r="F75"/>
      <c r="G75"/>
      <c r="H75"/>
      <c r="I75"/>
      <c r="J75"/>
      <c r="L75"/>
      <c r="M75"/>
      <c r="N75"/>
      <c r="O75"/>
    </row>
    <row r="76" spans="2:15" x14ac:dyDescent="0.3">
      <c r="B76"/>
      <c r="C76"/>
      <c r="F76"/>
      <c r="G76"/>
      <c r="H76"/>
      <c r="I76"/>
      <c r="J76"/>
      <c r="L76"/>
      <c r="M76"/>
      <c r="N76"/>
      <c r="O76"/>
    </row>
    <row r="77" spans="2:15" x14ac:dyDescent="0.3">
      <c r="B77"/>
      <c r="C77"/>
      <c r="F77"/>
      <c r="G77"/>
      <c r="H77"/>
      <c r="I77"/>
      <c r="J77"/>
      <c r="L77"/>
      <c r="M77"/>
      <c r="N77"/>
      <c r="O77"/>
    </row>
    <row r="78" spans="2:15" x14ac:dyDescent="0.3">
      <c r="B78"/>
      <c r="C78"/>
      <c r="F78"/>
      <c r="G78"/>
      <c r="H78"/>
      <c r="I78"/>
      <c r="J78"/>
      <c r="L78"/>
      <c r="M78"/>
      <c r="N78"/>
      <c r="O78"/>
    </row>
    <row r="79" spans="2:15" x14ac:dyDescent="0.3">
      <c r="B79"/>
      <c r="C79"/>
      <c r="F79"/>
      <c r="G79"/>
      <c r="I79"/>
      <c r="J79"/>
      <c r="L79"/>
      <c r="M79"/>
      <c r="N79"/>
      <c r="O79"/>
    </row>
    <row r="80" spans="2:15" x14ac:dyDescent="0.3">
      <c r="B80"/>
      <c r="C80"/>
      <c r="F80"/>
      <c r="G80"/>
      <c r="I80"/>
      <c r="J80"/>
      <c r="L80"/>
      <c r="M80"/>
      <c r="N80"/>
      <c r="O80"/>
    </row>
    <row r="81" spans="2:15" x14ac:dyDescent="0.3">
      <c r="B81"/>
      <c r="C81"/>
      <c r="F81"/>
      <c r="G81"/>
      <c r="I81"/>
      <c r="J81"/>
      <c r="L81"/>
      <c r="M81"/>
      <c r="N81"/>
      <c r="O81"/>
    </row>
    <row r="82" spans="2:15" x14ac:dyDescent="0.3">
      <c r="B82"/>
      <c r="C82"/>
      <c r="F82"/>
      <c r="G82"/>
      <c r="I82"/>
      <c r="J82"/>
      <c r="L82"/>
      <c r="M82"/>
      <c r="N82"/>
      <c r="O82"/>
    </row>
    <row r="83" spans="2:15" x14ac:dyDescent="0.3">
      <c r="B83"/>
      <c r="C83"/>
      <c r="F83"/>
      <c r="G83"/>
      <c r="I83"/>
      <c r="J83"/>
      <c r="L83"/>
      <c r="M83"/>
      <c r="N83"/>
      <c r="O83"/>
    </row>
    <row r="84" spans="2:15" x14ac:dyDescent="0.3">
      <c r="B84"/>
      <c r="C84"/>
      <c r="F84"/>
      <c r="G84"/>
      <c r="I84"/>
      <c r="J84"/>
      <c r="L84"/>
      <c r="M84"/>
      <c r="N84"/>
      <c r="O84"/>
    </row>
    <row r="85" spans="2:15" x14ac:dyDescent="0.3">
      <c r="B85"/>
      <c r="C85"/>
      <c r="F85"/>
      <c r="G85"/>
      <c r="I85"/>
      <c r="J85"/>
      <c r="L85"/>
      <c r="M85"/>
      <c r="N85"/>
      <c r="O85"/>
    </row>
    <row r="86" spans="2:15" x14ac:dyDescent="0.3">
      <c r="B86"/>
      <c r="C86"/>
      <c r="F86"/>
      <c r="G86"/>
      <c r="I86"/>
      <c r="J86"/>
      <c r="L86"/>
      <c r="M86"/>
      <c r="N86"/>
      <c r="O86"/>
    </row>
    <row r="87" spans="2:15" x14ac:dyDescent="0.3">
      <c r="B87"/>
      <c r="C87"/>
      <c r="F87"/>
      <c r="G87"/>
      <c r="I87"/>
      <c r="J87"/>
      <c r="L87"/>
      <c r="M87"/>
      <c r="N87"/>
      <c r="O87"/>
    </row>
    <row r="88" spans="2:15" x14ac:dyDescent="0.3">
      <c r="B88"/>
      <c r="C88"/>
      <c r="F88"/>
      <c r="G88"/>
      <c r="I88"/>
      <c r="J88"/>
      <c r="L88"/>
      <c r="M88"/>
      <c r="N88"/>
      <c r="O88"/>
    </row>
    <row r="89" spans="2:15" x14ac:dyDescent="0.3">
      <c r="B89"/>
      <c r="C89"/>
      <c r="F89"/>
      <c r="G89"/>
      <c r="I89"/>
      <c r="J89"/>
      <c r="L89"/>
      <c r="M89"/>
      <c r="N89"/>
      <c r="O89"/>
    </row>
    <row r="90" spans="2:15" x14ac:dyDescent="0.3">
      <c r="B90"/>
      <c r="C90"/>
      <c r="F90"/>
      <c r="G90"/>
      <c r="I90"/>
      <c r="J90"/>
      <c r="L90"/>
      <c r="M90"/>
      <c r="N90"/>
      <c r="O90"/>
    </row>
    <row r="91" spans="2:15" x14ac:dyDescent="0.3">
      <c r="B91"/>
      <c r="C91"/>
      <c r="F91"/>
      <c r="G91"/>
      <c r="I91"/>
      <c r="J91"/>
      <c r="L91"/>
      <c r="M91"/>
      <c r="N91"/>
      <c r="O91"/>
    </row>
    <row r="92" spans="2:15" x14ac:dyDescent="0.3">
      <c r="B92"/>
      <c r="C92"/>
      <c r="F92"/>
      <c r="G92"/>
      <c r="I92"/>
      <c r="J92"/>
      <c r="L92"/>
      <c r="M92"/>
      <c r="N92"/>
      <c r="O92"/>
    </row>
    <row r="93" spans="2:15" x14ac:dyDescent="0.3">
      <c r="B93"/>
      <c r="C93"/>
      <c r="I93"/>
      <c r="J93"/>
      <c r="L93"/>
      <c r="M93"/>
      <c r="N93"/>
      <c r="O93"/>
    </row>
    <row r="94" spans="2:15" x14ac:dyDescent="0.3">
      <c r="B94"/>
      <c r="C94"/>
      <c r="I94"/>
      <c r="J94"/>
      <c r="L94"/>
      <c r="M94"/>
      <c r="N94"/>
      <c r="O94"/>
    </row>
    <row r="95" spans="2:15" x14ac:dyDescent="0.3">
      <c r="B95"/>
      <c r="C95"/>
      <c r="I95"/>
      <c r="J95"/>
      <c r="L95"/>
      <c r="M95"/>
      <c r="N95"/>
      <c r="O95"/>
    </row>
    <row r="96" spans="2:15" x14ac:dyDescent="0.3">
      <c r="B96"/>
      <c r="C96"/>
      <c r="I96"/>
      <c r="J96"/>
      <c r="L96"/>
      <c r="M96"/>
      <c r="N96"/>
      <c r="O96"/>
    </row>
    <row r="97" spans="2:15" x14ac:dyDescent="0.3">
      <c r="B97"/>
      <c r="C97"/>
      <c r="I97"/>
      <c r="J97"/>
      <c r="L97"/>
      <c r="M97"/>
      <c r="N97"/>
      <c r="O97"/>
    </row>
    <row r="98" spans="2:15" x14ac:dyDescent="0.3">
      <c r="B98"/>
      <c r="C98"/>
      <c r="I98"/>
      <c r="J98"/>
      <c r="L98"/>
      <c r="M98"/>
      <c r="N98"/>
      <c r="O98"/>
    </row>
    <row r="99" spans="2:15" x14ac:dyDescent="0.3">
      <c r="B99"/>
      <c r="C99"/>
      <c r="I99"/>
      <c r="J99"/>
      <c r="L99"/>
      <c r="M99"/>
      <c r="N99"/>
      <c r="O99"/>
    </row>
    <row r="100" spans="2:15" x14ac:dyDescent="0.3">
      <c r="B100"/>
      <c r="C100"/>
      <c r="I100"/>
      <c r="J100"/>
      <c r="L100"/>
      <c r="M100"/>
      <c r="N100"/>
      <c r="O100"/>
    </row>
    <row r="101" spans="2:15" x14ac:dyDescent="0.3">
      <c r="B101"/>
      <c r="C101"/>
      <c r="I101"/>
      <c r="J101"/>
      <c r="L101"/>
      <c r="M101"/>
      <c r="N101"/>
      <c r="O101"/>
    </row>
    <row r="102" spans="2:15" x14ac:dyDescent="0.3">
      <c r="B102"/>
      <c r="C102"/>
      <c r="I102"/>
      <c r="J102"/>
      <c r="L102"/>
      <c r="M102"/>
      <c r="N102"/>
      <c r="O102"/>
    </row>
    <row r="103" spans="2:15" x14ac:dyDescent="0.3">
      <c r="B103"/>
      <c r="C103"/>
      <c r="I103"/>
      <c r="J103"/>
      <c r="L103"/>
      <c r="M103"/>
      <c r="N103"/>
      <c r="O103"/>
    </row>
    <row r="104" spans="2:15" x14ac:dyDescent="0.3">
      <c r="B104"/>
      <c r="C104"/>
      <c r="I104"/>
      <c r="J104"/>
      <c r="L104"/>
      <c r="M104"/>
      <c r="N104"/>
      <c r="O104"/>
    </row>
    <row r="105" spans="2:15" x14ac:dyDescent="0.3">
      <c r="B105"/>
      <c r="C105"/>
      <c r="I105"/>
      <c r="J105"/>
      <c r="L105"/>
      <c r="M105"/>
      <c r="N105"/>
      <c r="O105"/>
    </row>
    <row r="106" spans="2:15" x14ac:dyDescent="0.3">
      <c r="B106"/>
      <c r="C106"/>
      <c r="I106"/>
      <c r="J106"/>
      <c r="L106"/>
      <c r="M106"/>
      <c r="N106"/>
      <c r="O106"/>
    </row>
    <row r="107" spans="2:15" x14ac:dyDescent="0.3">
      <c r="B107"/>
      <c r="C107"/>
      <c r="I107"/>
      <c r="J107"/>
      <c r="L107"/>
      <c r="M107"/>
      <c r="N107"/>
      <c r="O107"/>
    </row>
    <row r="108" spans="2:15" x14ac:dyDescent="0.3">
      <c r="B108"/>
      <c r="C108"/>
      <c r="I108"/>
      <c r="J108"/>
      <c r="L108"/>
      <c r="M108"/>
      <c r="N108"/>
      <c r="O108"/>
    </row>
    <row r="109" spans="2:15" x14ac:dyDescent="0.3">
      <c r="B109"/>
      <c r="C109"/>
      <c r="I109"/>
      <c r="J109"/>
      <c r="L109"/>
      <c r="M109"/>
      <c r="N109"/>
      <c r="O109"/>
    </row>
    <row r="110" spans="2:15" x14ac:dyDescent="0.3">
      <c r="B110"/>
      <c r="C110"/>
      <c r="I110"/>
      <c r="J110"/>
      <c r="L110"/>
      <c r="M110"/>
      <c r="N110"/>
      <c r="O110"/>
    </row>
    <row r="111" spans="2:15" x14ac:dyDescent="0.3">
      <c r="B111"/>
      <c r="C111"/>
      <c r="I111"/>
      <c r="J111"/>
      <c r="L111"/>
      <c r="M111"/>
      <c r="N111"/>
      <c r="O111"/>
    </row>
    <row r="112" spans="2:15" x14ac:dyDescent="0.3">
      <c r="B112"/>
      <c r="C112"/>
      <c r="I112"/>
      <c r="J112"/>
      <c r="L112"/>
      <c r="M112"/>
      <c r="N112"/>
      <c r="O112"/>
    </row>
    <row r="113" spans="2:15" x14ac:dyDescent="0.3">
      <c r="B113"/>
      <c r="C113"/>
      <c r="I113"/>
      <c r="J113"/>
      <c r="L113"/>
      <c r="M113"/>
      <c r="N113"/>
      <c r="O113"/>
    </row>
    <row r="114" spans="2:15" x14ac:dyDescent="0.3">
      <c r="B114"/>
      <c r="C114"/>
      <c r="I114"/>
      <c r="J114"/>
      <c r="L114"/>
      <c r="M114"/>
      <c r="N114"/>
      <c r="O114"/>
    </row>
    <row r="115" spans="2:15" x14ac:dyDescent="0.3">
      <c r="B115"/>
      <c r="C115"/>
      <c r="I115"/>
      <c r="J115"/>
      <c r="L115"/>
      <c r="M115"/>
      <c r="N115"/>
      <c r="O115"/>
    </row>
    <row r="116" spans="2:15" x14ac:dyDescent="0.3">
      <c r="B116"/>
      <c r="C116"/>
      <c r="I116"/>
      <c r="J116"/>
      <c r="L116"/>
      <c r="M116"/>
      <c r="N116"/>
      <c r="O116"/>
    </row>
    <row r="117" spans="2:15" x14ac:dyDescent="0.3">
      <c r="B117"/>
      <c r="C117"/>
      <c r="I117"/>
      <c r="J117"/>
      <c r="L117"/>
      <c r="M117"/>
      <c r="N117"/>
      <c r="O117"/>
    </row>
    <row r="118" spans="2:15" x14ac:dyDescent="0.3">
      <c r="B118"/>
      <c r="C118"/>
      <c r="I118"/>
      <c r="J118"/>
      <c r="L118"/>
      <c r="M118"/>
      <c r="N118"/>
      <c r="O118"/>
    </row>
    <row r="119" spans="2:15" x14ac:dyDescent="0.3">
      <c r="B119"/>
      <c r="C119"/>
      <c r="I119"/>
      <c r="J119"/>
      <c r="L119"/>
      <c r="M119"/>
      <c r="N119"/>
      <c r="O119"/>
    </row>
    <row r="120" spans="2:15" x14ac:dyDescent="0.3">
      <c r="B120"/>
      <c r="C120"/>
      <c r="I120"/>
      <c r="J120"/>
      <c r="L120"/>
      <c r="M120"/>
      <c r="N120"/>
      <c r="O120"/>
    </row>
    <row r="121" spans="2:15" x14ac:dyDescent="0.3">
      <c r="B121"/>
      <c r="C121"/>
      <c r="I121"/>
      <c r="J121"/>
      <c r="L121"/>
      <c r="M121"/>
      <c r="N121"/>
      <c r="O121"/>
    </row>
    <row r="122" spans="2:15" x14ac:dyDescent="0.3">
      <c r="B122"/>
      <c r="C122"/>
      <c r="I122"/>
      <c r="J122"/>
      <c r="L122"/>
      <c r="M122"/>
      <c r="N122"/>
      <c r="O122"/>
    </row>
    <row r="123" spans="2:15" x14ac:dyDescent="0.3">
      <c r="B123"/>
      <c r="C123"/>
      <c r="I123"/>
      <c r="J123"/>
      <c r="L123"/>
      <c r="M123"/>
      <c r="N123"/>
      <c r="O123"/>
    </row>
    <row r="124" spans="2:15" x14ac:dyDescent="0.3">
      <c r="B124"/>
      <c r="C124"/>
      <c r="I124"/>
      <c r="J124"/>
      <c r="L124"/>
      <c r="M124"/>
      <c r="N124"/>
      <c r="O124"/>
    </row>
    <row r="125" spans="2:15" x14ac:dyDescent="0.3">
      <c r="B125"/>
      <c r="C125"/>
      <c r="I125"/>
      <c r="J125"/>
      <c r="L125"/>
      <c r="M125"/>
      <c r="N125"/>
      <c r="O125"/>
    </row>
    <row r="126" spans="2:15" x14ac:dyDescent="0.3">
      <c r="B126"/>
      <c r="C126"/>
      <c r="I126"/>
      <c r="J126"/>
      <c r="L126"/>
      <c r="M126"/>
      <c r="N126"/>
      <c r="O126"/>
    </row>
    <row r="127" spans="2:15" x14ac:dyDescent="0.3">
      <c r="B127"/>
      <c r="C127"/>
      <c r="I127"/>
      <c r="J127"/>
      <c r="L127"/>
      <c r="M127"/>
      <c r="N127"/>
      <c r="O127"/>
    </row>
    <row r="128" spans="2:15" x14ac:dyDescent="0.3">
      <c r="B128"/>
      <c r="C128"/>
      <c r="I128"/>
      <c r="J128"/>
      <c r="L128"/>
      <c r="M128"/>
      <c r="N128"/>
      <c r="O128"/>
    </row>
    <row r="129" spans="2:15" x14ac:dyDescent="0.3">
      <c r="B129"/>
      <c r="C129"/>
      <c r="I129"/>
      <c r="J129"/>
      <c r="L129"/>
      <c r="M129"/>
      <c r="N129"/>
      <c r="O129"/>
    </row>
    <row r="130" spans="2:15" x14ac:dyDescent="0.3">
      <c r="B130"/>
      <c r="C130"/>
      <c r="I130"/>
      <c r="J130"/>
      <c r="L130"/>
      <c r="M130"/>
      <c r="N130"/>
      <c r="O130"/>
    </row>
    <row r="131" spans="2:15" x14ac:dyDescent="0.3">
      <c r="B131"/>
      <c r="C131"/>
      <c r="D131"/>
      <c r="E131"/>
      <c r="F131"/>
      <c r="G131"/>
      <c r="I131"/>
      <c r="J131"/>
      <c r="L131"/>
      <c r="M131"/>
      <c r="N131"/>
      <c r="O131"/>
    </row>
    <row r="132" spans="2:15" x14ac:dyDescent="0.3">
      <c r="B132"/>
      <c r="C132"/>
      <c r="D132"/>
      <c r="E132"/>
      <c r="F132"/>
      <c r="G132"/>
      <c r="I132"/>
      <c r="J132"/>
      <c r="L132"/>
      <c r="M132"/>
      <c r="N132"/>
      <c r="O132"/>
    </row>
    <row r="133" spans="2:15" x14ac:dyDescent="0.3">
      <c r="B133"/>
      <c r="C133"/>
      <c r="D133"/>
      <c r="E133"/>
      <c r="F133"/>
      <c r="G133"/>
      <c r="I133"/>
      <c r="J133"/>
      <c r="L133"/>
      <c r="M133"/>
      <c r="N133"/>
      <c r="O133"/>
    </row>
    <row r="134" spans="2:15" x14ac:dyDescent="0.3">
      <c r="B134"/>
      <c r="C134"/>
      <c r="D134"/>
      <c r="E134"/>
      <c r="F134"/>
      <c r="G134"/>
      <c r="I134"/>
      <c r="J134"/>
      <c r="L134"/>
      <c r="M134"/>
      <c r="N134"/>
      <c r="O134"/>
    </row>
    <row r="135" spans="2:15" x14ac:dyDescent="0.3">
      <c r="B135"/>
      <c r="C135"/>
      <c r="D135"/>
      <c r="E135"/>
      <c r="F135"/>
      <c r="G135"/>
      <c r="I135"/>
      <c r="J135"/>
      <c r="L135"/>
      <c r="M135"/>
      <c r="N135"/>
      <c r="O135"/>
    </row>
    <row r="136" spans="2:15" x14ac:dyDescent="0.3">
      <c r="B136"/>
      <c r="C136"/>
      <c r="D136"/>
      <c r="E136"/>
      <c r="F136"/>
      <c r="G136"/>
      <c r="I136"/>
      <c r="J136"/>
      <c r="L136"/>
      <c r="M136"/>
      <c r="N136"/>
      <c r="O136"/>
    </row>
    <row r="137" spans="2:15" x14ac:dyDescent="0.3">
      <c r="B137"/>
      <c r="C137"/>
      <c r="D137"/>
      <c r="E137"/>
      <c r="F137"/>
      <c r="G137"/>
      <c r="I137"/>
      <c r="J137"/>
      <c r="L137"/>
      <c r="M137"/>
      <c r="N137"/>
      <c r="O137"/>
    </row>
    <row r="138" spans="2:15" x14ac:dyDescent="0.3">
      <c r="B138"/>
      <c r="C138"/>
      <c r="D138"/>
      <c r="E138"/>
      <c r="F138"/>
      <c r="G138"/>
      <c r="I138"/>
      <c r="J138"/>
      <c r="L138"/>
      <c r="M138"/>
      <c r="N138"/>
      <c r="O138"/>
    </row>
    <row r="139" spans="2:15" x14ac:dyDescent="0.3">
      <c r="B139"/>
      <c r="C139"/>
      <c r="D139"/>
      <c r="E139"/>
      <c r="F139"/>
      <c r="G139"/>
      <c r="I139"/>
      <c r="J139"/>
      <c r="L139"/>
      <c r="M139"/>
      <c r="N139"/>
      <c r="O139"/>
    </row>
    <row r="140" spans="2:15" x14ac:dyDescent="0.3">
      <c r="B140"/>
      <c r="C140"/>
      <c r="D140"/>
      <c r="E140"/>
      <c r="F140"/>
      <c r="G140"/>
      <c r="I140"/>
      <c r="J140"/>
      <c r="L140"/>
      <c r="M140"/>
      <c r="N140"/>
      <c r="O140"/>
    </row>
    <row r="141" spans="2:15" x14ac:dyDescent="0.3">
      <c r="B141"/>
      <c r="C141"/>
      <c r="D141"/>
      <c r="E141"/>
      <c r="F141"/>
      <c r="G141"/>
      <c r="I141"/>
      <c r="J141"/>
      <c r="L141"/>
      <c r="M141"/>
      <c r="N141"/>
      <c r="O141"/>
    </row>
    <row r="142" spans="2:15" x14ac:dyDescent="0.3">
      <c r="B142"/>
      <c r="C142"/>
      <c r="D142"/>
      <c r="E142"/>
      <c r="F142"/>
      <c r="G142"/>
      <c r="I142"/>
      <c r="J142"/>
      <c r="L142"/>
      <c r="M142"/>
      <c r="N142"/>
      <c r="O142"/>
    </row>
    <row r="143" spans="2:15" x14ac:dyDescent="0.3">
      <c r="B143"/>
      <c r="C143"/>
      <c r="D143"/>
      <c r="E143"/>
      <c r="F143"/>
      <c r="G143"/>
      <c r="I143"/>
      <c r="J143"/>
      <c r="L143"/>
      <c r="M143"/>
      <c r="N143"/>
      <c r="O143"/>
    </row>
    <row r="144" spans="2:15" x14ac:dyDescent="0.3">
      <c r="B144"/>
      <c r="C144"/>
      <c r="D144"/>
      <c r="E144"/>
      <c r="F144"/>
      <c r="G144"/>
      <c r="I144"/>
      <c r="J144"/>
      <c r="L144"/>
      <c r="M144"/>
      <c r="N144"/>
      <c r="O144"/>
    </row>
    <row r="145" spans="2:15" x14ac:dyDescent="0.3">
      <c r="B145"/>
      <c r="C145"/>
      <c r="D145"/>
      <c r="E145"/>
      <c r="F145"/>
      <c r="G145"/>
      <c r="I145"/>
      <c r="J145"/>
      <c r="L145"/>
      <c r="M145"/>
      <c r="N145"/>
      <c r="O145"/>
    </row>
    <row r="146" spans="2:15" x14ac:dyDescent="0.3">
      <c r="B146"/>
      <c r="C146"/>
      <c r="D146"/>
      <c r="E146"/>
      <c r="F146"/>
      <c r="G146"/>
      <c r="I146"/>
      <c r="J146"/>
      <c r="L146"/>
      <c r="M146"/>
      <c r="N146"/>
      <c r="O146"/>
    </row>
    <row r="147" spans="2:15" x14ac:dyDescent="0.3">
      <c r="B147"/>
      <c r="C147"/>
      <c r="D147"/>
      <c r="E147"/>
      <c r="F147"/>
      <c r="G147"/>
      <c r="I147"/>
      <c r="J147"/>
      <c r="L147"/>
      <c r="M147"/>
      <c r="N147"/>
      <c r="O147"/>
    </row>
    <row r="148" spans="2:15" x14ac:dyDescent="0.3">
      <c r="B148"/>
      <c r="C148"/>
      <c r="D148"/>
      <c r="E148"/>
      <c r="F148"/>
      <c r="G148"/>
      <c r="I148"/>
      <c r="J148"/>
      <c r="L148"/>
      <c r="M148"/>
      <c r="N148"/>
      <c r="O148"/>
    </row>
    <row r="149" spans="2:15" x14ac:dyDescent="0.3">
      <c r="B149"/>
      <c r="C149"/>
      <c r="D149"/>
      <c r="E149"/>
      <c r="F149"/>
      <c r="G149"/>
      <c r="I149"/>
      <c r="J149"/>
      <c r="L149"/>
      <c r="M149"/>
      <c r="N149"/>
      <c r="O149"/>
    </row>
    <row r="150" spans="2:15" x14ac:dyDescent="0.3">
      <c r="B150"/>
      <c r="C150"/>
      <c r="D150"/>
      <c r="E150"/>
      <c r="F150"/>
      <c r="G150"/>
      <c r="I150"/>
      <c r="J150"/>
      <c r="L150"/>
      <c r="M150"/>
      <c r="N150"/>
      <c r="O150"/>
    </row>
    <row r="151" spans="2:15" x14ac:dyDescent="0.3">
      <c r="B151"/>
      <c r="C151"/>
      <c r="D151"/>
      <c r="E151"/>
      <c r="F151"/>
      <c r="G151"/>
      <c r="I151"/>
      <c r="J151"/>
      <c r="L151"/>
      <c r="M151"/>
      <c r="N151"/>
      <c r="O151"/>
    </row>
    <row r="152" spans="2:15" x14ac:dyDescent="0.3">
      <c r="B152"/>
      <c r="C152"/>
      <c r="D152"/>
      <c r="E152"/>
      <c r="F152"/>
      <c r="G152"/>
      <c r="I152"/>
      <c r="J152"/>
      <c r="L152"/>
      <c r="M152"/>
      <c r="N152"/>
      <c r="O152"/>
    </row>
    <row r="153" spans="2:15" x14ac:dyDescent="0.3">
      <c r="B153"/>
      <c r="C153"/>
      <c r="I153"/>
      <c r="J153"/>
      <c r="L153"/>
      <c r="M153"/>
      <c r="N153"/>
      <c r="O153"/>
    </row>
    <row r="154" spans="2:15" x14ac:dyDescent="0.3">
      <c r="B154"/>
      <c r="C154"/>
      <c r="I154"/>
      <c r="J154"/>
      <c r="L154"/>
      <c r="M154"/>
      <c r="N154"/>
      <c r="O154"/>
    </row>
    <row r="155" spans="2:15" x14ac:dyDescent="0.3">
      <c r="B155"/>
      <c r="C155"/>
      <c r="I155"/>
      <c r="J155"/>
      <c r="L155"/>
      <c r="M155"/>
      <c r="N155"/>
      <c r="O155"/>
    </row>
    <row r="156" spans="2:15" x14ac:dyDescent="0.3">
      <c r="B156"/>
      <c r="C156"/>
      <c r="I156"/>
      <c r="J156"/>
      <c r="L156"/>
      <c r="M156"/>
      <c r="N156"/>
      <c r="O156"/>
    </row>
    <row r="157" spans="2:15" x14ac:dyDescent="0.3">
      <c r="B157"/>
      <c r="C157"/>
      <c r="I157"/>
      <c r="J157"/>
      <c r="L157"/>
      <c r="M157"/>
      <c r="N157"/>
      <c r="O157"/>
    </row>
    <row r="158" spans="2:15" x14ac:dyDescent="0.3">
      <c r="B158"/>
      <c r="C158"/>
      <c r="I158"/>
      <c r="J158"/>
      <c r="L158"/>
      <c r="M158"/>
      <c r="N158"/>
      <c r="O158"/>
    </row>
    <row r="159" spans="2:15" x14ac:dyDescent="0.3">
      <c r="B159"/>
      <c r="C159"/>
      <c r="I159"/>
      <c r="J159"/>
      <c r="L159"/>
      <c r="M159"/>
      <c r="N159"/>
      <c r="O159"/>
    </row>
    <row r="160" spans="2:15" x14ac:dyDescent="0.3">
      <c r="B160"/>
      <c r="C160"/>
      <c r="I160"/>
      <c r="J160"/>
      <c r="L160"/>
      <c r="M160"/>
      <c r="N160"/>
      <c r="O160"/>
    </row>
    <row r="161" spans="2:15" x14ac:dyDescent="0.3">
      <c r="B161"/>
      <c r="C161"/>
      <c r="I161"/>
      <c r="J161"/>
      <c r="L161"/>
      <c r="M161"/>
      <c r="N161"/>
      <c r="O161"/>
    </row>
    <row r="162" spans="2:15" x14ac:dyDescent="0.3">
      <c r="B162"/>
      <c r="C162"/>
      <c r="I162"/>
      <c r="J162"/>
      <c r="L162"/>
      <c r="M162"/>
      <c r="N162"/>
      <c r="O162"/>
    </row>
    <row r="163" spans="2:15" x14ac:dyDescent="0.3">
      <c r="B163"/>
      <c r="C163"/>
      <c r="I163"/>
      <c r="J163"/>
      <c r="L163"/>
      <c r="M163"/>
      <c r="N163"/>
      <c r="O163"/>
    </row>
    <row r="164" spans="2:15" x14ac:dyDescent="0.3">
      <c r="B164"/>
      <c r="C164"/>
      <c r="I164"/>
      <c r="J164"/>
      <c r="L164"/>
      <c r="M164"/>
      <c r="N164"/>
      <c r="O164"/>
    </row>
    <row r="165" spans="2:15" x14ac:dyDescent="0.3">
      <c r="B165"/>
      <c r="C165"/>
      <c r="I165"/>
      <c r="J165"/>
      <c r="L165"/>
      <c r="M165"/>
      <c r="N165"/>
      <c r="O165"/>
    </row>
    <row r="166" spans="2:15" x14ac:dyDescent="0.3">
      <c r="B166"/>
      <c r="C166"/>
      <c r="I166"/>
      <c r="J166"/>
      <c r="L166"/>
      <c r="M166"/>
      <c r="N166"/>
      <c r="O166"/>
    </row>
    <row r="167" spans="2:15" x14ac:dyDescent="0.3">
      <c r="B167"/>
      <c r="C167"/>
      <c r="I167"/>
      <c r="J167"/>
      <c r="L167"/>
      <c r="M167"/>
      <c r="N167"/>
      <c r="O167"/>
    </row>
    <row r="168" spans="2:15" x14ac:dyDescent="0.3">
      <c r="B168"/>
      <c r="C168"/>
      <c r="L168"/>
      <c r="M168"/>
      <c r="N168"/>
      <c r="O168"/>
    </row>
    <row r="169" spans="2:15" x14ac:dyDescent="0.3">
      <c r="B169"/>
      <c r="C169"/>
      <c r="L169"/>
      <c r="M169"/>
      <c r="N169"/>
      <c r="O169"/>
    </row>
    <row r="170" spans="2:15" x14ac:dyDescent="0.3">
      <c r="B170"/>
      <c r="C170"/>
      <c r="L170"/>
      <c r="M170"/>
      <c r="N170"/>
      <c r="O170"/>
    </row>
    <row r="171" spans="2:15" x14ac:dyDescent="0.3">
      <c r="B171"/>
      <c r="C171"/>
      <c r="L171"/>
      <c r="M171"/>
      <c r="N171"/>
      <c r="O171"/>
    </row>
    <row r="172" spans="2:15" x14ac:dyDescent="0.3">
      <c r="B172"/>
      <c r="C172"/>
      <c r="L172"/>
      <c r="M172"/>
      <c r="N172"/>
      <c r="O172"/>
    </row>
    <row r="173" spans="2:15" x14ac:dyDescent="0.3">
      <c r="B173"/>
      <c r="C173"/>
      <c r="L173"/>
      <c r="M173"/>
      <c r="N173"/>
      <c r="O173"/>
    </row>
    <row r="174" spans="2:15" x14ac:dyDescent="0.3">
      <c r="B174"/>
      <c r="C174"/>
      <c r="L174"/>
      <c r="M174"/>
      <c r="N174"/>
      <c r="O174"/>
    </row>
    <row r="175" spans="2:15" x14ac:dyDescent="0.3">
      <c r="B175"/>
      <c r="C175"/>
      <c r="L175"/>
      <c r="M175"/>
      <c r="N175"/>
      <c r="O175"/>
    </row>
    <row r="176" spans="2:15" x14ac:dyDescent="0.3">
      <c r="B176"/>
      <c r="C176"/>
      <c r="L176"/>
      <c r="M176"/>
      <c r="N176"/>
      <c r="O176"/>
    </row>
    <row r="177" spans="2:15" x14ac:dyDescent="0.3">
      <c r="B177"/>
      <c r="C177"/>
      <c r="L177"/>
      <c r="M177"/>
      <c r="N177"/>
      <c r="O177"/>
    </row>
    <row r="178" spans="2:15" x14ac:dyDescent="0.3">
      <c r="B178"/>
      <c r="C178"/>
      <c r="L178"/>
      <c r="M178"/>
      <c r="N178"/>
      <c r="O178"/>
    </row>
    <row r="179" spans="2:15" x14ac:dyDescent="0.3">
      <c r="B179"/>
      <c r="C179"/>
      <c r="L179"/>
      <c r="M179"/>
      <c r="N179"/>
      <c r="O179"/>
    </row>
    <row r="180" spans="2:15" x14ac:dyDescent="0.3">
      <c r="B180"/>
      <c r="C180"/>
      <c r="L180"/>
      <c r="M180"/>
      <c r="N180"/>
      <c r="O180"/>
    </row>
    <row r="181" spans="2:15" x14ac:dyDescent="0.3">
      <c r="B181"/>
      <c r="C181"/>
      <c r="L181"/>
      <c r="M181"/>
      <c r="N181"/>
      <c r="O181"/>
    </row>
    <row r="182" spans="2:15" x14ac:dyDescent="0.3">
      <c r="B182"/>
      <c r="C182"/>
      <c r="L182"/>
      <c r="M182"/>
      <c r="N182"/>
      <c r="O182"/>
    </row>
    <row r="183" spans="2:15" x14ac:dyDescent="0.3">
      <c r="B183"/>
      <c r="C183"/>
      <c r="L183"/>
      <c r="M183"/>
      <c r="N183"/>
      <c r="O183"/>
    </row>
    <row r="184" spans="2:15" x14ac:dyDescent="0.3">
      <c r="B184"/>
      <c r="C184"/>
      <c r="L184"/>
      <c r="M184"/>
      <c r="N184"/>
      <c r="O184"/>
    </row>
    <row r="185" spans="2:15" x14ac:dyDescent="0.3">
      <c r="B185"/>
      <c r="C185"/>
      <c r="L185"/>
      <c r="M185"/>
      <c r="N185"/>
      <c r="O185"/>
    </row>
    <row r="186" spans="2:15" x14ac:dyDescent="0.3">
      <c r="B186"/>
      <c r="C186"/>
      <c r="L186"/>
      <c r="M186"/>
      <c r="N186"/>
      <c r="O186"/>
    </row>
    <row r="187" spans="2:15" x14ac:dyDescent="0.3">
      <c r="B187"/>
      <c r="C187"/>
      <c r="L187"/>
      <c r="M187"/>
      <c r="N187"/>
      <c r="O187"/>
    </row>
    <row r="188" spans="2:15" x14ac:dyDescent="0.3">
      <c r="B188"/>
      <c r="C188"/>
      <c r="L188"/>
      <c r="M188"/>
      <c r="N188"/>
      <c r="O188"/>
    </row>
    <row r="189" spans="2:15" x14ac:dyDescent="0.3">
      <c r="B189"/>
      <c r="C189"/>
      <c r="L189"/>
      <c r="M189"/>
      <c r="N189"/>
      <c r="O189"/>
    </row>
    <row r="190" spans="2:15" x14ac:dyDescent="0.3">
      <c r="B190"/>
      <c r="C190"/>
      <c r="L190"/>
      <c r="M190"/>
      <c r="N190"/>
      <c r="O190"/>
    </row>
    <row r="191" spans="2:15" x14ac:dyDescent="0.3">
      <c r="B191"/>
      <c r="C191"/>
      <c r="L191"/>
      <c r="M191"/>
      <c r="N191"/>
      <c r="O191"/>
    </row>
    <row r="192" spans="2:15" x14ac:dyDescent="0.3">
      <c r="B192"/>
      <c r="C192"/>
      <c r="L192"/>
      <c r="M192"/>
      <c r="N192"/>
      <c r="O192"/>
    </row>
    <row r="193" spans="2:15" x14ac:dyDescent="0.3">
      <c r="B193"/>
      <c r="C193"/>
      <c r="L193"/>
      <c r="M193"/>
      <c r="N193"/>
      <c r="O193"/>
    </row>
    <row r="194" spans="2:15" x14ac:dyDescent="0.3">
      <c r="B194"/>
      <c r="C194"/>
      <c r="L194"/>
      <c r="M194"/>
      <c r="N194"/>
      <c r="O194"/>
    </row>
    <row r="195" spans="2:15" x14ac:dyDescent="0.3">
      <c r="B195"/>
      <c r="C195"/>
      <c r="L195"/>
      <c r="M195"/>
      <c r="N195"/>
      <c r="O195"/>
    </row>
    <row r="196" spans="2:15" x14ac:dyDescent="0.3">
      <c r="B196"/>
      <c r="C196"/>
      <c r="L196"/>
      <c r="M196"/>
      <c r="N196"/>
      <c r="O196"/>
    </row>
    <row r="197" spans="2:15" x14ac:dyDescent="0.3">
      <c r="B197"/>
      <c r="C197"/>
      <c r="L197"/>
      <c r="M197"/>
      <c r="N197"/>
      <c r="O197"/>
    </row>
    <row r="198" spans="2:15" x14ac:dyDescent="0.3">
      <c r="B198"/>
      <c r="C198"/>
      <c r="L198"/>
      <c r="M198"/>
      <c r="N198"/>
      <c r="O198"/>
    </row>
    <row r="199" spans="2:15" x14ac:dyDescent="0.3">
      <c r="B199"/>
      <c r="C199"/>
      <c r="L199"/>
      <c r="M199"/>
      <c r="N199"/>
      <c r="O199"/>
    </row>
    <row r="200" spans="2:15" x14ac:dyDescent="0.3">
      <c r="B200"/>
      <c r="C200"/>
      <c r="L200"/>
      <c r="M200"/>
      <c r="N200"/>
      <c r="O200"/>
    </row>
    <row r="201" spans="2:15" x14ac:dyDescent="0.3">
      <c r="B201"/>
      <c r="C201"/>
      <c r="L201"/>
      <c r="M201"/>
      <c r="N201"/>
      <c r="O201"/>
    </row>
    <row r="202" spans="2:15" x14ac:dyDescent="0.3">
      <c r="B202"/>
      <c r="C202"/>
      <c r="L202"/>
      <c r="M202"/>
      <c r="N202"/>
      <c r="O202"/>
    </row>
    <row r="203" spans="2:15" x14ac:dyDescent="0.3">
      <c r="B203"/>
      <c r="C203"/>
      <c r="L203"/>
      <c r="M203"/>
      <c r="N203"/>
      <c r="O203"/>
    </row>
    <row r="204" spans="2:15" x14ac:dyDescent="0.3">
      <c r="B204"/>
      <c r="C204"/>
      <c r="L204"/>
      <c r="M204"/>
      <c r="N204"/>
      <c r="O204"/>
    </row>
    <row r="205" spans="2:15" x14ac:dyDescent="0.3">
      <c r="B205"/>
      <c r="C205"/>
      <c r="L205"/>
      <c r="M205"/>
      <c r="N205"/>
      <c r="O205"/>
    </row>
    <row r="206" spans="2:15" x14ac:dyDescent="0.3">
      <c r="B206"/>
      <c r="C206"/>
      <c r="L206"/>
      <c r="M206"/>
      <c r="N206"/>
      <c r="O206"/>
    </row>
    <row r="207" spans="2:15" x14ac:dyDescent="0.3">
      <c r="B207"/>
      <c r="C207"/>
      <c r="L207"/>
      <c r="M207"/>
      <c r="N207"/>
      <c r="O207"/>
    </row>
    <row r="208" spans="2:15" x14ac:dyDescent="0.3">
      <c r="B208"/>
      <c r="C208"/>
      <c r="L208"/>
      <c r="M208"/>
      <c r="N208"/>
      <c r="O208"/>
    </row>
    <row r="209" spans="2:15" x14ac:dyDescent="0.3">
      <c r="B209"/>
      <c r="C209"/>
      <c r="L209"/>
      <c r="M209"/>
      <c r="N209"/>
      <c r="O209"/>
    </row>
    <row r="210" spans="2:15" x14ac:dyDescent="0.3">
      <c r="B210"/>
      <c r="C210"/>
      <c r="L210"/>
      <c r="M210"/>
      <c r="N210"/>
      <c r="O210"/>
    </row>
    <row r="211" spans="2:15" x14ac:dyDescent="0.3">
      <c r="B211"/>
      <c r="C211"/>
      <c r="L211"/>
      <c r="M211"/>
      <c r="N211"/>
      <c r="O211"/>
    </row>
    <row r="212" spans="2:15" x14ac:dyDescent="0.3">
      <c r="B212"/>
      <c r="C212"/>
      <c r="L212"/>
      <c r="M212"/>
      <c r="N212"/>
      <c r="O212"/>
    </row>
    <row r="213" spans="2:15" x14ac:dyDescent="0.3">
      <c r="B213"/>
      <c r="C213"/>
      <c r="L213"/>
      <c r="M213"/>
      <c r="N213"/>
      <c r="O213"/>
    </row>
    <row r="214" spans="2:15" x14ac:dyDescent="0.3">
      <c r="B214"/>
      <c r="C214"/>
      <c r="L214"/>
      <c r="M214"/>
      <c r="N214"/>
      <c r="O214"/>
    </row>
    <row r="215" spans="2:15" x14ac:dyDescent="0.3">
      <c r="B215"/>
      <c r="C215"/>
      <c r="L215"/>
      <c r="M215"/>
      <c r="N215"/>
      <c r="O215"/>
    </row>
    <row r="216" spans="2:15" x14ac:dyDescent="0.3">
      <c r="B216"/>
      <c r="C216"/>
      <c r="L216"/>
      <c r="M216"/>
      <c r="N216"/>
      <c r="O216"/>
    </row>
    <row r="217" spans="2:15" x14ac:dyDescent="0.3">
      <c r="B217"/>
      <c r="C217"/>
      <c r="L217"/>
      <c r="M217"/>
      <c r="N217"/>
      <c r="O217"/>
    </row>
    <row r="218" spans="2:15" x14ac:dyDescent="0.3">
      <c r="B218"/>
      <c r="C218"/>
      <c r="L218"/>
      <c r="M218"/>
      <c r="N218"/>
      <c r="O218"/>
    </row>
    <row r="219" spans="2:15" x14ac:dyDescent="0.3">
      <c r="B219"/>
      <c r="C219"/>
      <c r="L219"/>
      <c r="M219"/>
      <c r="N219"/>
      <c r="O219"/>
    </row>
    <row r="220" spans="2:15" x14ac:dyDescent="0.3">
      <c r="B220"/>
      <c r="C220"/>
      <c r="L220"/>
      <c r="M220"/>
      <c r="N220"/>
      <c r="O220"/>
    </row>
    <row r="221" spans="2:15" x14ac:dyDescent="0.3">
      <c r="B221"/>
      <c r="C221"/>
      <c r="L221"/>
      <c r="M221"/>
      <c r="N221"/>
      <c r="O221"/>
    </row>
    <row r="222" spans="2:15" x14ac:dyDescent="0.3">
      <c r="B222"/>
      <c r="C222"/>
      <c r="L222"/>
      <c r="M222"/>
      <c r="N222"/>
      <c r="O222"/>
    </row>
    <row r="223" spans="2:15" x14ac:dyDescent="0.3">
      <c r="B223"/>
      <c r="C223"/>
      <c r="L223"/>
      <c r="M223"/>
      <c r="N223"/>
      <c r="O223"/>
    </row>
    <row r="224" spans="2:15" x14ac:dyDescent="0.3">
      <c r="B224"/>
      <c r="C224"/>
      <c r="L224"/>
      <c r="M224"/>
      <c r="N224"/>
      <c r="O224"/>
    </row>
    <row r="225" spans="2:15" x14ac:dyDescent="0.3">
      <c r="B225"/>
      <c r="C225"/>
      <c r="L225"/>
      <c r="M225"/>
      <c r="N225"/>
      <c r="O225"/>
    </row>
    <row r="226" spans="2:15" x14ac:dyDescent="0.3">
      <c r="B226"/>
      <c r="C226"/>
      <c r="L226"/>
      <c r="M226"/>
      <c r="N226"/>
      <c r="O226"/>
    </row>
    <row r="227" spans="2:15" x14ac:dyDescent="0.3">
      <c r="B227"/>
      <c r="C227"/>
      <c r="L227"/>
      <c r="M227"/>
      <c r="N227"/>
      <c r="O227"/>
    </row>
    <row r="228" spans="2:15" x14ac:dyDescent="0.3">
      <c r="B228"/>
      <c r="C228"/>
      <c r="L228"/>
      <c r="M228"/>
      <c r="N228"/>
      <c r="O228"/>
    </row>
    <row r="229" spans="2:15" x14ac:dyDescent="0.3">
      <c r="B229"/>
      <c r="C229"/>
      <c r="L229"/>
      <c r="M229"/>
      <c r="N229"/>
      <c r="O229"/>
    </row>
    <row r="230" spans="2:15" x14ac:dyDescent="0.3">
      <c r="B230"/>
      <c r="C230"/>
      <c r="L230"/>
      <c r="M230"/>
      <c r="N230"/>
      <c r="O230"/>
    </row>
    <row r="231" spans="2:15" x14ac:dyDescent="0.3">
      <c r="B231"/>
      <c r="C231"/>
      <c r="L231"/>
      <c r="M231"/>
      <c r="N231"/>
      <c r="O231"/>
    </row>
    <row r="232" spans="2:15" x14ac:dyDescent="0.3">
      <c r="B232"/>
      <c r="C232"/>
      <c r="L232"/>
      <c r="M232"/>
      <c r="N232"/>
      <c r="O232"/>
    </row>
    <row r="233" spans="2:15" x14ac:dyDescent="0.3">
      <c r="B233"/>
      <c r="C233"/>
      <c r="L233"/>
      <c r="M233"/>
      <c r="N233"/>
      <c r="O233"/>
    </row>
    <row r="234" spans="2:15" x14ac:dyDescent="0.3">
      <c r="B234"/>
      <c r="C234"/>
      <c r="L234"/>
      <c r="M234"/>
      <c r="N234"/>
      <c r="O234"/>
    </row>
    <row r="235" spans="2:15" x14ac:dyDescent="0.3">
      <c r="B235"/>
      <c r="C235"/>
      <c r="L235"/>
      <c r="M235"/>
      <c r="N235"/>
      <c r="O235"/>
    </row>
    <row r="236" spans="2:15" x14ac:dyDescent="0.3">
      <c r="B236"/>
      <c r="C236"/>
      <c r="L236"/>
      <c r="M236"/>
      <c r="N236"/>
      <c r="O236"/>
    </row>
    <row r="237" spans="2:15" x14ac:dyDescent="0.3">
      <c r="B237"/>
      <c r="C237"/>
      <c r="L237"/>
      <c r="M237"/>
      <c r="N237"/>
      <c r="O237"/>
    </row>
    <row r="238" spans="2:15" x14ac:dyDescent="0.3">
      <c r="B238"/>
      <c r="C238"/>
      <c r="L238"/>
      <c r="M238"/>
      <c r="N238"/>
      <c r="O238"/>
    </row>
    <row r="239" spans="2:15" x14ac:dyDescent="0.3">
      <c r="B239"/>
      <c r="C239"/>
      <c r="L239"/>
      <c r="M239"/>
      <c r="N239"/>
      <c r="O239"/>
    </row>
    <row r="240" spans="2:15" x14ac:dyDescent="0.3">
      <c r="B240"/>
      <c r="C240"/>
      <c r="L240"/>
      <c r="M240"/>
      <c r="N240"/>
      <c r="O240"/>
    </row>
    <row r="241" spans="2:15" x14ac:dyDescent="0.3">
      <c r="B241"/>
      <c r="C241"/>
      <c r="L241"/>
      <c r="M241"/>
      <c r="N241"/>
      <c r="O241"/>
    </row>
    <row r="242" spans="2:15" x14ac:dyDescent="0.3">
      <c r="B242"/>
      <c r="C242"/>
      <c r="L242"/>
      <c r="M242"/>
      <c r="N242"/>
      <c r="O242"/>
    </row>
    <row r="243" spans="2:15" x14ac:dyDescent="0.3">
      <c r="B243"/>
      <c r="C243"/>
      <c r="L243"/>
      <c r="M243"/>
      <c r="N243"/>
      <c r="O243"/>
    </row>
    <row r="244" spans="2:15" x14ac:dyDescent="0.3">
      <c r="B244"/>
      <c r="C244"/>
      <c r="L244"/>
      <c r="M244"/>
      <c r="N244"/>
      <c r="O244"/>
    </row>
    <row r="245" spans="2:15" x14ac:dyDescent="0.3">
      <c r="B245"/>
      <c r="C245"/>
      <c r="L245"/>
      <c r="M245"/>
      <c r="N245"/>
      <c r="O245"/>
    </row>
    <row r="246" spans="2:15" x14ac:dyDescent="0.3">
      <c r="B246"/>
      <c r="C246"/>
      <c r="L246"/>
      <c r="M246"/>
      <c r="N246"/>
      <c r="O246"/>
    </row>
    <row r="247" spans="2:15" x14ac:dyDescent="0.3">
      <c r="B247"/>
      <c r="C247"/>
      <c r="L247"/>
      <c r="M247"/>
      <c r="N247"/>
      <c r="O247"/>
    </row>
    <row r="248" spans="2:15" x14ac:dyDescent="0.3">
      <c r="B248"/>
      <c r="C248"/>
      <c r="L248"/>
      <c r="M248"/>
      <c r="N248"/>
      <c r="O248"/>
    </row>
    <row r="249" spans="2:15" x14ac:dyDescent="0.3">
      <c r="B249"/>
      <c r="C249"/>
      <c r="L249"/>
      <c r="M249"/>
      <c r="N249"/>
      <c r="O249"/>
    </row>
    <row r="250" spans="2:15" x14ac:dyDescent="0.3">
      <c r="B250"/>
      <c r="C250"/>
      <c r="L250"/>
      <c r="M250"/>
      <c r="N250"/>
      <c r="O250"/>
    </row>
    <row r="251" spans="2:15" x14ac:dyDescent="0.3">
      <c r="B251"/>
      <c r="C251"/>
      <c r="L251"/>
      <c r="M251"/>
      <c r="N251"/>
      <c r="O251"/>
    </row>
    <row r="252" spans="2:15" x14ac:dyDescent="0.3">
      <c r="B252"/>
      <c r="C252"/>
      <c r="L252"/>
      <c r="M252"/>
      <c r="N252"/>
      <c r="O252"/>
    </row>
    <row r="253" spans="2:15" x14ac:dyDescent="0.3">
      <c r="B253"/>
      <c r="C253"/>
      <c r="L253"/>
      <c r="M253"/>
      <c r="N253"/>
      <c r="O253"/>
    </row>
    <row r="254" spans="2:15" x14ac:dyDescent="0.3">
      <c r="B254"/>
      <c r="C254"/>
      <c r="L254"/>
      <c r="M254"/>
      <c r="N254"/>
      <c r="O254"/>
    </row>
    <row r="255" spans="2:15" x14ac:dyDescent="0.3">
      <c r="B255"/>
      <c r="C255"/>
      <c r="L255"/>
      <c r="M255"/>
      <c r="N255"/>
      <c r="O255"/>
    </row>
    <row r="256" spans="2:15" x14ac:dyDescent="0.3">
      <c r="B256"/>
      <c r="C256"/>
      <c r="L256"/>
      <c r="M256"/>
      <c r="N256"/>
      <c r="O256"/>
    </row>
    <row r="257" spans="2:15" x14ac:dyDescent="0.3">
      <c r="B257"/>
      <c r="C257"/>
      <c r="L257"/>
      <c r="M257"/>
      <c r="N257"/>
      <c r="O257"/>
    </row>
    <row r="258" spans="2:15" x14ac:dyDescent="0.3">
      <c r="B258"/>
      <c r="C258"/>
      <c r="L258"/>
      <c r="M258"/>
      <c r="N258"/>
      <c r="O258"/>
    </row>
    <row r="259" spans="2:15" x14ac:dyDescent="0.3">
      <c r="B259"/>
      <c r="C259"/>
      <c r="L259"/>
      <c r="M259"/>
      <c r="N259"/>
      <c r="O259"/>
    </row>
    <row r="260" spans="2:15" x14ac:dyDescent="0.3">
      <c r="B260"/>
      <c r="C260"/>
      <c r="L260"/>
      <c r="M260"/>
      <c r="N260"/>
      <c r="O260"/>
    </row>
    <row r="261" spans="2:15" x14ac:dyDescent="0.3">
      <c r="B261"/>
      <c r="C261"/>
      <c r="L261"/>
      <c r="M261"/>
      <c r="N261"/>
      <c r="O261"/>
    </row>
    <row r="262" spans="2:15" x14ac:dyDescent="0.3">
      <c r="B262"/>
      <c r="C262"/>
      <c r="L262"/>
      <c r="M262"/>
      <c r="N262"/>
      <c r="O262"/>
    </row>
    <row r="263" spans="2:15" x14ac:dyDescent="0.3">
      <c r="B263"/>
      <c r="C263"/>
      <c r="L263"/>
      <c r="M263"/>
      <c r="N263"/>
      <c r="O263"/>
    </row>
    <row r="264" spans="2:15" x14ac:dyDescent="0.3">
      <c r="B264"/>
      <c r="C264"/>
      <c r="L264"/>
      <c r="M264"/>
      <c r="N264"/>
      <c r="O264"/>
    </row>
    <row r="265" spans="2:15" x14ac:dyDescent="0.3">
      <c r="B265"/>
      <c r="C265"/>
      <c r="L265"/>
      <c r="M265"/>
      <c r="N265"/>
      <c r="O265"/>
    </row>
    <row r="266" spans="2:15" x14ac:dyDescent="0.3">
      <c r="B266"/>
      <c r="C266"/>
      <c r="L266"/>
      <c r="M266"/>
      <c r="N266"/>
      <c r="O266"/>
    </row>
    <row r="267" spans="2:15" x14ac:dyDescent="0.3">
      <c r="B267"/>
      <c r="C267"/>
      <c r="L267"/>
      <c r="M267"/>
      <c r="N267"/>
      <c r="O267"/>
    </row>
    <row r="268" spans="2:15" x14ac:dyDescent="0.3">
      <c r="B268"/>
      <c r="C268"/>
      <c r="L268"/>
      <c r="M268"/>
      <c r="N268"/>
      <c r="O268"/>
    </row>
    <row r="269" spans="2:15" x14ac:dyDescent="0.3">
      <c r="B269"/>
      <c r="C269"/>
      <c r="L269"/>
      <c r="M269"/>
      <c r="N269"/>
      <c r="O269"/>
    </row>
    <row r="270" spans="2:15" x14ac:dyDescent="0.3">
      <c r="B270"/>
      <c r="C270"/>
      <c r="L270"/>
      <c r="M270"/>
      <c r="N270"/>
      <c r="O270"/>
    </row>
    <row r="271" spans="2:15" x14ac:dyDescent="0.3">
      <c r="B271"/>
      <c r="C271"/>
      <c r="L271"/>
      <c r="M271"/>
      <c r="N271"/>
      <c r="O271"/>
    </row>
    <row r="272" spans="2:15" x14ac:dyDescent="0.3">
      <c r="B272"/>
      <c r="C272"/>
      <c r="L272"/>
      <c r="M272"/>
      <c r="N272"/>
      <c r="O272"/>
    </row>
    <row r="273" spans="2:15" x14ac:dyDescent="0.3">
      <c r="B273"/>
      <c r="C273"/>
      <c r="L273"/>
      <c r="M273"/>
      <c r="N273"/>
      <c r="O273"/>
    </row>
    <row r="274" spans="2:15" x14ac:dyDescent="0.3">
      <c r="B274"/>
      <c r="C274"/>
      <c r="L274"/>
      <c r="M274"/>
      <c r="N274"/>
      <c r="O274"/>
    </row>
    <row r="275" spans="2:15" x14ac:dyDescent="0.3">
      <c r="B275"/>
      <c r="C275"/>
      <c r="L275"/>
      <c r="M275"/>
      <c r="N275"/>
      <c r="O275"/>
    </row>
    <row r="276" spans="2:15" x14ac:dyDescent="0.3">
      <c r="B276"/>
      <c r="C276"/>
      <c r="L276"/>
      <c r="M276"/>
      <c r="N276"/>
      <c r="O276"/>
    </row>
    <row r="277" spans="2:15" x14ac:dyDescent="0.3">
      <c r="B277"/>
      <c r="C277"/>
      <c r="L277"/>
      <c r="M277"/>
      <c r="N277"/>
      <c r="O277"/>
    </row>
    <row r="278" spans="2:15" x14ac:dyDescent="0.3">
      <c r="B278"/>
      <c r="C278"/>
      <c r="L278"/>
      <c r="M278"/>
      <c r="N278"/>
      <c r="O278"/>
    </row>
    <row r="279" spans="2:15" x14ac:dyDescent="0.3">
      <c r="B279"/>
      <c r="C279"/>
      <c r="L279"/>
      <c r="M279"/>
      <c r="N279"/>
      <c r="O279"/>
    </row>
    <row r="280" spans="2:15" x14ac:dyDescent="0.3">
      <c r="B280"/>
      <c r="C280"/>
      <c r="L280"/>
      <c r="M280"/>
      <c r="N280"/>
      <c r="O280"/>
    </row>
    <row r="281" spans="2:15" x14ac:dyDescent="0.3">
      <c r="B281"/>
      <c r="C281"/>
      <c r="L281"/>
      <c r="M281"/>
      <c r="N281"/>
      <c r="O281"/>
    </row>
    <row r="282" spans="2:15" x14ac:dyDescent="0.3">
      <c r="B282"/>
      <c r="C282"/>
      <c r="L282"/>
      <c r="M282"/>
      <c r="N282"/>
      <c r="O282"/>
    </row>
    <row r="283" spans="2:15" x14ac:dyDescent="0.3">
      <c r="B283"/>
      <c r="C283"/>
      <c r="L283"/>
      <c r="M283"/>
      <c r="N283"/>
      <c r="O283"/>
    </row>
    <row r="284" spans="2:15" x14ac:dyDescent="0.3">
      <c r="B284"/>
      <c r="C284"/>
      <c r="L284"/>
      <c r="M284"/>
      <c r="N284"/>
      <c r="O284"/>
    </row>
    <row r="285" spans="2:15" x14ac:dyDescent="0.3">
      <c r="B285"/>
      <c r="C285"/>
      <c r="L285"/>
      <c r="M285"/>
      <c r="N285"/>
      <c r="O285"/>
    </row>
    <row r="286" spans="2:15" x14ac:dyDescent="0.3">
      <c r="B286"/>
      <c r="C286"/>
      <c r="L286"/>
      <c r="M286"/>
      <c r="N286"/>
      <c r="O286"/>
    </row>
    <row r="287" spans="2:15" x14ac:dyDescent="0.3">
      <c r="B287"/>
      <c r="C287"/>
      <c r="L287"/>
      <c r="M287"/>
      <c r="N287"/>
      <c r="O287"/>
    </row>
    <row r="288" spans="2:15" x14ac:dyDescent="0.3">
      <c r="B288"/>
      <c r="C288"/>
      <c r="L288"/>
      <c r="M288"/>
      <c r="N288"/>
      <c r="O288"/>
    </row>
    <row r="289" spans="2:15" x14ac:dyDescent="0.3">
      <c r="B289"/>
      <c r="C289"/>
      <c r="L289"/>
      <c r="M289"/>
      <c r="N289"/>
      <c r="O289"/>
    </row>
    <row r="290" spans="2:15" x14ac:dyDescent="0.3">
      <c r="B290"/>
      <c r="C290"/>
      <c r="L290"/>
      <c r="M290"/>
      <c r="N290"/>
      <c r="O290"/>
    </row>
    <row r="291" spans="2:15" x14ac:dyDescent="0.3">
      <c r="B291"/>
      <c r="C291"/>
      <c r="L291"/>
      <c r="M291"/>
      <c r="N291"/>
      <c r="O291"/>
    </row>
    <row r="292" spans="2:15" x14ac:dyDescent="0.3">
      <c r="B292"/>
      <c r="C292"/>
      <c r="L292"/>
      <c r="M292"/>
      <c r="N292"/>
      <c r="O292"/>
    </row>
    <row r="293" spans="2:15" x14ac:dyDescent="0.3">
      <c r="B293"/>
      <c r="C293"/>
      <c r="L293"/>
      <c r="M293"/>
      <c r="N293"/>
      <c r="O293"/>
    </row>
    <row r="294" spans="2:15" x14ac:dyDescent="0.3">
      <c r="B294"/>
      <c r="C294"/>
      <c r="L294"/>
      <c r="M294"/>
      <c r="N294"/>
      <c r="O294"/>
    </row>
    <row r="295" spans="2:15" x14ac:dyDescent="0.3">
      <c r="B295"/>
      <c r="C295"/>
      <c r="L295"/>
      <c r="M295"/>
      <c r="N295"/>
      <c r="O295"/>
    </row>
    <row r="296" spans="2:15" x14ac:dyDescent="0.3">
      <c r="B296"/>
      <c r="C296"/>
      <c r="L296"/>
      <c r="M296"/>
      <c r="N296"/>
      <c r="O296"/>
    </row>
    <row r="297" spans="2:15" x14ac:dyDescent="0.3">
      <c r="B297"/>
      <c r="C297"/>
      <c r="L297"/>
      <c r="M297"/>
      <c r="N297"/>
      <c r="O297"/>
    </row>
    <row r="298" spans="2:15" x14ac:dyDescent="0.3">
      <c r="B298"/>
      <c r="C298"/>
      <c r="L298"/>
      <c r="M298"/>
      <c r="N298"/>
      <c r="O298"/>
    </row>
    <row r="299" spans="2:15" x14ac:dyDescent="0.3">
      <c r="B299"/>
      <c r="C299"/>
      <c r="L299"/>
      <c r="M299"/>
      <c r="N299"/>
      <c r="O299"/>
    </row>
    <row r="300" spans="2:15" x14ac:dyDescent="0.3">
      <c r="B300"/>
      <c r="C300"/>
      <c r="L300"/>
      <c r="M300"/>
      <c r="N300"/>
      <c r="O300"/>
    </row>
    <row r="301" spans="2:15" x14ac:dyDescent="0.3">
      <c r="B301"/>
      <c r="C301"/>
      <c r="L301"/>
      <c r="M301"/>
      <c r="N301"/>
      <c r="O301"/>
    </row>
    <row r="302" spans="2:15" x14ac:dyDescent="0.3">
      <c r="B302"/>
      <c r="C302"/>
      <c r="L302"/>
      <c r="M302"/>
      <c r="N302"/>
      <c r="O302"/>
    </row>
    <row r="303" spans="2:15" x14ac:dyDescent="0.3">
      <c r="B303"/>
      <c r="C303"/>
      <c r="L303"/>
      <c r="M303"/>
      <c r="N303"/>
      <c r="O303"/>
    </row>
    <row r="304" spans="2:15" x14ac:dyDescent="0.3">
      <c r="B304"/>
      <c r="C304"/>
      <c r="L304"/>
      <c r="M304"/>
      <c r="N304"/>
      <c r="O304"/>
    </row>
    <row r="305" spans="2:15" x14ac:dyDescent="0.3">
      <c r="B305"/>
      <c r="C305"/>
      <c r="L305"/>
      <c r="M305"/>
      <c r="N305"/>
      <c r="O305"/>
    </row>
    <row r="306" spans="2:15" x14ac:dyDescent="0.3">
      <c r="B306"/>
      <c r="C306"/>
      <c r="L306"/>
      <c r="M306"/>
      <c r="N306"/>
      <c r="O306"/>
    </row>
    <row r="307" spans="2:15" x14ac:dyDescent="0.3">
      <c r="B307"/>
      <c r="C307"/>
      <c r="L307"/>
      <c r="M307"/>
      <c r="N307"/>
      <c r="O307"/>
    </row>
    <row r="308" spans="2:15" x14ac:dyDescent="0.3">
      <c r="B308"/>
      <c r="C308"/>
      <c r="L308"/>
      <c r="M308"/>
      <c r="N308"/>
      <c r="O308"/>
    </row>
    <row r="309" spans="2:15" x14ac:dyDescent="0.3">
      <c r="B309"/>
      <c r="C309"/>
      <c r="L309"/>
      <c r="M309"/>
      <c r="N309"/>
      <c r="O309"/>
    </row>
    <row r="310" spans="2:15" x14ac:dyDescent="0.3">
      <c r="B310"/>
      <c r="C310"/>
      <c r="L310"/>
      <c r="M310"/>
      <c r="N310"/>
      <c r="O310"/>
    </row>
    <row r="311" spans="2:15" x14ac:dyDescent="0.3">
      <c r="B311"/>
      <c r="C311"/>
      <c r="L311"/>
      <c r="M311"/>
      <c r="N311"/>
      <c r="O311"/>
    </row>
    <row r="312" spans="2:15" x14ac:dyDescent="0.3">
      <c r="B312"/>
      <c r="C312"/>
      <c r="L312"/>
      <c r="M312"/>
      <c r="N312"/>
      <c r="O312"/>
    </row>
    <row r="313" spans="2:15" x14ac:dyDescent="0.3">
      <c r="B313"/>
      <c r="C313"/>
      <c r="L313"/>
      <c r="M313"/>
      <c r="N313"/>
      <c r="O313"/>
    </row>
    <row r="314" spans="2:15" x14ac:dyDescent="0.3">
      <c r="B314"/>
      <c r="C314"/>
      <c r="L314"/>
      <c r="M314"/>
      <c r="N314"/>
      <c r="O314"/>
    </row>
    <row r="315" spans="2:15" x14ac:dyDescent="0.3">
      <c r="B315"/>
      <c r="C315"/>
      <c r="L315"/>
      <c r="M315"/>
      <c r="N315"/>
      <c r="O315"/>
    </row>
    <row r="316" spans="2:15" x14ac:dyDescent="0.3">
      <c r="B316"/>
      <c r="C316"/>
      <c r="L316"/>
      <c r="M316"/>
      <c r="N316"/>
      <c r="O316"/>
    </row>
    <row r="317" spans="2:15" x14ac:dyDescent="0.3">
      <c r="B317"/>
      <c r="C317"/>
      <c r="L317"/>
      <c r="M317"/>
      <c r="N317"/>
      <c r="O317"/>
    </row>
    <row r="318" spans="2:15" x14ac:dyDescent="0.3">
      <c r="B318"/>
      <c r="C318"/>
      <c r="L318"/>
      <c r="M318"/>
      <c r="N318"/>
      <c r="O318"/>
    </row>
    <row r="319" spans="2:15" x14ac:dyDescent="0.3">
      <c r="B319"/>
      <c r="C319"/>
      <c r="L319"/>
      <c r="M319"/>
      <c r="N319"/>
      <c r="O319"/>
    </row>
    <row r="320" spans="2:15" x14ac:dyDescent="0.3">
      <c r="B320"/>
      <c r="C320"/>
      <c r="L320"/>
      <c r="M320"/>
      <c r="N320"/>
      <c r="O320"/>
    </row>
    <row r="321" spans="2:15" x14ac:dyDescent="0.3">
      <c r="B321"/>
      <c r="C321"/>
      <c r="L321"/>
      <c r="M321"/>
      <c r="N321"/>
      <c r="O321"/>
    </row>
    <row r="322" spans="2:15" x14ac:dyDescent="0.3">
      <c r="B322"/>
      <c r="C322"/>
      <c r="L322"/>
      <c r="M322"/>
      <c r="N322"/>
      <c r="O322"/>
    </row>
    <row r="323" spans="2:15" x14ac:dyDescent="0.3">
      <c r="B323"/>
      <c r="C323"/>
      <c r="L323"/>
      <c r="M323"/>
      <c r="N323"/>
      <c r="O323"/>
    </row>
    <row r="324" spans="2:15" x14ac:dyDescent="0.3">
      <c r="B324"/>
      <c r="C324"/>
      <c r="L324"/>
      <c r="M324"/>
      <c r="N324"/>
      <c r="O324"/>
    </row>
    <row r="325" spans="2:15" x14ac:dyDescent="0.3">
      <c r="B325"/>
      <c r="C325"/>
      <c r="L325"/>
      <c r="M325"/>
      <c r="N325"/>
      <c r="O325"/>
    </row>
    <row r="326" spans="2:15" x14ac:dyDescent="0.3">
      <c r="B326"/>
      <c r="C326"/>
      <c r="L326"/>
      <c r="M326"/>
      <c r="N326"/>
      <c r="O326"/>
    </row>
    <row r="327" spans="2:15" x14ac:dyDescent="0.3">
      <c r="B327"/>
      <c r="C327"/>
      <c r="L327"/>
      <c r="M327"/>
      <c r="N327"/>
      <c r="O327"/>
    </row>
    <row r="328" spans="2:15" x14ac:dyDescent="0.3">
      <c r="B328"/>
      <c r="C328"/>
      <c r="L328"/>
      <c r="M328"/>
      <c r="N328"/>
      <c r="O328"/>
    </row>
    <row r="329" spans="2:15" x14ac:dyDescent="0.3">
      <c r="B329"/>
      <c r="C329"/>
      <c r="L329"/>
      <c r="M329"/>
      <c r="N329"/>
      <c r="O329"/>
    </row>
    <row r="330" spans="2:15" x14ac:dyDescent="0.3">
      <c r="B330"/>
      <c r="C330"/>
      <c r="L330"/>
      <c r="M330"/>
      <c r="N330"/>
      <c r="O330"/>
    </row>
    <row r="331" spans="2:15" x14ac:dyDescent="0.3">
      <c r="B331"/>
      <c r="C331"/>
      <c r="L331"/>
      <c r="M331"/>
      <c r="N331"/>
      <c r="O331"/>
    </row>
    <row r="332" spans="2:15" x14ac:dyDescent="0.3">
      <c r="B332"/>
      <c r="C332"/>
      <c r="L332"/>
      <c r="M332"/>
      <c r="N332"/>
      <c r="O332"/>
    </row>
    <row r="333" spans="2:15" x14ac:dyDescent="0.3">
      <c r="B333"/>
      <c r="C333"/>
      <c r="L333"/>
      <c r="M333"/>
      <c r="N333"/>
      <c r="O333"/>
    </row>
    <row r="334" spans="2:15" x14ac:dyDescent="0.3">
      <c r="B334"/>
      <c r="C334"/>
      <c r="L334"/>
      <c r="M334"/>
      <c r="N334"/>
      <c r="O334"/>
    </row>
    <row r="335" spans="2:15" x14ac:dyDescent="0.3">
      <c r="B335"/>
      <c r="C335"/>
      <c r="L335"/>
      <c r="M335"/>
      <c r="N335"/>
      <c r="O335"/>
    </row>
    <row r="336" spans="2:15" x14ac:dyDescent="0.3">
      <c r="B336"/>
      <c r="C336"/>
      <c r="L336"/>
      <c r="M336"/>
      <c r="N336"/>
      <c r="O336"/>
    </row>
    <row r="337" spans="2:15" x14ac:dyDescent="0.3">
      <c r="B337"/>
      <c r="C337"/>
      <c r="L337"/>
      <c r="M337"/>
      <c r="N337"/>
      <c r="O337"/>
    </row>
    <row r="338" spans="2:15" x14ac:dyDescent="0.3">
      <c r="B338"/>
      <c r="C338"/>
      <c r="L338"/>
      <c r="M338"/>
      <c r="N338"/>
      <c r="O338"/>
    </row>
    <row r="339" spans="2:15" x14ac:dyDescent="0.3">
      <c r="B339"/>
      <c r="C339"/>
      <c r="L339"/>
      <c r="M339"/>
      <c r="N339"/>
      <c r="O339"/>
    </row>
    <row r="340" spans="2:15" x14ac:dyDescent="0.3">
      <c r="B340"/>
      <c r="C340"/>
      <c r="L340"/>
      <c r="M340"/>
      <c r="N340"/>
      <c r="O340"/>
    </row>
    <row r="341" spans="2:15" x14ac:dyDescent="0.3">
      <c r="B341"/>
      <c r="C341"/>
      <c r="L341"/>
      <c r="M341"/>
      <c r="N341"/>
      <c r="O341"/>
    </row>
    <row r="342" spans="2:15" x14ac:dyDescent="0.3">
      <c r="B342"/>
      <c r="C342"/>
      <c r="L342"/>
      <c r="M342"/>
      <c r="N342"/>
      <c r="O342"/>
    </row>
    <row r="343" spans="2:15" x14ac:dyDescent="0.3">
      <c r="B343"/>
      <c r="C343"/>
      <c r="L343"/>
      <c r="M343"/>
      <c r="N343"/>
      <c r="O343"/>
    </row>
    <row r="344" spans="2:15" x14ac:dyDescent="0.3">
      <c r="B344"/>
      <c r="C344"/>
      <c r="L344"/>
      <c r="M344"/>
      <c r="N344"/>
      <c r="O344"/>
    </row>
    <row r="345" spans="2:15" x14ac:dyDescent="0.3">
      <c r="B345"/>
      <c r="C345"/>
      <c r="L345"/>
      <c r="M345"/>
      <c r="N345"/>
      <c r="O345"/>
    </row>
    <row r="346" spans="2:15" x14ac:dyDescent="0.3">
      <c r="B346"/>
      <c r="C346"/>
      <c r="L346"/>
      <c r="M346"/>
      <c r="N346"/>
      <c r="O346"/>
    </row>
    <row r="347" spans="2:15" x14ac:dyDescent="0.3">
      <c r="B347"/>
      <c r="C347"/>
      <c r="L347"/>
      <c r="M347"/>
      <c r="N347"/>
      <c r="O347"/>
    </row>
    <row r="348" spans="2:15" x14ac:dyDescent="0.3">
      <c r="B348"/>
      <c r="C348"/>
      <c r="L348"/>
      <c r="M348"/>
      <c r="N348"/>
      <c r="O348"/>
    </row>
    <row r="349" spans="2:15" x14ac:dyDescent="0.3">
      <c r="B349"/>
      <c r="C349"/>
      <c r="L349"/>
      <c r="M349"/>
      <c r="N349"/>
      <c r="O349"/>
    </row>
    <row r="350" spans="2:15" x14ac:dyDescent="0.3">
      <c r="B350"/>
      <c r="C350"/>
      <c r="L350"/>
      <c r="M350"/>
      <c r="N350"/>
      <c r="O350"/>
    </row>
    <row r="351" spans="2:15" x14ac:dyDescent="0.3">
      <c r="B351"/>
      <c r="C351"/>
      <c r="L351"/>
      <c r="M351"/>
      <c r="N351"/>
      <c r="O351"/>
    </row>
    <row r="352" spans="2:15" x14ac:dyDescent="0.3">
      <c r="B352"/>
      <c r="C352"/>
      <c r="L352"/>
      <c r="M352"/>
      <c r="N352"/>
      <c r="O352"/>
    </row>
    <row r="353" spans="2:15" x14ac:dyDescent="0.3">
      <c r="B353"/>
      <c r="C353"/>
      <c r="L353"/>
      <c r="M353"/>
      <c r="N353"/>
      <c r="O353"/>
    </row>
    <row r="354" spans="2:15" x14ac:dyDescent="0.3">
      <c r="B354"/>
      <c r="C354"/>
      <c r="L354"/>
      <c r="M354"/>
      <c r="N354"/>
      <c r="O354"/>
    </row>
    <row r="355" spans="2:15" x14ac:dyDescent="0.3">
      <c r="B355"/>
      <c r="C355"/>
      <c r="L355"/>
      <c r="M355"/>
      <c r="N355"/>
      <c r="O355"/>
    </row>
    <row r="356" spans="2:15" x14ac:dyDescent="0.3">
      <c r="B356"/>
      <c r="C356"/>
      <c r="L356"/>
      <c r="M356"/>
      <c r="N356"/>
      <c r="O356"/>
    </row>
    <row r="357" spans="2:15" x14ac:dyDescent="0.3">
      <c r="B357"/>
      <c r="C357"/>
      <c r="L357"/>
      <c r="M357"/>
      <c r="N357"/>
      <c r="O357"/>
    </row>
    <row r="358" spans="2:15" x14ac:dyDescent="0.3">
      <c r="B358"/>
      <c r="C358"/>
      <c r="L358"/>
      <c r="M358"/>
      <c r="N358"/>
      <c r="O358"/>
    </row>
    <row r="359" spans="2:15" x14ac:dyDescent="0.3">
      <c r="B359"/>
      <c r="C359"/>
      <c r="L359"/>
      <c r="M359"/>
      <c r="N359"/>
      <c r="O359"/>
    </row>
    <row r="360" spans="2:15" x14ac:dyDescent="0.3">
      <c r="B360"/>
      <c r="C360"/>
      <c r="L360"/>
      <c r="M360"/>
      <c r="N360"/>
      <c r="O360"/>
    </row>
    <row r="361" spans="2:15" x14ac:dyDescent="0.3">
      <c r="B361"/>
      <c r="C361"/>
      <c r="L361"/>
      <c r="M361"/>
      <c r="N361"/>
      <c r="O361"/>
    </row>
    <row r="362" spans="2:15" x14ac:dyDescent="0.3">
      <c r="B362"/>
      <c r="C362"/>
      <c r="L362"/>
      <c r="M362"/>
      <c r="N362"/>
      <c r="O362"/>
    </row>
    <row r="363" spans="2:15" x14ac:dyDescent="0.3">
      <c r="B363"/>
      <c r="C363"/>
      <c r="L363"/>
      <c r="M363"/>
      <c r="N363"/>
      <c r="O363"/>
    </row>
    <row r="364" spans="2:15" x14ac:dyDescent="0.3">
      <c r="B364"/>
      <c r="C364"/>
      <c r="L364"/>
      <c r="M364"/>
      <c r="N364"/>
      <c r="O364"/>
    </row>
    <row r="365" spans="2:15" x14ac:dyDescent="0.3">
      <c r="B365"/>
      <c r="C365"/>
      <c r="L365"/>
      <c r="M365"/>
      <c r="N365"/>
      <c r="O365"/>
    </row>
    <row r="366" spans="2:15" x14ac:dyDescent="0.3">
      <c r="B366"/>
      <c r="C366"/>
      <c r="L366"/>
      <c r="M366"/>
      <c r="N366"/>
      <c r="O366"/>
    </row>
    <row r="367" spans="2:15" x14ac:dyDescent="0.3">
      <c r="B367"/>
      <c r="C367"/>
      <c r="L367"/>
      <c r="M367"/>
      <c r="N367"/>
      <c r="O367"/>
    </row>
    <row r="368" spans="2:15" x14ac:dyDescent="0.3">
      <c r="B368"/>
      <c r="C368"/>
      <c r="L368"/>
      <c r="M368"/>
      <c r="N368"/>
      <c r="O368"/>
    </row>
    <row r="369" spans="2:15" x14ac:dyDescent="0.3">
      <c r="B369"/>
      <c r="C369"/>
      <c r="L369"/>
      <c r="M369"/>
      <c r="N369"/>
      <c r="O369"/>
    </row>
    <row r="370" spans="2:15" x14ac:dyDescent="0.3">
      <c r="B370"/>
      <c r="C370"/>
      <c r="L370"/>
      <c r="M370"/>
      <c r="N370"/>
      <c r="O370"/>
    </row>
    <row r="371" spans="2:15" x14ac:dyDescent="0.3">
      <c r="B371"/>
      <c r="C371"/>
      <c r="L371"/>
      <c r="M371"/>
      <c r="N371"/>
      <c r="O371"/>
    </row>
    <row r="372" spans="2:15" x14ac:dyDescent="0.3">
      <c r="B372"/>
      <c r="C372"/>
      <c r="L372"/>
      <c r="M372"/>
      <c r="N372"/>
      <c r="O372"/>
    </row>
    <row r="373" spans="2:15" x14ac:dyDescent="0.3">
      <c r="B373"/>
      <c r="C373"/>
      <c r="L373"/>
      <c r="M373"/>
      <c r="N373"/>
      <c r="O373"/>
    </row>
    <row r="374" spans="2:15" x14ac:dyDescent="0.3">
      <c r="B374"/>
      <c r="C374"/>
      <c r="L374"/>
      <c r="M374"/>
      <c r="N374"/>
      <c r="O374"/>
    </row>
    <row r="375" spans="2:15" x14ac:dyDescent="0.3">
      <c r="B375"/>
      <c r="C375"/>
      <c r="L375"/>
      <c r="M375"/>
      <c r="N375"/>
      <c r="O375"/>
    </row>
    <row r="376" spans="2:15" x14ac:dyDescent="0.3">
      <c r="B376"/>
      <c r="C376"/>
      <c r="L376"/>
      <c r="M376"/>
      <c r="N376"/>
      <c r="O376"/>
    </row>
    <row r="377" spans="2:15" x14ac:dyDescent="0.3">
      <c r="B377"/>
      <c r="C377"/>
      <c r="L377"/>
      <c r="M377"/>
      <c r="N377"/>
      <c r="O377"/>
    </row>
    <row r="378" spans="2:15" x14ac:dyDescent="0.3">
      <c r="B378"/>
      <c r="C378"/>
      <c r="L378"/>
      <c r="M378"/>
      <c r="N378"/>
      <c r="O378"/>
    </row>
    <row r="379" spans="2:15" x14ac:dyDescent="0.3">
      <c r="B379"/>
      <c r="C379"/>
      <c r="L379"/>
      <c r="M379"/>
      <c r="N379"/>
      <c r="O379"/>
    </row>
    <row r="380" spans="2:15" x14ac:dyDescent="0.3">
      <c r="B380"/>
      <c r="C380"/>
      <c r="L380"/>
      <c r="M380"/>
      <c r="N380"/>
      <c r="O380"/>
    </row>
    <row r="381" spans="2:15" x14ac:dyDescent="0.3">
      <c r="B381"/>
      <c r="C381"/>
      <c r="L381"/>
      <c r="M381"/>
      <c r="N381"/>
      <c r="O381"/>
    </row>
    <row r="382" spans="2:15" x14ac:dyDescent="0.3">
      <c r="B382"/>
      <c r="C382"/>
      <c r="L382"/>
      <c r="M382"/>
      <c r="N382"/>
      <c r="O382"/>
    </row>
    <row r="383" spans="2:15" x14ac:dyDescent="0.3">
      <c r="B383"/>
      <c r="C383"/>
      <c r="L383"/>
      <c r="M383"/>
      <c r="N383"/>
      <c r="O383"/>
    </row>
    <row r="384" spans="2:15" x14ac:dyDescent="0.3">
      <c r="B384"/>
      <c r="C384"/>
      <c r="L384"/>
      <c r="M384"/>
      <c r="N384"/>
      <c r="O384"/>
    </row>
    <row r="385" spans="2:15" x14ac:dyDescent="0.3">
      <c r="B385"/>
      <c r="C385"/>
      <c r="L385"/>
      <c r="M385"/>
      <c r="N385"/>
      <c r="O385"/>
    </row>
    <row r="386" spans="2:15" x14ac:dyDescent="0.3">
      <c r="B386"/>
      <c r="C386"/>
      <c r="L386"/>
      <c r="M386"/>
      <c r="N386"/>
      <c r="O386"/>
    </row>
    <row r="387" spans="2:15" x14ac:dyDescent="0.3">
      <c r="B387"/>
      <c r="C387"/>
      <c r="L387"/>
      <c r="M387"/>
      <c r="N387"/>
      <c r="O387"/>
    </row>
    <row r="388" spans="2:15" x14ac:dyDescent="0.3">
      <c r="B388"/>
      <c r="C388"/>
      <c r="L388"/>
      <c r="M388"/>
      <c r="N388"/>
      <c r="O388"/>
    </row>
    <row r="389" spans="2:15" x14ac:dyDescent="0.3">
      <c r="B389"/>
      <c r="C389"/>
      <c r="L389"/>
      <c r="M389"/>
      <c r="N389"/>
      <c r="O389"/>
    </row>
    <row r="390" spans="2:15" x14ac:dyDescent="0.3">
      <c r="B390"/>
      <c r="C390"/>
      <c r="L390"/>
      <c r="M390"/>
      <c r="N390"/>
      <c r="O390"/>
    </row>
    <row r="391" spans="2:15" x14ac:dyDescent="0.3">
      <c r="B391"/>
      <c r="C391"/>
      <c r="L391"/>
      <c r="M391"/>
      <c r="N391"/>
      <c r="O391"/>
    </row>
    <row r="392" spans="2:15" x14ac:dyDescent="0.3">
      <c r="B392"/>
      <c r="C392"/>
      <c r="L392"/>
      <c r="M392"/>
      <c r="N392"/>
      <c r="O392"/>
    </row>
    <row r="393" spans="2:15" x14ac:dyDescent="0.3">
      <c r="B393"/>
      <c r="C393"/>
      <c r="L393"/>
      <c r="M393"/>
      <c r="N393"/>
      <c r="O393"/>
    </row>
    <row r="394" spans="2:15" x14ac:dyDescent="0.3">
      <c r="B394"/>
      <c r="C394"/>
      <c r="L394"/>
      <c r="M394"/>
      <c r="N394"/>
      <c r="O394"/>
    </row>
    <row r="395" spans="2:15" x14ac:dyDescent="0.3">
      <c r="B395"/>
      <c r="C395"/>
      <c r="L395"/>
      <c r="M395"/>
      <c r="N395"/>
      <c r="O395"/>
    </row>
    <row r="396" spans="2:15" x14ac:dyDescent="0.3">
      <c r="B396"/>
      <c r="C396"/>
      <c r="L396"/>
      <c r="M396"/>
      <c r="N396"/>
      <c r="O396"/>
    </row>
    <row r="397" spans="2:15" x14ac:dyDescent="0.3">
      <c r="B397"/>
      <c r="C397"/>
      <c r="L397"/>
      <c r="M397"/>
      <c r="N397"/>
      <c r="O397"/>
    </row>
    <row r="398" spans="2:15" x14ac:dyDescent="0.3">
      <c r="B398"/>
      <c r="C398"/>
      <c r="L398"/>
      <c r="M398"/>
      <c r="N398"/>
      <c r="O398"/>
    </row>
    <row r="399" spans="2:15" x14ac:dyDescent="0.3">
      <c r="B399"/>
      <c r="C399"/>
      <c r="L399"/>
      <c r="M399"/>
      <c r="N399"/>
      <c r="O399"/>
    </row>
    <row r="400" spans="2:15" x14ac:dyDescent="0.3">
      <c r="B400"/>
      <c r="C400"/>
      <c r="L400"/>
      <c r="M400"/>
      <c r="N400"/>
      <c r="O400"/>
    </row>
    <row r="401" spans="2:15" x14ac:dyDescent="0.3">
      <c r="B401"/>
      <c r="C401"/>
      <c r="L401"/>
      <c r="M401"/>
      <c r="N401"/>
      <c r="O401"/>
    </row>
    <row r="402" spans="2:15" x14ac:dyDescent="0.3">
      <c r="B402"/>
      <c r="C402"/>
      <c r="L402"/>
      <c r="M402"/>
      <c r="N402"/>
      <c r="O402"/>
    </row>
    <row r="403" spans="2:15" x14ac:dyDescent="0.3">
      <c r="B403"/>
      <c r="C403"/>
      <c r="L403"/>
      <c r="M403"/>
      <c r="N403"/>
      <c r="O403"/>
    </row>
    <row r="404" spans="2:15" x14ac:dyDescent="0.3">
      <c r="B404"/>
      <c r="C404"/>
      <c r="L404"/>
      <c r="M404"/>
      <c r="N404"/>
      <c r="O404"/>
    </row>
    <row r="405" spans="2:15" x14ac:dyDescent="0.3">
      <c r="B405"/>
      <c r="C405"/>
      <c r="L405"/>
      <c r="M405"/>
      <c r="N405"/>
      <c r="O405"/>
    </row>
    <row r="406" spans="2:15" x14ac:dyDescent="0.3">
      <c r="B406"/>
      <c r="C406"/>
      <c r="L406"/>
      <c r="M406"/>
      <c r="N406"/>
      <c r="O406"/>
    </row>
    <row r="407" spans="2:15" x14ac:dyDescent="0.3">
      <c r="B407"/>
      <c r="C407"/>
      <c r="L407"/>
      <c r="M407"/>
      <c r="N407"/>
      <c r="O407"/>
    </row>
    <row r="408" spans="2:15" x14ac:dyDescent="0.3">
      <c r="B408"/>
      <c r="C408"/>
      <c r="L408"/>
      <c r="M408"/>
      <c r="N408"/>
      <c r="O408"/>
    </row>
    <row r="409" spans="2:15" x14ac:dyDescent="0.3">
      <c r="B409"/>
      <c r="C409"/>
      <c r="L409"/>
      <c r="M409"/>
      <c r="N409"/>
      <c r="O409"/>
    </row>
    <row r="410" spans="2:15" x14ac:dyDescent="0.3">
      <c r="B410"/>
      <c r="C410"/>
      <c r="L410"/>
      <c r="M410"/>
      <c r="N410"/>
      <c r="O410"/>
    </row>
    <row r="411" spans="2:15" x14ac:dyDescent="0.3">
      <c r="B411"/>
      <c r="C411"/>
      <c r="L411"/>
      <c r="M411"/>
      <c r="N411"/>
      <c r="O411"/>
    </row>
    <row r="412" spans="2:15" x14ac:dyDescent="0.3">
      <c r="B412"/>
      <c r="C412"/>
      <c r="L412"/>
      <c r="M412"/>
      <c r="N412"/>
      <c r="O412"/>
    </row>
    <row r="413" spans="2:15" x14ac:dyDescent="0.3">
      <c r="B413"/>
      <c r="C413"/>
      <c r="L413"/>
      <c r="M413"/>
      <c r="N413"/>
      <c r="O413"/>
    </row>
    <row r="414" spans="2:15" x14ac:dyDescent="0.3">
      <c r="B414"/>
      <c r="C414"/>
      <c r="L414"/>
      <c r="M414"/>
      <c r="N414"/>
      <c r="O414"/>
    </row>
    <row r="415" spans="2:15" x14ac:dyDescent="0.3">
      <c r="B415"/>
      <c r="C415"/>
      <c r="L415"/>
      <c r="M415"/>
      <c r="N415"/>
      <c r="O415"/>
    </row>
    <row r="416" spans="2:15" x14ac:dyDescent="0.3">
      <c r="B416"/>
      <c r="C416"/>
      <c r="L416"/>
      <c r="M416"/>
      <c r="N416"/>
      <c r="O416"/>
    </row>
    <row r="417" spans="2:15" x14ac:dyDescent="0.3">
      <c r="B417"/>
      <c r="C417"/>
      <c r="L417"/>
      <c r="M417"/>
      <c r="N417"/>
      <c r="O417"/>
    </row>
    <row r="418" spans="2:15" x14ac:dyDescent="0.3">
      <c r="B418"/>
      <c r="C418"/>
      <c r="L418"/>
      <c r="M418"/>
      <c r="N418"/>
      <c r="O418"/>
    </row>
    <row r="419" spans="2:15" x14ac:dyDescent="0.3">
      <c r="B419"/>
      <c r="C419"/>
      <c r="L419"/>
      <c r="M419"/>
      <c r="N419"/>
      <c r="O419"/>
    </row>
    <row r="420" spans="2:15" x14ac:dyDescent="0.3">
      <c r="B420"/>
      <c r="C420"/>
      <c r="L420"/>
      <c r="M420"/>
      <c r="N420"/>
      <c r="O420"/>
    </row>
    <row r="421" spans="2:15" x14ac:dyDescent="0.3">
      <c r="B421"/>
      <c r="C421"/>
      <c r="L421"/>
      <c r="M421"/>
      <c r="N421"/>
      <c r="O421"/>
    </row>
    <row r="422" spans="2:15" x14ac:dyDescent="0.3">
      <c r="B422"/>
      <c r="C422"/>
      <c r="L422"/>
      <c r="M422"/>
      <c r="N422"/>
      <c r="O422"/>
    </row>
    <row r="423" spans="2:15" x14ac:dyDescent="0.3">
      <c r="B423"/>
      <c r="C423"/>
      <c r="L423"/>
      <c r="M423"/>
      <c r="N423"/>
      <c r="O423"/>
    </row>
    <row r="424" spans="2:15" x14ac:dyDescent="0.3">
      <c r="B424"/>
      <c r="C424"/>
      <c r="L424"/>
      <c r="M424"/>
      <c r="N424"/>
      <c r="O424"/>
    </row>
    <row r="425" spans="2:15" x14ac:dyDescent="0.3">
      <c r="B425"/>
      <c r="C425"/>
      <c r="L425"/>
      <c r="M425"/>
      <c r="N425"/>
      <c r="O425"/>
    </row>
    <row r="426" spans="2:15" x14ac:dyDescent="0.3">
      <c r="B426"/>
      <c r="C426"/>
      <c r="L426"/>
      <c r="M426"/>
      <c r="N426"/>
      <c r="O426"/>
    </row>
    <row r="427" spans="2:15" x14ac:dyDescent="0.3">
      <c r="B427"/>
      <c r="C427"/>
      <c r="L427"/>
      <c r="M427"/>
      <c r="N427"/>
      <c r="O427"/>
    </row>
    <row r="428" spans="2:15" x14ac:dyDescent="0.3">
      <c r="B428"/>
      <c r="C428"/>
      <c r="L428"/>
      <c r="M428"/>
      <c r="N428"/>
      <c r="O428"/>
    </row>
    <row r="429" spans="2:15" x14ac:dyDescent="0.3">
      <c r="B429"/>
      <c r="C429"/>
      <c r="L429"/>
      <c r="M429"/>
      <c r="N429"/>
      <c r="O429"/>
    </row>
    <row r="430" spans="2:15" x14ac:dyDescent="0.3">
      <c r="B430"/>
      <c r="C430"/>
      <c r="L430"/>
      <c r="M430"/>
      <c r="N430"/>
      <c r="O430"/>
    </row>
    <row r="431" spans="2:15" x14ac:dyDescent="0.3">
      <c r="B431"/>
      <c r="C431"/>
      <c r="L431"/>
      <c r="M431"/>
      <c r="N431"/>
      <c r="O431"/>
    </row>
    <row r="432" spans="2:15" x14ac:dyDescent="0.3">
      <c r="B432"/>
      <c r="C432"/>
      <c r="L432"/>
      <c r="M432"/>
      <c r="N432"/>
      <c r="O432"/>
    </row>
    <row r="433" spans="2:15" x14ac:dyDescent="0.3">
      <c r="B433"/>
      <c r="C433"/>
      <c r="L433"/>
      <c r="M433"/>
      <c r="N433"/>
      <c r="O433"/>
    </row>
    <row r="434" spans="2:15" x14ac:dyDescent="0.3">
      <c r="B434"/>
      <c r="C434"/>
      <c r="L434"/>
      <c r="M434"/>
      <c r="N434"/>
      <c r="O434"/>
    </row>
    <row r="435" spans="2:15" x14ac:dyDescent="0.3">
      <c r="B435"/>
      <c r="C435"/>
      <c r="L435"/>
      <c r="M435"/>
      <c r="N435"/>
      <c r="O435"/>
    </row>
    <row r="436" spans="2:15" x14ac:dyDescent="0.3">
      <c r="B436"/>
      <c r="C436"/>
      <c r="L436"/>
      <c r="M436"/>
      <c r="N436"/>
      <c r="O436"/>
    </row>
    <row r="437" spans="2:15" x14ac:dyDescent="0.3">
      <c r="B437"/>
      <c r="C437"/>
      <c r="L437"/>
      <c r="M437"/>
      <c r="N437"/>
      <c r="O437"/>
    </row>
    <row r="438" spans="2:15" x14ac:dyDescent="0.3">
      <c r="B438"/>
      <c r="C438"/>
      <c r="L438"/>
      <c r="M438"/>
      <c r="N438"/>
      <c r="O438"/>
    </row>
    <row r="439" spans="2:15" x14ac:dyDescent="0.3">
      <c r="B439"/>
      <c r="C439"/>
      <c r="L439"/>
      <c r="M439"/>
      <c r="N439"/>
      <c r="O439"/>
    </row>
    <row r="440" spans="2:15" x14ac:dyDescent="0.3">
      <c r="B440"/>
      <c r="C440"/>
      <c r="L440"/>
      <c r="M440"/>
      <c r="N440"/>
      <c r="O440"/>
    </row>
    <row r="441" spans="2:15" x14ac:dyDescent="0.3">
      <c r="B441"/>
      <c r="C441"/>
      <c r="L441"/>
      <c r="M441"/>
      <c r="N441"/>
      <c r="O441"/>
    </row>
    <row r="442" spans="2:15" x14ac:dyDescent="0.3">
      <c r="B442"/>
      <c r="C442"/>
      <c r="L442"/>
      <c r="M442"/>
      <c r="N442"/>
      <c r="O442"/>
    </row>
    <row r="443" spans="2:15" x14ac:dyDescent="0.3">
      <c r="B443"/>
      <c r="C443"/>
      <c r="L443"/>
      <c r="M443"/>
      <c r="N443"/>
      <c r="O443"/>
    </row>
    <row r="444" spans="2:15" x14ac:dyDescent="0.3">
      <c r="B444"/>
      <c r="C444"/>
      <c r="L444"/>
      <c r="M444"/>
      <c r="N444"/>
      <c r="O444"/>
    </row>
    <row r="445" spans="2:15" x14ac:dyDescent="0.3">
      <c r="B445"/>
      <c r="C445"/>
      <c r="L445"/>
      <c r="M445"/>
      <c r="N445"/>
      <c r="O445"/>
    </row>
    <row r="446" spans="2:15" x14ac:dyDescent="0.3">
      <c r="B446"/>
      <c r="C446"/>
      <c r="L446"/>
      <c r="M446"/>
      <c r="N446"/>
      <c r="O446"/>
    </row>
    <row r="447" spans="2:15" x14ac:dyDescent="0.3">
      <c r="B447"/>
      <c r="C447"/>
      <c r="L447"/>
      <c r="M447"/>
      <c r="N447"/>
      <c r="O447"/>
    </row>
    <row r="448" spans="2:15" x14ac:dyDescent="0.3">
      <c r="B448"/>
      <c r="C448"/>
      <c r="L448"/>
      <c r="M448"/>
      <c r="N448"/>
      <c r="O448"/>
    </row>
    <row r="449" spans="2:15" x14ac:dyDescent="0.3">
      <c r="B449"/>
      <c r="C449"/>
      <c r="L449"/>
      <c r="M449"/>
      <c r="N449"/>
      <c r="O449"/>
    </row>
    <row r="450" spans="2:15" x14ac:dyDescent="0.3">
      <c r="B450"/>
      <c r="C450"/>
      <c r="L450"/>
      <c r="M450"/>
      <c r="N450"/>
      <c r="O450"/>
    </row>
    <row r="451" spans="2:15" x14ac:dyDescent="0.3">
      <c r="B451"/>
      <c r="C451"/>
      <c r="L451"/>
      <c r="M451"/>
      <c r="N451"/>
      <c r="O451"/>
    </row>
    <row r="452" spans="2:15" x14ac:dyDescent="0.3">
      <c r="B452"/>
      <c r="C452"/>
      <c r="L452"/>
      <c r="M452"/>
      <c r="N452"/>
      <c r="O452"/>
    </row>
    <row r="453" spans="2:15" x14ac:dyDescent="0.3">
      <c r="B453"/>
      <c r="C453"/>
      <c r="L453"/>
      <c r="M453"/>
      <c r="N453"/>
      <c r="O453"/>
    </row>
    <row r="454" spans="2:15" x14ac:dyDescent="0.3">
      <c r="B454"/>
      <c r="C454"/>
      <c r="L454"/>
      <c r="M454"/>
      <c r="N454"/>
      <c r="O454"/>
    </row>
    <row r="455" spans="2:15" x14ac:dyDescent="0.3">
      <c r="B455"/>
      <c r="C455"/>
      <c r="L455"/>
      <c r="M455"/>
      <c r="N455"/>
      <c r="O455"/>
    </row>
    <row r="456" spans="2:15" x14ac:dyDescent="0.3">
      <c r="B456"/>
      <c r="C456"/>
      <c r="L456"/>
      <c r="M456"/>
      <c r="N456"/>
      <c r="O456"/>
    </row>
    <row r="457" spans="2:15" x14ac:dyDescent="0.3">
      <c r="B457"/>
      <c r="C457"/>
      <c r="L457"/>
      <c r="M457"/>
      <c r="N457"/>
      <c r="O457"/>
    </row>
    <row r="458" spans="2:15" x14ac:dyDescent="0.3">
      <c r="B458"/>
      <c r="C458"/>
      <c r="L458"/>
      <c r="M458"/>
      <c r="N458"/>
      <c r="O458"/>
    </row>
    <row r="459" spans="2:15" x14ac:dyDescent="0.3">
      <c r="B459"/>
      <c r="C459"/>
      <c r="L459"/>
      <c r="M459"/>
      <c r="N459"/>
      <c r="O459"/>
    </row>
    <row r="460" spans="2:15" x14ac:dyDescent="0.3">
      <c r="B460"/>
      <c r="C460"/>
      <c r="L460"/>
      <c r="M460"/>
      <c r="N460"/>
      <c r="O460"/>
    </row>
    <row r="461" spans="2:15" x14ac:dyDescent="0.3">
      <c r="B461"/>
      <c r="C461"/>
      <c r="L461"/>
      <c r="M461"/>
      <c r="N461"/>
      <c r="O461"/>
    </row>
    <row r="462" spans="2:15" x14ac:dyDescent="0.3">
      <c r="B462"/>
      <c r="C462"/>
      <c r="L462"/>
      <c r="M462"/>
      <c r="N462"/>
      <c r="O462"/>
    </row>
    <row r="463" spans="2:15" x14ac:dyDescent="0.3">
      <c r="B463"/>
      <c r="C463"/>
      <c r="L463"/>
      <c r="M463"/>
      <c r="N463"/>
      <c r="O463"/>
    </row>
    <row r="464" spans="2:15" x14ac:dyDescent="0.3">
      <c r="B464"/>
      <c r="C464"/>
      <c r="L464"/>
      <c r="M464"/>
      <c r="N464"/>
      <c r="O464"/>
    </row>
    <row r="465" spans="2:15" x14ac:dyDescent="0.3">
      <c r="B465"/>
      <c r="C465"/>
      <c r="L465"/>
      <c r="M465"/>
      <c r="N465"/>
      <c r="O465"/>
    </row>
    <row r="466" spans="2:15" x14ac:dyDescent="0.3">
      <c r="B466"/>
      <c r="C466"/>
      <c r="L466"/>
      <c r="M466"/>
      <c r="N466"/>
      <c r="O466"/>
    </row>
    <row r="467" spans="2:15" x14ac:dyDescent="0.3">
      <c r="B467"/>
      <c r="C467"/>
      <c r="L467"/>
      <c r="M467"/>
      <c r="N467"/>
      <c r="O467"/>
    </row>
    <row r="468" spans="2:15" x14ac:dyDescent="0.3">
      <c r="B468"/>
      <c r="C468"/>
      <c r="L468"/>
      <c r="M468"/>
      <c r="N468"/>
      <c r="O468"/>
    </row>
    <row r="469" spans="2:15" x14ac:dyDescent="0.3">
      <c r="B469"/>
      <c r="C469"/>
      <c r="L469"/>
      <c r="M469"/>
      <c r="N469"/>
      <c r="O469"/>
    </row>
    <row r="470" spans="2:15" x14ac:dyDescent="0.3">
      <c r="B470"/>
      <c r="C470"/>
      <c r="L470"/>
      <c r="M470"/>
      <c r="N470"/>
      <c r="O470"/>
    </row>
    <row r="471" spans="2:15" x14ac:dyDescent="0.3">
      <c r="B471"/>
      <c r="C471"/>
      <c r="L471"/>
      <c r="M471"/>
      <c r="N471"/>
      <c r="O471"/>
    </row>
    <row r="472" spans="2:15" x14ac:dyDescent="0.3">
      <c r="B472"/>
      <c r="C472"/>
      <c r="L472"/>
      <c r="M472"/>
      <c r="N472"/>
      <c r="O472"/>
    </row>
    <row r="473" spans="2:15" x14ac:dyDescent="0.3">
      <c r="B473"/>
      <c r="C473"/>
      <c r="L473"/>
      <c r="M473"/>
      <c r="N473"/>
      <c r="O473"/>
    </row>
    <row r="474" spans="2:15" x14ac:dyDescent="0.3">
      <c r="B474"/>
      <c r="C474"/>
      <c r="L474"/>
      <c r="M474"/>
      <c r="N474"/>
      <c r="O474"/>
    </row>
    <row r="475" spans="2:15" x14ac:dyDescent="0.3">
      <c r="B475"/>
      <c r="C475"/>
      <c r="L475"/>
      <c r="M475"/>
      <c r="N475"/>
      <c r="O475"/>
    </row>
    <row r="476" spans="2:15" x14ac:dyDescent="0.3">
      <c r="B476"/>
      <c r="C476"/>
      <c r="L476"/>
      <c r="M476"/>
      <c r="N476"/>
      <c r="O476"/>
    </row>
    <row r="477" spans="2:15" x14ac:dyDescent="0.3">
      <c r="B477"/>
      <c r="C477"/>
      <c r="L477"/>
      <c r="M477"/>
      <c r="N477"/>
      <c r="O477"/>
    </row>
    <row r="478" spans="2:15" x14ac:dyDescent="0.3">
      <c r="B478"/>
      <c r="C478"/>
      <c r="L478"/>
      <c r="M478"/>
      <c r="N478"/>
      <c r="O478"/>
    </row>
    <row r="479" spans="2:15" x14ac:dyDescent="0.3">
      <c r="B479"/>
      <c r="C479"/>
      <c r="L479"/>
      <c r="M479"/>
      <c r="N479"/>
      <c r="O479"/>
    </row>
    <row r="480" spans="2:15" x14ac:dyDescent="0.3">
      <c r="B480"/>
      <c r="C480"/>
      <c r="L480"/>
      <c r="M480"/>
      <c r="N480"/>
      <c r="O480"/>
    </row>
    <row r="481" spans="2:15" x14ac:dyDescent="0.3">
      <c r="B481"/>
      <c r="C481"/>
      <c r="L481"/>
      <c r="M481"/>
      <c r="N481"/>
      <c r="O481"/>
    </row>
    <row r="482" spans="2:15" x14ac:dyDescent="0.3">
      <c r="B482"/>
      <c r="C482"/>
      <c r="L482"/>
      <c r="M482"/>
      <c r="N482"/>
      <c r="O482"/>
    </row>
    <row r="483" spans="2:15" x14ac:dyDescent="0.3">
      <c r="B483"/>
      <c r="C483"/>
      <c r="L483"/>
      <c r="M483"/>
      <c r="N483"/>
      <c r="O483"/>
    </row>
    <row r="484" spans="2:15" x14ac:dyDescent="0.3">
      <c r="B484"/>
      <c r="C484"/>
      <c r="L484"/>
      <c r="M484"/>
      <c r="N484"/>
      <c r="O484"/>
    </row>
    <row r="485" spans="2:15" x14ac:dyDescent="0.3">
      <c r="B485"/>
      <c r="C485"/>
      <c r="L485"/>
      <c r="M485"/>
      <c r="N485"/>
      <c r="O485"/>
    </row>
    <row r="486" spans="2:15" x14ac:dyDescent="0.3">
      <c r="B486"/>
      <c r="C486"/>
      <c r="L486"/>
      <c r="M486"/>
      <c r="N486"/>
      <c r="O486"/>
    </row>
    <row r="487" spans="2:15" x14ac:dyDescent="0.3">
      <c r="B487"/>
      <c r="C487"/>
      <c r="L487"/>
      <c r="M487"/>
      <c r="N487"/>
      <c r="O487"/>
    </row>
    <row r="488" spans="2:15" x14ac:dyDescent="0.3">
      <c r="B488"/>
      <c r="C488"/>
      <c r="L488"/>
      <c r="M488"/>
      <c r="N488"/>
      <c r="O488"/>
    </row>
    <row r="489" spans="2:15" x14ac:dyDescent="0.3">
      <c r="B489"/>
      <c r="C489"/>
      <c r="L489"/>
      <c r="M489"/>
      <c r="N489"/>
      <c r="O489"/>
    </row>
    <row r="490" spans="2:15" x14ac:dyDescent="0.3">
      <c r="B490"/>
      <c r="C490"/>
      <c r="L490"/>
      <c r="M490"/>
      <c r="N490"/>
      <c r="O490"/>
    </row>
    <row r="491" spans="2:15" x14ac:dyDescent="0.3">
      <c r="B491"/>
      <c r="C491"/>
      <c r="L491"/>
      <c r="M491"/>
      <c r="N491"/>
      <c r="O491"/>
    </row>
    <row r="492" spans="2:15" x14ac:dyDescent="0.3">
      <c r="B492"/>
      <c r="C492"/>
      <c r="L492"/>
      <c r="M492"/>
      <c r="N492"/>
      <c r="O492"/>
    </row>
    <row r="493" spans="2:15" x14ac:dyDescent="0.3">
      <c r="B493"/>
      <c r="C493"/>
      <c r="L493"/>
      <c r="M493"/>
      <c r="N493"/>
      <c r="O493"/>
    </row>
    <row r="494" spans="2:15" x14ac:dyDescent="0.3">
      <c r="B494"/>
      <c r="C494"/>
      <c r="L494"/>
      <c r="M494"/>
      <c r="N494"/>
      <c r="O494"/>
    </row>
    <row r="495" spans="2:15" x14ac:dyDescent="0.3">
      <c r="B495"/>
      <c r="C495"/>
      <c r="L495"/>
      <c r="M495"/>
      <c r="N495"/>
      <c r="O495"/>
    </row>
    <row r="496" spans="2:15" x14ac:dyDescent="0.3">
      <c r="B496"/>
      <c r="C496"/>
      <c r="L496"/>
      <c r="M496"/>
      <c r="N496"/>
      <c r="O496"/>
    </row>
    <row r="497" spans="2:15" x14ac:dyDescent="0.3">
      <c r="B497"/>
      <c r="C497"/>
      <c r="L497"/>
      <c r="M497"/>
      <c r="N497"/>
      <c r="O497"/>
    </row>
    <row r="498" spans="2:15" x14ac:dyDescent="0.3">
      <c r="B498"/>
      <c r="C498"/>
      <c r="L498"/>
      <c r="M498"/>
      <c r="N498"/>
      <c r="O498"/>
    </row>
    <row r="499" spans="2:15" x14ac:dyDescent="0.3">
      <c r="B499"/>
      <c r="C499"/>
      <c r="L499"/>
      <c r="M499"/>
      <c r="N499"/>
      <c r="O499"/>
    </row>
    <row r="500" spans="2:15" x14ac:dyDescent="0.3">
      <c r="B500"/>
      <c r="C500"/>
      <c r="L500"/>
      <c r="M500"/>
      <c r="N500"/>
      <c r="O500"/>
    </row>
    <row r="501" spans="2:15" x14ac:dyDescent="0.3">
      <c r="B501"/>
      <c r="C501"/>
      <c r="L501"/>
      <c r="M501"/>
      <c r="N501"/>
      <c r="O501"/>
    </row>
    <row r="502" spans="2:15" x14ac:dyDescent="0.3">
      <c r="B502"/>
      <c r="C502"/>
      <c r="L502"/>
      <c r="M502"/>
      <c r="N502"/>
      <c r="O502"/>
    </row>
    <row r="503" spans="2:15" x14ac:dyDescent="0.3">
      <c r="B503"/>
      <c r="C503"/>
      <c r="L503"/>
      <c r="M503"/>
      <c r="N503"/>
      <c r="O503"/>
    </row>
    <row r="504" spans="2:15" x14ac:dyDescent="0.3">
      <c r="B504"/>
      <c r="C504"/>
      <c r="L504"/>
      <c r="M504"/>
      <c r="N504"/>
      <c r="O504"/>
    </row>
    <row r="505" spans="2:15" x14ac:dyDescent="0.3">
      <c r="B505"/>
      <c r="C505"/>
      <c r="L505"/>
      <c r="M505"/>
      <c r="N505"/>
      <c r="O505"/>
    </row>
    <row r="506" spans="2:15" x14ac:dyDescent="0.3">
      <c r="B506"/>
      <c r="C506"/>
      <c r="L506"/>
      <c r="M506"/>
      <c r="N506"/>
      <c r="O506"/>
    </row>
    <row r="507" spans="2:15" x14ac:dyDescent="0.3">
      <c r="B507"/>
      <c r="C507"/>
      <c r="L507"/>
      <c r="M507"/>
      <c r="N507"/>
      <c r="O507"/>
    </row>
    <row r="508" spans="2:15" x14ac:dyDescent="0.3">
      <c r="B508"/>
      <c r="C508"/>
      <c r="L508"/>
      <c r="M508"/>
      <c r="N508"/>
      <c r="O508"/>
    </row>
    <row r="509" spans="2:15" x14ac:dyDescent="0.3">
      <c r="B509"/>
      <c r="C509"/>
      <c r="L509"/>
      <c r="M509"/>
      <c r="N509"/>
      <c r="O509"/>
    </row>
    <row r="510" spans="2:15" x14ac:dyDescent="0.3">
      <c r="B510"/>
      <c r="C510"/>
      <c r="L510"/>
      <c r="M510"/>
      <c r="N510"/>
      <c r="O510"/>
    </row>
    <row r="511" spans="2:15" x14ac:dyDescent="0.3">
      <c r="B511"/>
      <c r="C511"/>
      <c r="L511"/>
      <c r="M511"/>
      <c r="N511"/>
      <c r="O511"/>
    </row>
    <row r="512" spans="2:15" x14ac:dyDescent="0.3">
      <c r="B512"/>
      <c r="C512"/>
      <c r="L512"/>
      <c r="M512"/>
      <c r="N512"/>
      <c r="O512"/>
    </row>
    <row r="513" spans="2:15" x14ac:dyDescent="0.3">
      <c r="B513"/>
      <c r="C513"/>
      <c r="L513"/>
      <c r="M513"/>
      <c r="N513"/>
      <c r="O513"/>
    </row>
    <row r="514" spans="2:15" x14ac:dyDescent="0.3">
      <c r="B514"/>
      <c r="C514"/>
      <c r="L514"/>
      <c r="M514"/>
      <c r="N514"/>
      <c r="O514"/>
    </row>
    <row r="515" spans="2:15" x14ac:dyDescent="0.3">
      <c r="B515"/>
      <c r="C515"/>
      <c r="L515"/>
      <c r="M515"/>
      <c r="N515"/>
      <c r="O515"/>
    </row>
    <row r="516" spans="2:15" x14ac:dyDescent="0.3">
      <c r="B516"/>
      <c r="C516"/>
      <c r="L516"/>
      <c r="M516"/>
      <c r="N516"/>
      <c r="O516"/>
    </row>
    <row r="517" spans="2:15" x14ac:dyDescent="0.3">
      <c r="B517"/>
      <c r="C517"/>
      <c r="L517"/>
      <c r="M517"/>
      <c r="N517"/>
      <c r="O517"/>
    </row>
    <row r="518" spans="2:15" x14ac:dyDescent="0.3">
      <c r="B518"/>
      <c r="C518"/>
      <c r="L518"/>
      <c r="M518"/>
      <c r="N518"/>
      <c r="O518"/>
    </row>
    <row r="519" spans="2:15" x14ac:dyDescent="0.3">
      <c r="B519"/>
      <c r="C519"/>
      <c r="L519"/>
      <c r="M519"/>
      <c r="N519"/>
      <c r="O519"/>
    </row>
    <row r="520" spans="2:15" x14ac:dyDescent="0.3">
      <c r="B520"/>
      <c r="C520"/>
      <c r="L520"/>
      <c r="M520"/>
      <c r="N520"/>
      <c r="O520"/>
    </row>
    <row r="521" spans="2:15" x14ac:dyDescent="0.3">
      <c r="B521"/>
      <c r="C521"/>
      <c r="L521"/>
      <c r="M521"/>
      <c r="N521"/>
      <c r="O521"/>
    </row>
    <row r="522" spans="2:15" x14ac:dyDescent="0.3">
      <c r="B522"/>
      <c r="C522"/>
      <c r="L522"/>
      <c r="M522"/>
      <c r="N522"/>
      <c r="O522"/>
    </row>
    <row r="523" spans="2:15" x14ac:dyDescent="0.3">
      <c r="B523"/>
      <c r="C523"/>
      <c r="L523"/>
      <c r="M523"/>
      <c r="N523"/>
      <c r="O523"/>
    </row>
    <row r="524" spans="2:15" x14ac:dyDescent="0.3">
      <c r="B524"/>
      <c r="C524"/>
      <c r="L524"/>
      <c r="M524"/>
      <c r="N524"/>
      <c r="O524"/>
    </row>
    <row r="525" spans="2:15" x14ac:dyDescent="0.3">
      <c r="B525"/>
      <c r="C525"/>
      <c r="L525"/>
      <c r="M525"/>
      <c r="N525"/>
      <c r="O525"/>
    </row>
    <row r="526" spans="2:15" x14ac:dyDescent="0.3">
      <c r="B526"/>
      <c r="C526"/>
      <c r="L526"/>
      <c r="M526"/>
      <c r="N526"/>
      <c r="O526"/>
    </row>
    <row r="527" spans="2:15" x14ac:dyDescent="0.3">
      <c r="B527"/>
      <c r="C527"/>
      <c r="L527"/>
      <c r="M527"/>
      <c r="N527"/>
      <c r="O527"/>
    </row>
    <row r="528" spans="2:15" x14ac:dyDescent="0.3">
      <c r="B528"/>
      <c r="C528"/>
      <c r="L528"/>
      <c r="M528"/>
      <c r="N528"/>
      <c r="O528"/>
    </row>
    <row r="529" spans="2:15" x14ac:dyDescent="0.3">
      <c r="B529"/>
      <c r="C529"/>
      <c r="L529"/>
      <c r="M529"/>
      <c r="N529"/>
      <c r="O529"/>
    </row>
    <row r="530" spans="2:15" x14ac:dyDescent="0.3">
      <c r="B530"/>
      <c r="C530"/>
      <c r="L530"/>
      <c r="M530"/>
      <c r="N530"/>
      <c r="O530"/>
    </row>
    <row r="531" spans="2:15" x14ac:dyDescent="0.3">
      <c r="B531"/>
      <c r="C531"/>
      <c r="L531"/>
      <c r="M531"/>
      <c r="N531"/>
      <c r="O531"/>
    </row>
    <row r="532" spans="2:15" x14ac:dyDescent="0.3">
      <c r="B532"/>
      <c r="C532"/>
      <c r="L532"/>
      <c r="M532"/>
      <c r="N532"/>
      <c r="O532"/>
    </row>
    <row r="533" spans="2:15" x14ac:dyDescent="0.3">
      <c r="B533"/>
      <c r="C533"/>
      <c r="L533"/>
      <c r="M533"/>
      <c r="N533"/>
      <c r="O533"/>
    </row>
    <row r="534" spans="2:15" x14ac:dyDescent="0.3">
      <c r="B534"/>
      <c r="C534"/>
      <c r="L534"/>
      <c r="M534"/>
      <c r="N534"/>
      <c r="O534"/>
    </row>
    <row r="535" spans="2:15" x14ac:dyDescent="0.3">
      <c r="B535"/>
      <c r="C535"/>
      <c r="L535"/>
      <c r="M535"/>
      <c r="N535"/>
      <c r="O535"/>
    </row>
    <row r="536" spans="2:15" x14ac:dyDescent="0.3">
      <c r="B536"/>
      <c r="C536"/>
      <c r="L536"/>
      <c r="M536"/>
      <c r="N536"/>
      <c r="O536"/>
    </row>
    <row r="537" spans="2:15" x14ac:dyDescent="0.3">
      <c r="B537"/>
      <c r="C537"/>
      <c r="L537"/>
      <c r="M537"/>
      <c r="N537"/>
      <c r="O537"/>
    </row>
    <row r="538" spans="2:15" x14ac:dyDescent="0.3">
      <c r="B538"/>
      <c r="C538"/>
      <c r="L538"/>
      <c r="M538"/>
      <c r="N538"/>
      <c r="O538"/>
    </row>
    <row r="539" spans="2:15" x14ac:dyDescent="0.3">
      <c r="B539"/>
      <c r="C539"/>
      <c r="L539"/>
      <c r="M539"/>
      <c r="N539"/>
      <c r="O539"/>
    </row>
    <row r="540" spans="2:15" x14ac:dyDescent="0.3">
      <c r="B540"/>
      <c r="C540"/>
      <c r="L540"/>
      <c r="M540"/>
      <c r="N540"/>
      <c r="O540"/>
    </row>
    <row r="541" spans="2:15" x14ac:dyDescent="0.3">
      <c r="B541"/>
      <c r="C541"/>
      <c r="L541"/>
      <c r="M541"/>
      <c r="N541"/>
      <c r="O541"/>
    </row>
    <row r="542" spans="2:15" x14ac:dyDescent="0.3">
      <c r="B542"/>
      <c r="C542"/>
      <c r="L542"/>
      <c r="M542"/>
      <c r="N542"/>
      <c r="O542"/>
    </row>
    <row r="543" spans="2:15" x14ac:dyDescent="0.3">
      <c r="B543"/>
      <c r="C543"/>
      <c r="L543"/>
      <c r="M543"/>
      <c r="N543"/>
      <c r="O543"/>
    </row>
    <row r="544" spans="2:15" x14ac:dyDescent="0.3">
      <c r="B544"/>
      <c r="C544"/>
      <c r="L544"/>
      <c r="M544"/>
      <c r="N544"/>
      <c r="O544"/>
    </row>
    <row r="545" spans="2:15" x14ac:dyDescent="0.3">
      <c r="B545"/>
      <c r="C545"/>
      <c r="L545"/>
      <c r="M545"/>
      <c r="N545"/>
      <c r="O545"/>
    </row>
    <row r="546" spans="2:15" x14ac:dyDescent="0.3">
      <c r="B546"/>
      <c r="C546"/>
      <c r="L546"/>
      <c r="M546"/>
      <c r="N546"/>
      <c r="O546"/>
    </row>
    <row r="547" spans="2:15" x14ac:dyDescent="0.3">
      <c r="B547"/>
      <c r="C547"/>
      <c r="L547"/>
      <c r="M547"/>
      <c r="N547"/>
      <c r="O547"/>
    </row>
    <row r="548" spans="2:15" x14ac:dyDescent="0.3">
      <c r="B548"/>
      <c r="C548"/>
      <c r="L548"/>
      <c r="M548"/>
      <c r="N548"/>
      <c r="O548"/>
    </row>
    <row r="549" spans="2:15" x14ac:dyDescent="0.3">
      <c r="B549"/>
      <c r="C549"/>
      <c r="L549"/>
      <c r="M549"/>
      <c r="N549"/>
      <c r="O549"/>
    </row>
    <row r="550" spans="2:15" x14ac:dyDescent="0.3">
      <c r="B550"/>
      <c r="C550"/>
      <c r="L550"/>
      <c r="M550"/>
      <c r="N550"/>
      <c r="O550"/>
    </row>
    <row r="551" spans="2:15" x14ac:dyDescent="0.3">
      <c r="B551"/>
      <c r="C551"/>
      <c r="L551"/>
      <c r="M551"/>
      <c r="N551"/>
      <c r="O551"/>
    </row>
    <row r="552" spans="2:15" x14ac:dyDescent="0.3">
      <c r="B552"/>
      <c r="C552"/>
      <c r="L552"/>
      <c r="M552"/>
      <c r="N552"/>
      <c r="O552"/>
    </row>
    <row r="553" spans="2:15" x14ac:dyDescent="0.3">
      <c r="B553"/>
      <c r="C553"/>
      <c r="L553"/>
      <c r="M553"/>
      <c r="N553"/>
      <c r="O553"/>
    </row>
    <row r="554" spans="2:15" x14ac:dyDescent="0.3">
      <c r="B554"/>
      <c r="C554"/>
      <c r="L554"/>
      <c r="M554"/>
      <c r="N554"/>
      <c r="O554"/>
    </row>
    <row r="555" spans="2:15" x14ac:dyDescent="0.3">
      <c r="B555"/>
      <c r="C555"/>
      <c r="L555"/>
      <c r="M555"/>
      <c r="N555"/>
      <c r="O555"/>
    </row>
    <row r="556" spans="2:15" x14ac:dyDescent="0.3">
      <c r="B556"/>
      <c r="C556"/>
      <c r="L556"/>
      <c r="M556"/>
      <c r="N556"/>
      <c r="O556"/>
    </row>
    <row r="557" spans="2:15" x14ac:dyDescent="0.3">
      <c r="B557"/>
      <c r="C557"/>
      <c r="L557"/>
      <c r="M557"/>
      <c r="N557"/>
      <c r="O557"/>
    </row>
    <row r="558" spans="2:15" x14ac:dyDescent="0.3">
      <c r="B558"/>
      <c r="C558"/>
      <c r="L558"/>
      <c r="M558"/>
      <c r="N558"/>
      <c r="O558"/>
    </row>
    <row r="559" spans="2:15" x14ac:dyDescent="0.3">
      <c r="B559"/>
      <c r="C559"/>
      <c r="L559"/>
      <c r="M559"/>
      <c r="N559"/>
      <c r="O559"/>
    </row>
    <row r="560" spans="2:15" x14ac:dyDescent="0.3">
      <c r="B560"/>
      <c r="C560"/>
      <c r="L560"/>
      <c r="M560"/>
      <c r="N560"/>
      <c r="O560"/>
    </row>
    <row r="561" spans="2:15" x14ac:dyDescent="0.3">
      <c r="B561"/>
      <c r="C561"/>
      <c r="L561"/>
      <c r="M561"/>
      <c r="N561"/>
      <c r="O561"/>
    </row>
    <row r="562" spans="2:15" x14ac:dyDescent="0.3">
      <c r="B562"/>
      <c r="C562"/>
      <c r="L562"/>
      <c r="M562"/>
      <c r="N562"/>
      <c r="O562"/>
    </row>
    <row r="563" spans="2:15" x14ac:dyDescent="0.3">
      <c r="B563"/>
      <c r="C563"/>
      <c r="L563"/>
      <c r="M563"/>
      <c r="N563"/>
      <c r="O563"/>
    </row>
    <row r="564" spans="2:15" x14ac:dyDescent="0.3">
      <c r="B564"/>
      <c r="C564"/>
      <c r="L564"/>
      <c r="M564"/>
      <c r="N564"/>
      <c r="O564"/>
    </row>
    <row r="565" spans="2:15" x14ac:dyDescent="0.3">
      <c r="B565"/>
      <c r="C565"/>
      <c r="L565"/>
      <c r="M565"/>
      <c r="N565"/>
      <c r="O565"/>
    </row>
    <row r="566" spans="2:15" x14ac:dyDescent="0.3">
      <c r="B566"/>
      <c r="C566"/>
      <c r="L566"/>
      <c r="M566"/>
      <c r="N566"/>
      <c r="O566"/>
    </row>
    <row r="567" spans="2:15" x14ac:dyDescent="0.3">
      <c r="B567"/>
      <c r="C567"/>
      <c r="L567"/>
      <c r="M567"/>
      <c r="N567"/>
      <c r="O567"/>
    </row>
    <row r="568" spans="2:15" x14ac:dyDescent="0.3">
      <c r="B568"/>
      <c r="C568"/>
      <c r="L568"/>
      <c r="M568"/>
      <c r="N568"/>
      <c r="O568"/>
    </row>
    <row r="569" spans="2:15" x14ac:dyDescent="0.3">
      <c r="B569"/>
      <c r="C569"/>
      <c r="L569"/>
      <c r="M569"/>
      <c r="N569"/>
      <c r="O569"/>
    </row>
    <row r="570" spans="2:15" x14ac:dyDescent="0.3">
      <c r="B570"/>
      <c r="C570"/>
      <c r="L570"/>
      <c r="M570"/>
      <c r="N570"/>
      <c r="O570"/>
    </row>
    <row r="571" spans="2:15" x14ac:dyDescent="0.3">
      <c r="B571"/>
      <c r="C571"/>
      <c r="L571"/>
      <c r="M571"/>
      <c r="N571"/>
      <c r="O571"/>
    </row>
    <row r="572" spans="2:15" x14ac:dyDescent="0.3">
      <c r="B572"/>
      <c r="C572"/>
      <c r="L572"/>
      <c r="M572"/>
      <c r="N572"/>
      <c r="O572"/>
    </row>
    <row r="573" spans="2:15" x14ac:dyDescent="0.3">
      <c r="B573"/>
      <c r="C573"/>
      <c r="L573"/>
      <c r="M573"/>
      <c r="N573"/>
      <c r="O573"/>
    </row>
    <row r="574" spans="2:15" x14ac:dyDescent="0.3">
      <c r="B574"/>
      <c r="C574"/>
      <c r="L574"/>
      <c r="M574"/>
      <c r="N574"/>
      <c r="O574"/>
    </row>
    <row r="575" spans="2:15" x14ac:dyDescent="0.3">
      <c r="B575"/>
      <c r="C575"/>
      <c r="L575"/>
      <c r="M575"/>
      <c r="N575"/>
      <c r="O575"/>
    </row>
    <row r="576" spans="2:15" x14ac:dyDescent="0.3">
      <c r="B576"/>
      <c r="C576"/>
      <c r="L576"/>
      <c r="M576"/>
      <c r="N576"/>
      <c r="O576"/>
    </row>
    <row r="577" spans="2:15" x14ac:dyDescent="0.3">
      <c r="B577"/>
      <c r="C577"/>
      <c r="L577"/>
      <c r="M577"/>
      <c r="N577"/>
      <c r="O577"/>
    </row>
    <row r="578" spans="2:15" x14ac:dyDescent="0.3">
      <c r="B578"/>
      <c r="C578"/>
      <c r="L578"/>
      <c r="M578"/>
      <c r="N578"/>
      <c r="O578"/>
    </row>
    <row r="579" spans="2:15" x14ac:dyDescent="0.3">
      <c r="B579"/>
      <c r="C579"/>
      <c r="L579"/>
      <c r="M579"/>
      <c r="N579"/>
      <c r="O579"/>
    </row>
    <row r="580" spans="2:15" x14ac:dyDescent="0.3">
      <c r="B580"/>
      <c r="C580"/>
      <c r="L580"/>
      <c r="M580"/>
      <c r="N580"/>
      <c r="O580"/>
    </row>
    <row r="581" spans="2:15" x14ac:dyDescent="0.3">
      <c r="B581"/>
      <c r="C581"/>
      <c r="L581"/>
      <c r="M581"/>
      <c r="N581"/>
      <c r="O581"/>
    </row>
    <row r="582" spans="2:15" x14ac:dyDescent="0.3">
      <c r="B582"/>
      <c r="C582"/>
      <c r="L582"/>
      <c r="M582"/>
      <c r="N582"/>
      <c r="O582"/>
    </row>
    <row r="583" spans="2:15" x14ac:dyDescent="0.3">
      <c r="B583"/>
      <c r="C583"/>
      <c r="L583"/>
      <c r="M583"/>
      <c r="N583"/>
      <c r="O583"/>
    </row>
    <row r="584" spans="2:15" x14ac:dyDescent="0.3">
      <c r="B584"/>
      <c r="C584"/>
      <c r="L584"/>
      <c r="M584"/>
      <c r="N584"/>
      <c r="O584"/>
    </row>
    <row r="585" spans="2:15" x14ac:dyDescent="0.3">
      <c r="B585"/>
      <c r="C585"/>
      <c r="L585"/>
      <c r="M585"/>
      <c r="N585"/>
      <c r="O585"/>
    </row>
    <row r="586" spans="2:15" x14ac:dyDescent="0.3">
      <c r="B586"/>
      <c r="C586"/>
      <c r="L586"/>
      <c r="M586"/>
      <c r="N586"/>
      <c r="O586"/>
    </row>
    <row r="587" spans="2:15" x14ac:dyDescent="0.3">
      <c r="B587"/>
      <c r="C587"/>
      <c r="L587"/>
      <c r="M587"/>
      <c r="N587"/>
      <c r="O587"/>
    </row>
    <row r="588" spans="2:15" x14ac:dyDescent="0.3">
      <c r="B588"/>
      <c r="C588"/>
      <c r="L588"/>
      <c r="M588"/>
      <c r="N588"/>
      <c r="O588"/>
    </row>
    <row r="589" spans="2:15" x14ac:dyDescent="0.3">
      <c r="B589"/>
      <c r="C589"/>
      <c r="L589"/>
      <c r="M589"/>
      <c r="N589"/>
      <c r="O589"/>
    </row>
    <row r="590" spans="2:15" x14ac:dyDescent="0.3">
      <c r="B590"/>
      <c r="C590"/>
      <c r="L590"/>
      <c r="M590"/>
      <c r="N590"/>
      <c r="O590"/>
    </row>
    <row r="591" spans="2:15" x14ac:dyDescent="0.3">
      <c r="B591"/>
      <c r="C591"/>
      <c r="L591"/>
      <c r="M591"/>
      <c r="N591"/>
      <c r="O591"/>
    </row>
    <row r="592" spans="2:15" x14ac:dyDescent="0.3">
      <c r="B592"/>
      <c r="C592"/>
      <c r="L592"/>
      <c r="M592"/>
      <c r="N592"/>
      <c r="O592"/>
    </row>
    <row r="593" spans="2:15" x14ac:dyDescent="0.3">
      <c r="B593"/>
      <c r="C593"/>
      <c r="L593"/>
      <c r="M593"/>
      <c r="N593"/>
      <c r="O593"/>
    </row>
    <row r="594" spans="2:15" x14ac:dyDescent="0.3">
      <c r="B594"/>
      <c r="C594"/>
      <c r="L594"/>
      <c r="M594"/>
      <c r="N594"/>
      <c r="O594"/>
    </row>
    <row r="595" spans="2:15" x14ac:dyDescent="0.3">
      <c r="B595"/>
      <c r="C595"/>
      <c r="L595"/>
      <c r="M595"/>
      <c r="N595"/>
      <c r="O595"/>
    </row>
    <row r="596" spans="2:15" x14ac:dyDescent="0.3">
      <c r="B596"/>
      <c r="C596"/>
      <c r="L596"/>
      <c r="M596"/>
      <c r="N596"/>
      <c r="O596"/>
    </row>
    <row r="597" spans="2:15" x14ac:dyDescent="0.3">
      <c r="B597"/>
      <c r="C597"/>
      <c r="L597"/>
      <c r="M597"/>
      <c r="N597"/>
      <c r="O597"/>
    </row>
    <row r="598" spans="2:15" x14ac:dyDescent="0.3">
      <c r="B598"/>
      <c r="C598"/>
      <c r="L598"/>
      <c r="M598"/>
      <c r="N598"/>
      <c r="O598"/>
    </row>
    <row r="599" spans="2:15" x14ac:dyDescent="0.3">
      <c r="B599"/>
      <c r="C599"/>
      <c r="L599"/>
      <c r="M599"/>
      <c r="N599"/>
      <c r="O599"/>
    </row>
    <row r="600" spans="2:15" x14ac:dyDescent="0.3">
      <c r="B600"/>
      <c r="C600"/>
      <c r="L600"/>
      <c r="M600"/>
      <c r="N600"/>
      <c r="O600"/>
    </row>
    <row r="601" spans="2:15" x14ac:dyDescent="0.3">
      <c r="B601"/>
      <c r="C601"/>
      <c r="L601"/>
      <c r="M601"/>
      <c r="N601"/>
      <c r="O601"/>
    </row>
    <row r="602" spans="2:15" x14ac:dyDescent="0.3">
      <c r="B602"/>
      <c r="C602"/>
      <c r="L602"/>
      <c r="M602"/>
      <c r="N602"/>
      <c r="O602"/>
    </row>
    <row r="603" spans="2:15" x14ac:dyDescent="0.3">
      <c r="B603"/>
      <c r="C603"/>
      <c r="L603"/>
      <c r="M603"/>
      <c r="N603"/>
      <c r="O603"/>
    </row>
    <row r="604" spans="2:15" x14ac:dyDescent="0.3">
      <c r="B604"/>
      <c r="C604"/>
      <c r="L604"/>
      <c r="M604"/>
      <c r="N604"/>
      <c r="O604"/>
    </row>
    <row r="605" spans="2:15" x14ac:dyDescent="0.3">
      <c r="B605"/>
      <c r="C605"/>
      <c r="L605"/>
      <c r="M605"/>
      <c r="N605"/>
      <c r="O605"/>
    </row>
    <row r="606" spans="2:15" x14ac:dyDescent="0.3">
      <c r="B606"/>
      <c r="C606"/>
      <c r="L606"/>
      <c r="M606"/>
      <c r="N606"/>
      <c r="O606"/>
    </row>
    <row r="607" spans="2:15" x14ac:dyDescent="0.3">
      <c r="B607"/>
      <c r="C607"/>
      <c r="L607"/>
      <c r="M607"/>
      <c r="N607"/>
      <c r="O607"/>
    </row>
    <row r="608" spans="2:15" x14ac:dyDescent="0.3">
      <c r="B608"/>
      <c r="C608"/>
      <c r="L608"/>
      <c r="M608"/>
      <c r="N608"/>
      <c r="O608"/>
    </row>
    <row r="609" spans="2:15" x14ac:dyDescent="0.3">
      <c r="B609"/>
      <c r="C609"/>
      <c r="L609"/>
      <c r="M609"/>
      <c r="N609"/>
      <c r="O609"/>
    </row>
    <row r="610" spans="2:15" x14ac:dyDescent="0.3">
      <c r="B610"/>
      <c r="C610"/>
      <c r="L610"/>
      <c r="M610"/>
      <c r="N610"/>
      <c r="O610"/>
    </row>
    <row r="611" spans="2:15" x14ac:dyDescent="0.3">
      <c r="B611"/>
      <c r="C611"/>
      <c r="L611"/>
      <c r="M611"/>
      <c r="N611"/>
      <c r="O611"/>
    </row>
    <row r="612" spans="2:15" x14ac:dyDescent="0.3">
      <c r="B612"/>
      <c r="C612"/>
      <c r="L612"/>
      <c r="M612"/>
      <c r="N612"/>
      <c r="O612"/>
    </row>
    <row r="613" spans="2:15" x14ac:dyDescent="0.3">
      <c r="B613"/>
      <c r="C613"/>
      <c r="L613"/>
      <c r="M613"/>
      <c r="N613"/>
      <c r="O613"/>
    </row>
    <row r="614" spans="2:15" x14ac:dyDescent="0.3">
      <c r="B614"/>
      <c r="C614"/>
      <c r="L614"/>
      <c r="M614"/>
      <c r="N614"/>
      <c r="O614"/>
    </row>
    <row r="615" spans="2:15" x14ac:dyDescent="0.3">
      <c r="B615"/>
      <c r="C615"/>
      <c r="L615"/>
      <c r="M615"/>
      <c r="N615"/>
      <c r="O615"/>
    </row>
    <row r="616" spans="2:15" x14ac:dyDescent="0.3">
      <c r="B616"/>
      <c r="C616"/>
      <c r="L616"/>
      <c r="M616"/>
      <c r="N616"/>
      <c r="O616"/>
    </row>
    <row r="617" spans="2:15" x14ac:dyDescent="0.3">
      <c r="B617"/>
      <c r="C617"/>
      <c r="L617"/>
      <c r="M617"/>
      <c r="N617"/>
      <c r="O617"/>
    </row>
    <row r="618" spans="2:15" x14ac:dyDescent="0.3">
      <c r="B618"/>
      <c r="C618"/>
      <c r="L618"/>
      <c r="M618"/>
      <c r="N618"/>
      <c r="O618"/>
    </row>
    <row r="619" spans="2:15" x14ac:dyDescent="0.3">
      <c r="B619"/>
      <c r="C619"/>
      <c r="L619"/>
      <c r="M619"/>
      <c r="N619"/>
      <c r="O619"/>
    </row>
    <row r="620" spans="2:15" x14ac:dyDescent="0.3">
      <c r="B620"/>
      <c r="C620"/>
      <c r="L620"/>
      <c r="M620"/>
      <c r="N620"/>
      <c r="O620"/>
    </row>
    <row r="621" spans="2:15" x14ac:dyDescent="0.3">
      <c r="B621"/>
      <c r="C621"/>
      <c r="L621"/>
      <c r="M621"/>
      <c r="N621"/>
      <c r="O621"/>
    </row>
    <row r="622" spans="2:15" x14ac:dyDescent="0.3">
      <c r="B622"/>
      <c r="C622"/>
      <c r="L622"/>
      <c r="M622"/>
      <c r="N622"/>
      <c r="O622"/>
    </row>
    <row r="623" spans="2:15" x14ac:dyDescent="0.3">
      <c r="B623"/>
      <c r="C623"/>
      <c r="L623"/>
      <c r="M623"/>
      <c r="N623"/>
      <c r="O623"/>
    </row>
    <row r="624" spans="2:15" x14ac:dyDescent="0.3">
      <c r="B624"/>
      <c r="C624"/>
      <c r="L624"/>
      <c r="M624"/>
      <c r="N624"/>
      <c r="O624"/>
    </row>
    <row r="625" spans="2:15" x14ac:dyDescent="0.3">
      <c r="B625"/>
      <c r="C625"/>
      <c r="L625"/>
      <c r="M625"/>
      <c r="N625"/>
      <c r="O625"/>
    </row>
    <row r="626" spans="2:15" x14ac:dyDescent="0.3">
      <c r="B626"/>
      <c r="C626"/>
      <c r="L626"/>
      <c r="M626"/>
      <c r="N626"/>
      <c r="O626"/>
    </row>
    <row r="627" spans="2:15" x14ac:dyDescent="0.3">
      <c r="B627"/>
      <c r="C627"/>
      <c r="L627"/>
      <c r="M627"/>
      <c r="N627"/>
      <c r="O627"/>
    </row>
    <row r="628" spans="2:15" x14ac:dyDescent="0.3">
      <c r="B628"/>
      <c r="C628"/>
      <c r="L628"/>
      <c r="M628"/>
      <c r="N628"/>
      <c r="O628"/>
    </row>
    <row r="629" spans="2:15" x14ac:dyDescent="0.3">
      <c r="B629"/>
      <c r="C629"/>
      <c r="L629"/>
      <c r="M629"/>
      <c r="N629"/>
      <c r="O629"/>
    </row>
    <row r="630" spans="2:15" x14ac:dyDescent="0.3">
      <c r="B630"/>
      <c r="C630"/>
      <c r="L630"/>
      <c r="M630"/>
      <c r="N630"/>
      <c r="O630"/>
    </row>
    <row r="631" spans="2:15" x14ac:dyDescent="0.3">
      <c r="B631"/>
      <c r="C631"/>
      <c r="L631"/>
      <c r="M631"/>
      <c r="N631"/>
      <c r="O631"/>
    </row>
    <row r="632" spans="2:15" x14ac:dyDescent="0.3">
      <c r="B632"/>
      <c r="C632"/>
      <c r="L632"/>
      <c r="M632"/>
      <c r="N632"/>
      <c r="O632"/>
    </row>
    <row r="633" spans="2:15" x14ac:dyDescent="0.3">
      <c r="B633"/>
      <c r="C633"/>
      <c r="L633"/>
      <c r="M633"/>
      <c r="N633"/>
      <c r="O633"/>
    </row>
    <row r="634" spans="2:15" x14ac:dyDescent="0.3">
      <c r="B634"/>
      <c r="C634"/>
      <c r="L634"/>
      <c r="M634"/>
      <c r="N634"/>
      <c r="O634"/>
    </row>
    <row r="635" spans="2:15" x14ac:dyDescent="0.3">
      <c r="B635"/>
      <c r="C635"/>
      <c r="L635"/>
      <c r="M635"/>
      <c r="N635"/>
      <c r="O635"/>
    </row>
    <row r="636" spans="2:15" x14ac:dyDescent="0.3">
      <c r="B636"/>
      <c r="C636"/>
      <c r="L636"/>
      <c r="M636"/>
      <c r="N636"/>
      <c r="O636"/>
    </row>
    <row r="637" spans="2:15" x14ac:dyDescent="0.3">
      <c r="B637"/>
      <c r="C637"/>
      <c r="L637"/>
      <c r="M637"/>
      <c r="N637"/>
      <c r="O637"/>
    </row>
    <row r="638" spans="2:15" x14ac:dyDescent="0.3">
      <c r="B638"/>
      <c r="C638"/>
      <c r="L638"/>
      <c r="M638"/>
      <c r="N638"/>
      <c r="O638"/>
    </row>
    <row r="639" spans="2:15" x14ac:dyDescent="0.3">
      <c r="B639"/>
      <c r="C639"/>
      <c r="L639"/>
      <c r="M639"/>
      <c r="N639"/>
      <c r="O639"/>
    </row>
    <row r="640" spans="2:15" x14ac:dyDescent="0.3">
      <c r="B640"/>
      <c r="C640"/>
      <c r="L640"/>
      <c r="M640"/>
      <c r="N640"/>
      <c r="O640"/>
    </row>
    <row r="641" spans="2:15" x14ac:dyDescent="0.3">
      <c r="B641"/>
      <c r="C641"/>
      <c r="L641"/>
      <c r="M641"/>
      <c r="N641"/>
      <c r="O641"/>
    </row>
    <row r="642" spans="2:15" x14ac:dyDescent="0.3">
      <c r="B642"/>
      <c r="C642"/>
      <c r="L642"/>
      <c r="M642"/>
      <c r="N642"/>
      <c r="O642"/>
    </row>
    <row r="643" spans="2:15" x14ac:dyDescent="0.3">
      <c r="B643"/>
      <c r="C643"/>
      <c r="L643"/>
      <c r="M643"/>
      <c r="N643"/>
      <c r="O643"/>
    </row>
    <row r="644" spans="2:15" x14ac:dyDescent="0.3">
      <c r="B644"/>
      <c r="C644"/>
      <c r="L644"/>
      <c r="M644"/>
      <c r="N644"/>
      <c r="O644"/>
    </row>
    <row r="645" spans="2:15" x14ac:dyDescent="0.3">
      <c r="B645"/>
      <c r="C645"/>
      <c r="L645"/>
      <c r="M645"/>
      <c r="N645"/>
      <c r="O645"/>
    </row>
    <row r="646" spans="2:15" x14ac:dyDescent="0.3">
      <c r="B646"/>
      <c r="C646"/>
      <c r="L646"/>
      <c r="M646"/>
      <c r="N646"/>
      <c r="O646"/>
    </row>
    <row r="647" spans="2:15" x14ac:dyDescent="0.3">
      <c r="B647"/>
      <c r="C647"/>
      <c r="L647"/>
      <c r="M647"/>
      <c r="N647"/>
      <c r="O647"/>
    </row>
    <row r="648" spans="2:15" x14ac:dyDescent="0.3">
      <c r="B648"/>
      <c r="C648"/>
      <c r="L648"/>
      <c r="M648"/>
      <c r="N648"/>
      <c r="O648"/>
    </row>
    <row r="649" spans="2:15" x14ac:dyDescent="0.3">
      <c r="B649"/>
      <c r="C649"/>
      <c r="L649"/>
      <c r="M649"/>
      <c r="N649"/>
      <c r="O649"/>
    </row>
    <row r="650" spans="2:15" x14ac:dyDescent="0.3">
      <c r="B650"/>
      <c r="C650"/>
      <c r="L650"/>
      <c r="M650"/>
      <c r="N650"/>
      <c r="O650"/>
    </row>
    <row r="651" spans="2:15" x14ac:dyDescent="0.3">
      <c r="B651"/>
      <c r="C651"/>
      <c r="L651"/>
      <c r="M651"/>
      <c r="N651"/>
      <c r="O651"/>
    </row>
    <row r="652" spans="2:15" x14ac:dyDescent="0.3">
      <c r="B652"/>
      <c r="C652"/>
      <c r="L652"/>
      <c r="M652"/>
      <c r="N652"/>
      <c r="O652"/>
    </row>
    <row r="653" spans="2:15" x14ac:dyDescent="0.3">
      <c r="B653"/>
      <c r="C653"/>
      <c r="L653"/>
      <c r="M653"/>
      <c r="N653"/>
      <c r="O653"/>
    </row>
    <row r="654" spans="2:15" x14ac:dyDescent="0.3">
      <c r="B654"/>
      <c r="C654"/>
      <c r="L654"/>
      <c r="M654"/>
      <c r="N654"/>
      <c r="O654"/>
    </row>
    <row r="655" spans="2:15" x14ac:dyDescent="0.3">
      <c r="B655"/>
      <c r="C655"/>
      <c r="L655"/>
      <c r="M655"/>
      <c r="N655"/>
      <c r="O655"/>
    </row>
    <row r="656" spans="2:15" x14ac:dyDescent="0.3">
      <c r="B656"/>
      <c r="C656"/>
      <c r="L656"/>
      <c r="M656"/>
      <c r="N656"/>
      <c r="O656"/>
    </row>
    <row r="657" spans="2:15" x14ac:dyDescent="0.3">
      <c r="B657"/>
      <c r="C657"/>
      <c r="L657"/>
      <c r="M657"/>
      <c r="N657"/>
      <c r="O657"/>
    </row>
    <row r="658" spans="2:15" x14ac:dyDescent="0.3">
      <c r="B658"/>
      <c r="C658"/>
      <c r="L658"/>
      <c r="M658"/>
      <c r="N658"/>
      <c r="O658"/>
    </row>
    <row r="659" spans="2:15" x14ac:dyDescent="0.3">
      <c r="B659"/>
      <c r="C659"/>
      <c r="L659"/>
      <c r="M659"/>
      <c r="N659"/>
      <c r="O659"/>
    </row>
    <row r="660" spans="2:15" x14ac:dyDescent="0.3">
      <c r="B660"/>
      <c r="C660"/>
      <c r="L660"/>
      <c r="M660"/>
      <c r="N660"/>
      <c r="O660"/>
    </row>
    <row r="661" spans="2:15" x14ac:dyDescent="0.3">
      <c r="B661"/>
      <c r="C661"/>
      <c r="L661"/>
      <c r="M661"/>
      <c r="N661"/>
      <c r="O661"/>
    </row>
    <row r="662" spans="2:15" x14ac:dyDescent="0.3">
      <c r="B662"/>
      <c r="C662"/>
      <c r="L662"/>
      <c r="M662"/>
      <c r="N662"/>
      <c r="O662"/>
    </row>
    <row r="663" spans="2:15" x14ac:dyDescent="0.3">
      <c r="B663"/>
      <c r="C663"/>
      <c r="L663"/>
      <c r="M663"/>
      <c r="N663"/>
      <c r="O663"/>
    </row>
    <row r="664" spans="2:15" x14ac:dyDescent="0.3">
      <c r="B664"/>
      <c r="C664"/>
      <c r="L664"/>
      <c r="M664"/>
      <c r="N664"/>
      <c r="O664"/>
    </row>
    <row r="665" spans="2:15" x14ac:dyDescent="0.3">
      <c r="B665"/>
      <c r="C665"/>
      <c r="L665"/>
      <c r="M665"/>
      <c r="N665"/>
      <c r="O665"/>
    </row>
    <row r="666" spans="2:15" x14ac:dyDescent="0.3">
      <c r="B666"/>
      <c r="C666"/>
      <c r="L666"/>
      <c r="M666"/>
      <c r="N666"/>
      <c r="O666"/>
    </row>
    <row r="667" spans="2:15" x14ac:dyDescent="0.3">
      <c r="B667"/>
      <c r="C667"/>
      <c r="L667"/>
      <c r="M667"/>
      <c r="N667"/>
      <c r="O667"/>
    </row>
    <row r="668" spans="2:15" x14ac:dyDescent="0.3">
      <c r="B668"/>
      <c r="C668"/>
      <c r="L668"/>
      <c r="M668"/>
      <c r="N668"/>
      <c r="O668"/>
    </row>
    <row r="669" spans="2:15" x14ac:dyDescent="0.3">
      <c r="B669"/>
      <c r="C669"/>
      <c r="L669"/>
      <c r="M669"/>
      <c r="N669"/>
      <c r="O669"/>
    </row>
    <row r="670" spans="2:15" x14ac:dyDescent="0.3">
      <c r="B670"/>
      <c r="C670"/>
      <c r="L670"/>
      <c r="M670"/>
      <c r="N670"/>
      <c r="O670"/>
    </row>
    <row r="671" spans="2:15" x14ac:dyDescent="0.3">
      <c r="B671"/>
      <c r="C671"/>
      <c r="L671"/>
      <c r="M671"/>
      <c r="N671"/>
      <c r="O671"/>
    </row>
    <row r="672" spans="2:15" x14ac:dyDescent="0.3">
      <c r="B672"/>
      <c r="C672"/>
      <c r="L672"/>
      <c r="M672"/>
      <c r="N672"/>
      <c r="O672"/>
    </row>
    <row r="673" spans="2:15" x14ac:dyDescent="0.3">
      <c r="B673"/>
      <c r="C673"/>
      <c r="L673"/>
      <c r="M673"/>
      <c r="N673"/>
      <c r="O673"/>
    </row>
    <row r="674" spans="2:15" x14ac:dyDescent="0.3">
      <c r="B674"/>
      <c r="C674"/>
      <c r="L674"/>
      <c r="M674"/>
      <c r="N674"/>
      <c r="O674"/>
    </row>
    <row r="675" spans="2:15" x14ac:dyDescent="0.3">
      <c r="B675"/>
      <c r="C675"/>
      <c r="L675"/>
      <c r="M675"/>
      <c r="N675"/>
      <c r="O675"/>
    </row>
    <row r="676" spans="2:15" x14ac:dyDescent="0.3">
      <c r="B676"/>
      <c r="C676"/>
      <c r="L676"/>
      <c r="M676"/>
      <c r="N676"/>
      <c r="O676"/>
    </row>
    <row r="677" spans="2:15" x14ac:dyDescent="0.3">
      <c r="B677"/>
      <c r="C677"/>
      <c r="L677"/>
      <c r="M677"/>
      <c r="N677"/>
      <c r="O677"/>
    </row>
    <row r="678" spans="2:15" x14ac:dyDescent="0.3">
      <c r="B678"/>
      <c r="C678"/>
      <c r="L678"/>
      <c r="M678"/>
      <c r="N678"/>
      <c r="O678"/>
    </row>
    <row r="679" spans="2:15" x14ac:dyDescent="0.3">
      <c r="B679"/>
      <c r="C679"/>
      <c r="L679"/>
      <c r="M679"/>
      <c r="N679"/>
      <c r="O679"/>
    </row>
    <row r="680" spans="2:15" x14ac:dyDescent="0.3">
      <c r="B680"/>
      <c r="C680"/>
      <c r="L680"/>
      <c r="M680"/>
      <c r="N680"/>
      <c r="O680"/>
    </row>
    <row r="681" spans="2:15" x14ac:dyDescent="0.3">
      <c r="B681"/>
      <c r="C681"/>
      <c r="L681"/>
      <c r="M681"/>
      <c r="N681"/>
      <c r="O681"/>
    </row>
    <row r="682" spans="2:15" x14ac:dyDescent="0.3">
      <c r="B682"/>
      <c r="C682"/>
      <c r="L682"/>
      <c r="M682"/>
      <c r="N682"/>
      <c r="O682"/>
    </row>
    <row r="683" spans="2:15" x14ac:dyDescent="0.3">
      <c r="B683"/>
      <c r="C683"/>
      <c r="L683"/>
      <c r="M683"/>
      <c r="N683"/>
      <c r="O683"/>
    </row>
    <row r="684" spans="2:15" x14ac:dyDescent="0.3">
      <c r="B684"/>
      <c r="C684"/>
      <c r="L684"/>
      <c r="M684"/>
      <c r="N684"/>
      <c r="O684"/>
    </row>
    <row r="685" spans="2:15" x14ac:dyDescent="0.3">
      <c r="B685"/>
      <c r="C685"/>
      <c r="L685"/>
      <c r="M685"/>
      <c r="N685"/>
      <c r="O685"/>
    </row>
    <row r="686" spans="2:15" x14ac:dyDescent="0.3">
      <c r="B686"/>
      <c r="C686"/>
      <c r="L686"/>
      <c r="M686"/>
      <c r="N686"/>
      <c r="O686"/>
    </row>
    <row r="687" spans="2:15" x14ac:dyDescent="0.3">
      <c r="B687"/>
      <c r="C687"/>
      <c r="L687"/>
      <c r="M687"/>
      <c r="N687"/>
      <c r="O687"/>
    </row>
    <row r="688" spans="2:15" x14ac:dyDescent="0.3">
      <c r="B688"/>
      <c r="C688"/>
      <c r="L688"/>
      <c r="M688"/>
      <c r="N688"/>
      <c r="O688"/>
    </row>
    <row r="689" spans="2:15" x14ac:dyDescent="0.3">
      <c r="B689"/>
      <c r="C689"/>
      <c r="L689"/>
      <c r="M689"/>
      <c r="N689"/>
      <c r="O689"/>
    </row>
    <row r="690" spans="2:15" x14ac:dyDescent="0.3">
      <c r="B690"/>
      <c r="C690"/>
      <c r="L690"/>
      <c r="M690"/>
      <c r="N690"/>
      <c r="O690"/>
    </row>
    <row r="691" spans="2:15" x14ac:dyDescent="0.3">
      <c r="B691"/>
      <c r="C691"/>
      <c r="L691"/>
      <c r="M691"/>
      <c r="N691"/>
      <c r="O691"/>
    </row>
    <row r="692" spans="2:15" x14ac:dyDescent="0.3">
      <c r="B692"/>
      <c r="C692"/>
      <c r="L692"/>
      <c r="M692"/>
      <c r="N692"/>
      <c r="O692"/>
    </row>
    <row r="693" spans="2:15" x14ac:dyDescent="0.3">
      <c r="B693"/>
      <c r="C693"/>
      <c r="L693"/>
      <c r="M693"/>
      <c r="N693"/>
      <c r="O693"/>
    </row>
    <row r="694" spans="2:15" x14ac:dyDescent="0.3">
      <c r="B694"/>
      <c r="C694"/>
      <c r="L694"/>
      <c r="M694"/>
      <c r="N694"/>
      <c r="O694"/>
    </row>
    <row r="695" spans="2:15" x14ac:dyDescent="0.3">
      <c r="B695"/>
      <c r="C695"/>
      <c r="L695"/>
      <c r="M695"/>
      <c r="N695"/>
      <c r="O695"/>
    </row>
    <row r="696" spans="2:15" x14ac:dyDescent="0.3">
      <c r="B696"/>
      <c r="C696"/>
      <c r="L696"/>
      <c r="M696"/>
      <c r="N696"/>
      <c r="O696"/>
    </row>
    <row r="697" spans="2:15" x14ac:dyDescent="0.3">
      <c r="B697"/>
      <c r="C697"/>
      <c r="L697"/>
      <c r="M697"/>
      <c r="N697"/>
      <c r="O697"/>
    </row>
    <row r="698" spans="2:15" x14ac:dyDescent="0.3">
      <c r="B698"/>
      <c r="C698"/>
      <c r="L698"/>
      <c r="M698"/>
      <c r="N698"/>
      <c r="O698"/>
    </row>
    <row r="699" spans="2:15" x14ac:dyDescent="0.3">
      <c r="B699"/>
      <c r="C699"/>
      <c r="L699"/>
      <c r="M699"/>
      <c r="N699"/>
      <c r="O699"/>
    </row>
    <row r="700" spans="2:15" x14ac:dyDescent="0.3">
      <c r="B700"/>
      <c r="C700"/>
      <c r="L700"/>
      <c r="M700"/>
      <c r="N700"/>
      <c r="O700"/>
    </row>
    <row r="701" spans="2:15" x14ac:dyDescent="0.3">
      <c r="B701"/>
      <c r="C701"/>
      <c r="L701"/>
      <c r="M701"/>
      <c r="N701"/>
      <c r="O701"/>
    </row>
    <row r="702" spans="2:15" x14ac:dyDescent="0.3">
      <c r="B702"/>
      <c r="C702"/>
      <c r="L702"/>
      <c r="M702"/>
      <c r="N702"/>
      <c r="O702"/>
    </row>
    <row r="703" spans="2:15" x14ac:dyDescent="0.3">
      <c r="B703"/>
      <c r="C703"/>
      <c r="L703"/>
      <c r="M703"/>
      <c r="N703"/>
      <c r="O703"/>
    </row>
    <row r="704" spans="2:15" x14ac:dyDescent="0.3">
      <c r="B704"/>
      <c r="C704"/>
      <c r="L704"/>
      <c r="M704"/>
      <c r="N704"/>
      <c r="O704"/>
    </row>
    <row r="705" spans="2:15" x14ac:dyDescent="0.3">
      <c r="B705"/>
      <c r="C705"/>
      <c r="L705"/>
      <c r="M705"/>
      <c r="N705"/>
      <c r="O705"/>
    </row>
    <row r="706" spans="2:15" x14ac:dyDescent="0.3">
      <c r="B706"/>
      <c r="C706"/>
      <c r="L706"/>
      <c r="M706"/>
      <c r="N706"/>
      <c r="O706"/>
    </row>
    <row r="707" spans="2:15" x14ac:dyDescent="0.3">
      <c r="B707"/>
      <c r="C707"/>
      <c r="L707"/>
      <c r="M707"/>
      <c r="N707"/>
      <c r="O707"/>
    </row>
    <row r="708" spans="2:15" x14ac:dyDescent="0.3">
      <c r="B708"/>
      <c r="C708"/>
      <c r="L708"/>
      <c r="M708"/>
      <c r="N708"/>
      <c r="O708"/>
    </row>
    <row r="709" spans="2:15" x14ac:dyDescent="0.3">
      <c r="B709"/>
      <c r="C709"/>
      <c r="L709"/>
      <c r="M709"/>
      <c r="N709"/>
      <c r="O709"/>
    </row>
    <row r="710" spans="2:15" x14ac:dyDescent="0.3">
      <c r="B710"/>
      <c r="C710"/>
      <c r="L710"/>
      <c r="M710"/>
      <c r="N710"/>
      <c r="O710"/>
    </row>
    <row r="711" spans="2:15" x14ac:dyDescent="0.3">
      <c r="B711"/>
      <c r="C711"/>
      <c r="L711"/>
      <c r="M711"/>
      <c r="N711"/>
      <c r="O711"/>
    </row>
    <row r="712" spans="2:15" x14ac:dyDescent="0.3">
      <c r="B712"/>
      <c r="C712"/>
      <c r="L712"/>
      <c r="M712"/>
      <c r="N712"/>
      <c r="O712"/>
    </row>
    <row r="713" spans="2:15" x14ac:dyDescent="0.3">
      <c r="B713"/>
      <c r="C713"/>
      <c r="L713"/>
      <c r="M713"/>
      <c r="N713"/>
      <c r="O713"/>
    </row>
    <row r="714" spans="2:15" x14ac:dyDescent="0.3">
      <c r="B714"/>
      <c r="C714"/>
      <c r="L714"/>
      <c r="M714"/>
      <c r="N714"/>
      <c r="O714"/>
    </row>
    <row r="715" spans="2:15" x14ac:dyDescent="0.3">
      <c r="B715"/>
      <c r="C715"/>
      <c r="L715"/>
      <c r="M715"/>
      <c r="N715"/>
      <c r="O715"/>
    </row>
    <row r="716" spans="2:15" x14ac:dyDescent="0.3">
      <c r="B716"/>
      <c r="C716"/>
      <c r="L716"/>
      <c r="M716"/>
      <c r="N716"/>
      <c r="O716"/>
    </row>
    <row r="717" spans="2:15" x14ac:dyDescent="0.3">
      <c r="B717"/>
      <c r="C717"/>
      <c r="L717"/>
      <c r="M717"/>
      <c r="N717"/>
      <c r="O717"/>
    </row>
    <row r="718" spans="2:15" x14ac:dyDescent="0.3">
      <c r="B718"/>
      <c r="C718"/>
      <c r="L718"/>
      <c r="M718"/>
      <c r="N718"/>
      <c r="O718"/>
    </row>
    <row r="719" spans="2:15" x14ac:dyDescent="0.3">
      <c r="B719"/>
      <c r="C719"/>
      <c r="L719"/>
      <c r="M719"/>
      <c r="N719"/>
      <c r="O719"/>
    </row>
    <row r="720" spans="2:15" x14ac:dyDescent="0.3">
      <c r="B720"/>
      <c r="C720"/>
      <c r="L720"/>
      <c r="M720"/>
      <c r="N720"/>
      <c r="O720"/>
    </row>
    <row r="721" spans="2:15" x14ac:dyDescent="0.3">
      <c r="B721"/>
      <c r="C721"/>
      <c r="L721"/>
      <c r="M721"/>
      <c r="N721"/>
      <c r="O721"/>
    </row>
    <row r="722" spans="2:15" x14ac:dyDescent="0.3">
      <c r="B722"/>
      <c r="C722"/>
      <c r="L722"/>
      <c r="M722"/>
      <c r="N722"/>
      <c r="O722"/>
    </row>
    <row r="723" spans="2:15" x14ac:dyDescent="0.3">
      <c r="B723"/>
      <c r="C723"/>
      <c r="L723"/>
      <c r="M723"/>
      <c r="N723"/>
      <c r="O723"/>
    </row>
    <row r="724" spans="2:15" x14ac:dyDescent="0.3">
      <c r="B724"/>
      <c r="C724"/>
      <c r="L724"/>
      <c r="M724"/>
      <c r="N724"/>
      <c r="O724"/>
    </row>
    <row r="725" spans="2:15" x14ac:dyDescent="0.3">
      <c r="B725"/>
      <c r="C725"/>
      <c r="L725"/>
      <c r="M725"/>
      <c r="N725"/>
      <c r="O725"/>
    </row>
    <row r="726" spans="2:15" x14ac:dyDescent="0.3">
      <c r="B726"/>
      <c r="C726"/>
      <c r="L726"/>
      <c r="M726"/>
      <c r="N726"/>
      <c r="O726"/>
    </row>
    <row r="727" spans="2:15" x14ac:dyDescent="0.3">
      <c r="B727"/>
      <c r="C727"/>
      <c r="L727"/>
      <c r="M727"/>
      <c r="N727"/>
      <c r="O727"/>
    </row>
    <row r="728" spans="2:15" x14ac:dyDescent="0.3">
      <c r="B728"/>
      <c r="C728"/>
      <c r="L728"/>
      <c r="M728"/>
      <c r="N728"/>
      <c r="O728"/>
    </row>
    <row r="729" spans="2:15" x14ac:dyDescent="0.3">
      <c r="B729"/>
      <c r="C729"/>
      <c r="L729"/>
      <c r="M729"/>
      <c r="N729"/>
      <c r="O729"/>
    </row>
    <row r="730" spans="2:15" x14ac:dyDescent="0.3">
      <c r="B730"/>
      <c r="C730"/>
      <c r="L730"/>
      <c r="M730"/>
      <c r="N730"/>
      <c r="O730"/>
    </row>
    <row r="731" spans="2:15" x14ac:dyDescent="0.3">
      <c r="B731"/>
      <c r="C731"/>
      <c r="L731"/>
      <c r="M731"/>
      <c r="N731"/>
      <c r="O731"/>
    </row>
    <row r="732" spans="2:15" x14ac:dyDescent="0.3">
      <c r="B732"/>
      <c r="C732"/>
      <c r="L732"/>
      <c r="M732"/>
      <c r="N732"/>
      <c r="O732"/>
    </row>
    <row r="733" spans="2:15" x14ac:dyDescent="0.3">
      <c r="B733"/>
      <c r="C733"/>
      <c r="L733"/>
      <c r="M733"/>
      <c r="N733"/>
      <c r="O733"/>
    </row>
    <row r="734" spans="2:15" x14ac:dyDescent="0.3">
      <c r="B734"/>
      <c r="C734"/>
      <c r="L734"/>
      <c r="M734"/>
      <c r="N734"/>
      <c r="O734"/>
    </row>
    <row r="735" spans="2:15" x14ac:dyDescent="0.3">
      <c r="B735"/>
      <c r="C735"/>
      <c r="L735"/>
      <c r="M735"/>
      <c r="N735"/>
      <c r="O735"/>
    </row>
    <row r="736" spans="2:15" x14ac:dyDescent="0.3">
      <c r="B736"/>
      <c r="C736"/>
      <c r="L736"/>
      <c r="M736"/>
      <c r="N736"/>
      <c r="O736"/>
    </row>
    <row r="737" spans="2:15" x14ac:dyDescent="0.3">
      <c r="B737"/>
      <c r="C737"/>
      <c r="L737"/>
      <c r="M737"/>
      <c r="N737"/>
      <c r="O737"/>
    </row>
    <row r="738" spans="2:15" x14ac:dyDescent="0.3">
      <c r="B738"/>
      <c r="C738"/>
      <c r="L738"/>
      <c r="M738"/>
      <c r="N738"/>
      <c r="O738"/>
    </row>
    <row r="739" spans="2:15" x14ac:dyDescent="0.3">
      <c r="B739"/>
      <c r="C739"/>
      <c r="L739"/>
      <c r="M739"/>
      <c r="N739"/>
      <c r="O739"/>
    </row>
    <row r="740" spans="2:15" x14ac:dyDescent="0.3">
      <c r="B740"/>
      <c r="C740"/>
      <c r="L740"/>
      <c r="M740"/>
      <c r="N740"/>
      <c r="O740"/>
    </row>
    <row r="741" spans="2:15" x14ac:dyDescent="0.3">
      <c r="B741"/>
      <c r="C741"/>
      <c r="L741"/>
      <c r="M741"/>
      <c r="N741"/>
      <c r="O741"/>
    </row>
    <row r="742" spans="2:15" x14ac:dyDescent="0.3">
      <c r="B742"/>
      <c r="C742"/>
      <c r="L742"/>
      <c r="M742"/>
      <c r="N742"/>
      <c r="O742"/>
    </row>
    <row r="743" spans="2:15" x14ac:dyDescent="0.3">
      <c r="B743"/>
      <c r="C743"/>
      <c r="L743"/>
      <c r="M743"/>
      <c r="N743"/>
      <c r="O743"/>
    </row>
    <row r="744" spans="2:15" x14ac:dyDescent="0.3">
      <c r="B744"/>
      <c r="C744"/>
      <c r="L744"/>
      <c r="M744"/>
      <c r="N744"/>
      <c r="O744"/>
    </row>
    <row r="745" spans="2:15" x14ac:dyDescent="0.3">
      <c r="B745"/>
      <c r="C745"/>
      <c r="L745"/>
      <c r="M745"/>
      <c r="N745"/>
      <c r="O745"/>
    </row>
    <row r="746" spans="2:15" x14ac:dyDescent="0.3">
      <c r="B746"/>
      <c r="C746"/>
      <c r="L746"/>
      <c r="M746"/>
      <c r="N746"/>
      <c r="O746"/>
    </row>
    <row r="747" spans="2:15" x14ac:dyDescent="0.3">
      <c r="B747"/>
      <c r="C747"/>
      <c r="L747"/>
      <c r="M747"/>
      <c r="N747"/>
      <c r="O747"/>
    </row>
    <row r="748" spans="2:15" x14ac:dyDescent="0.3">
      <c r="B748"/>
      <c r="C748"/>
      <c r="L748"/>
      <c r="M748"/>
      <c r="N748"/>
      <c r="O748"/>
    </row>
    <row r="749" spans="2:15" x14ac:dyDescent="0.3">
      <c r="B749"/>
      <c r="C749"/>
      <c r="L749"/>
      <c r="M749"/>
      <c r="N749"/>
      <c r="O749"/>
    </row>
    <row r="750" spans="2:15" x14ac:dyDescent="0.3">
      <c r="B750"/>
      <c r="C750"/>
      <c r="L750"/>
      <c r="M750"/>
      <c r="N750"/>
      <c r="O750"/>
    </row>
    <row r="751" spans="2:15" x14ac:dyDescent="0.3">
      <c r="B751"/>
      <c r="C751"/>
      <c r="L751"/>
      <c r="M751"/>
      <c r="N751"/>
      <c r="O751"/>
    </row>
    <row r="752" spans="2:15" x14ac:dyDescent="0.3">
      <c r="B752"/>
      <c r="C752"/>
      <c r="L752"/>
      <c r="M752"/>
      <c r="N752"/>
      <c r="O752"/>
    </row>
    <row r="753" spans="2:15" x14ac:dyDescent="0.3">
      <c r="B753"/>
      <c r="C753"/>
      <c r="L753"/>
      <c r="M753"/>
      <c r="N753"/>
      <c r="O753"/>
    </row>
    <row r="754" spans="2:15" x14ac:dyDescent="0.3">
      <c r="B754"/>
      <c r="C754"/>
      <c r="L754"/>
      <c r="M754"/>
      <c r="N754"/>
      <c r="O754"/>
    </row>
    <row r="755" spans="2:15" x14ac:dyDescent="0.3">
      <c r="B755"/>
      <c r="C755"/>
      <c r="L755"/>
      <c r="M755"/>
      <c r="N755"/>
      <c r="O755"/>
    </row>
    <row r="756" spans="2:15" x14ac:dyDescent="0.3">
      <c r="B756"/>
      <c r="C756"/>
      <c r="L756"/>
      <c r="M756"/>
      <c r="N756"/>
      <c r="O756"/>
    </row>
    <row r="757" spans="2:15" x14ac:dyDescent="0.3">
      <c r="B757"/>
      <c r="C757"/>
      <c r="L757"/>
      <c r="M757"/>
      <c r="N757"/>
      <c r="O757"/>
    </row>
    <row r="758" spans="2:15" x14ac:dyDescent="0.3">
      <c r="B758"/>
      <c r="C758"/>
      <c r="L758"/>
      <c r="M758"/>
      <c r="N758"/>
      <c r="O758"/>
    </row>
    <row r="759" spans="2:15" x14ac:dyDescent="0.3">
      <c r="B759"/>
      <c r="C759"/>
      <c r="L759"/>
      <c r="M759"/>
      <c r="N759"/>
      <c r="O759"/>
    </row>
    <row r="760" spans="2:15" x14ac:dyDescent="0.3">
      <c r="B760"/>
      <c r="C760"/>
      <c r="L760"/>
      <c r="M760"/>
      <c r="N760"/>
      <c r="O760"/>
    </row>
    <row r="761" spans="2:15" x14ac:dyDescent="0.3">
      <c r="B761"/>
      <c r="C761"/>
      <c r="L761"/>
      <c r="M761"/>
      <c r="N761"/>
      <c r="O761"/>
    </row>
    <row r="762" spans="2:15" x14ac:dyDescent="0.3">
      <c r="B762"/>
      <c r="C762"/>
      <c r="L762"/>
      <c r="M762"/>
      <c r="N762"/>
      <c r="O762"/>
    </row>
    <row r="763" spans="2:15" x14ac:dyDescent="0.3">
      <c r="B763"/>
      <c r="C763"/>
      <c r="L763"/>
      <c r="M763"/>
      <c r="N763"/>
      <c r="O763"/>
    </row>
    <row r="764" spans="2:15" x14ac:dyDescent="0.3">
      <c r="B764"/>
      <c r="C764"/>
      <c r="L764"/>
      <c r="M764"/>
      <c r="N764"/>
      <c r="O764"/>
    </row>
    <row r="765" spans="2:15" x14ac:dyDescent="0.3">
      <c r="B765"/>
      <c r="C765"/>
      <c r="L765"/>
      <c r="M765"/>
      <c r="N765"/>
      <c r="O765"/>
    </row>
    <row r="766" spans="2:15" x14ac:dyDescent="0.3">
      <c r="B766"/>
      <c r="C766"/>
      <c r="L766"/>
      <c r="M766"/>
      <c r="N766"/>
      <c r="O766"/>
    </row>
    <row r="767" spans="2:15" x14ac:dyDescent="0.3">
      <c r="B767"/>
      <c r="C767"/>
      <c r="L767"/>
      <c r="M767"/>
      <c r="N767"/>
      <c r="O767"/>
    </row>
    <row r="768" spans="2:15" x14ac:dyDescent="0.3">
      <c r="B768"/>
      <c r="C768"/>
      <c r="L768"/>
      <c r="M768"/>
      <c r="N768"/>
      <c r="O768"/>
    </row>
    <row r="769" spans="2:15" x14ac:dyDescent="0.3">
      <c r="B769"/>
      <c r="C769"/>
      <c r="L769"/>
      <c r="M769"/>
      <c r="N769"/>
      <c r="O769"/>
    </row>
    <row r="770" spans="2:15" x14ac:dyDescent="0.3">
      <c r="B770"/>
      <c r="C770"/>
      <c r="L770"/>
      <c r="M770"/>
      <c r="N770"/>
      <c r="O770"/>
    </row>
    <row r="771" spans="2:15" x14ac:dyDescent="0.3">
      <c r="B771"/>
      <c r="C771"/>
      <c r="L771"/>
      <c r="M771"/>
      <c r="N771"/>
      <c r="O771"/>
    </row>
    <row r="772" spans="2:15" x14ac:dyDescent="0.3">
      <c r="B772"/>
      <c r="C772"/>
      <c r="L772"/>
      <c r="M772"/>
      <c r="N772"/>
      <c r="O772"/>
    </row>
    <row r="773" spans="2:15" x14ac:dyDescent="0.3">
      <c r="B773"/>
      <c r="C773"/>
      <c r="L773"/>
      <c r="M773"/>
      <c r="N773"/>
      <c r="O773"/>
    </row>
    <row r="774" spans="2:15" x14ac:dyDescent="0.3">
      <c r="B774"/>
      <c r="C774"/>
      <c r="L774"/>
      <c r="M774"/>
      <c r="N774"/>
      <c r="O774"/>
    </row>
    <row r="775" spans="2:15" x14ac:dyDescent="0.3">
      <c r="B775"/>
      <c r="C775"/>
      <c r="L775"/>
      <c r="M775"/>
      <c r="N775"/>
      <c r="O775"/>
    </row>
    <row r="776" spans="2:15" x14ac:dyDescent="0.3">
      <c r="B776"/>
      <c r="C776"/>
      <c r="L776"/>
      <c r="M776"/>
      <c r="N776"/>
      <c r="O776"/>
    </row>
    <row r="777" spans="2:15" x14ac:dyDescent="0.3">
      <c r="B777"/>
      <c r="C777"/>
      <c r="L777"/>
      <c r="M777"/>
      <c r="N777"/>
      <c r="O777"/>
    </row>
    <row r="778" spans="2:15" x14ac:dyDescent="0.3">
      <c r="B778"/>
      <c r="C778"/>
      <c r="L778"/>
      <c r="M778"/>
      <c r="N778"/>
      <c r="O778"/>
    </row>
    <row r="779" spans="2:15" x14ac:dyDescent="0.3">
      <c r="B779"/>
      <c r="C779"/>
      <c r="L779"/>
      <c r="M779"/>
      <c r="N779"/>
      <c r="O779"/>
    </row>
    <row r="780" spans="2:15" x14ac:dyDescent="0.3">
      <c r="B780"/>
      <c r="C780"/>
      <c r="L780"/>
      <c r="M780"/>
      <c r="N780"/>
      <c r="O780"/>
    </row>
    <row r="781" spans="2:15" x14ac:dyDescent="0.3">
      <c r="B781"/>
      <c r="C781"/>
      <c r="L781"/>
      <c r="M781"/>
      <c r="N781"/>
      <c r="O781"/>
    </row>
    <row r="782" spans="2:15" x14ac:dyDescent="0.3">
      <c r="B782"/>
      <c r="C782"/>
      <c r="L782"/>
      <c r="M782"/>
      <c r="N782"/>
      <c r="O782"/>
    </row>
    <row r="783" spans="2:15" x14ac:dyDescent="0.3">
      <c r="B783"/>
      <c r="C783"/>
      <c r="L783"/>
      <c r="M783"/>
      <c r="N783"/>
      <c r="O783"/>
    </row>
    <row r="784" spans="2:15" x14ac:dyDescent="0.3">
      <c r="B784"/>
      <c r="C784"/>
      <c r="L784"/>
      <c r="M784"/>
      <c r="N784"/>
      <c r="O784"/>
    </row>
    <row r="785" spans="2:15" x14ac:dyDescent="0.3">
      <c r="B785"/>
      <c r="C785"/>
      <c r="L785"/>
      <c r="M785"/>
      <c r="N785"/>
      <c r="O785"/>
    </row>
    <row r="786" spans="2:15" x14ac:dyDescent="0.3">
      <c r="B786"/>
      <c r="C786"/>
      <c r="L786"/>
      <c r="M786"/>
      <c r="N786"/>
      <c r="O786"/>
    </row>
    <row r="787" spans="2:15" x14ac:dyDescent="0.3">
      <c r="B787"/>
      <c r="C787"/>
      <c r="L787"/>
      <c r="M787"/>
      <c r="N787"/>
      <c r="O787"/>
    </row>
    <row r="788" spans="2:15" x14ac:dyDescent="0.3">
      <c r="B788"/>
      <c r="C788"/>
      <c r="L788"/>
      <c r="M788"/>
      <c r="N788"/>
      <c r="O788"/>
    </row>
    <row r="789" spans="2:15" x14ac:dyDescent="0.3">
      <c r="B789"/>
      <c r="C789"/>
      <c r="L789"/>
      <c r="M789"/>
      <c r="N789"/>
      <c r="O789"/>
    </row>
    <row r="790" spans="2:15" x14ac:dyDescent="0.3">
      <c r="B790"/>
      <c r="C790"/>
      <c r="L790"/>
      <c r="M790"/>
      <c r="N790"/>
      <c r="O790"/>
    </row>
    <row r="791" spans="2:15" x14ac:dyDescent="0.3">
      <c r="B791"/>
      <c r="C791"/>
      <c r="L791"/>
      <c r="M791"/>
      <c r="N791"/>
      <c r="O791"/>
    </row>
    <row r="792" spans="2:15" x14ac:dyDescent="0.3">
      <c r="B792"/>
      <c r="C792"/>
      <c r="L792"/>
      <c r="M792"/>
      <c r="N792"/>
      <c r="O792"/>
    </row>
    <row r="793" spans="2:15" x14ac:dyDescent="0.3">
      <c r="B793"/>
      <c r="C793"/>
      <c r="L793"/>
      <c r="M793"/>
      <c r="N793"/>
      <c r="O793"/>
    </row>
    <row r="794" spans="2:15" x14ac:dyDescent="0.3">
      <c r="B794"/>
      <c r="C794"/>
      <c r="L794"/>
      <c r="M794"/>
      <c r="N794"/>
      <c r="O794"/>
    </row>
    <row r="795" spans="2:15" x14ac:dyDescent="0.3">
      <c r="B795"/>
      <c r="C795"/>
      <c r="L795"/>
      <c r="M795"/>
      <c r="N795"/>
      <c r="O795"/>
    </row>
    <row r="796" spans="2:15" x14ac:dyDescent="0.3">
      <c r="B796"/>
      <c r="C796"/>
      <c r="L796"/>
      <c r="M796"/>
      <c r="N796"/>
      <c r="O796"/>
    </row>
    <row r="797" spans="2:15" x14ac:dyDescent="0.3">
      <c r="B797"/>
      <c r="C797"/>
      <c r="L797"/>
      <c r="M797"/>
      <c r="N797"/>
      <c r="O797"/>
    </row>
    <row r="798" spans="2:15" x14ac:dyDescent="0.3">
      <c r="B798"/>
      <c r="C798"/>
      <c r="L798"/>
      <c r="M798"/>
      <c r="N798"/>
      <c r="O798"/>
    </row>
    <row r="799" spans="2:15" x14ac:dyDescent="0.3">
      <c r="B799"/>
      <c r="C799"/>
      <c r="L799"/>
      <c r="M799"/>
      <c r="N799"/>
      <c r="O799"/>
    </row>
    <row r="800" spans="2:15" x14ac:dyDescent="0.3">
      <c r="B800"/>
      <c r="C800"/>
      <c r="L800"/>
      <c r="M800"/>
      <c r="N800"/>
      <c r="O800"/>
    </row>
    <row r="801" spans="2:15" x14ac:dyDescent="0.3">
      <c r="B801"/>
      <c r="C801"/>
      <c r="L801"/>
      <c r="M801"/>
      <c r="N801"/>
      <c r="O801"/>
    </row>
    <row r="802" spans="2:15" x14ac:dyDescent="0.3">
      <c r="B802"/>
      <c r="C802"/>
      <c r="L802"/>
      <c r="M802"/>
      <c r="N802"/>
      <c r="O802"/>
    </row>
    <row r="803" spans="2:15" x14ac:dyDescent="0.3">
      <c r="B803"/>
      <c r="C803"/>
      <c r="L803"/>
      <c r="M803"/>
      <c r="N803"/>
      <c r="O803"/>
    </row>
    <row r="804" spans="2:15" x14ac:dyDescent="0.3">
      <c r="B804"/>
      <c r="C804"/>
      <c r="L804"/>
      <c r="M804"/>
      <c r="N804"/>
      <c r="O804"/>
    </row>
    <row r="805" spans="2:15" x14ac:dyDescent="0.3">
      <c r="B805"/>
      <c r="C805"/>
      <c r="L805"/>
      <c r="M805"/>
      <c r="N805"/>
      <c r="O805"/>
    </row>
    <row r="806" spans="2:15" x14ac:dyDescent="0.3">
      <c r="B806"/>
      <c r="C806"/>
      <c r="L806"/>
      <c r="M806"/>
      <c r="N806"/>
      <c r="O806"/>
    </row>
    <row r="807" spans="2:15" x14ac:dyDescent="0.3">
      <c r="B807"/>
      <c r="C807"/>
      <c r="L807"/>
      <c r="M807"/>
      <c r="N807"/>
      <c r="O807"/>
    </row>
    <row r="808" spans="2:15" x14ac:dyDescent="0.3">
      <c r="B808"/>
      <c r="C808"/>
      <c r="L808"/>
      <c r="M808"/>
      <c r="N808"/>
      <c r="O808"/>
    </row>
    <row r="809" spans="2:15" x14ac:dyDescent="0.3">
      <c r="B809"/>
      <c r="C809"/>
      <c r="L809"/>
      <c r="M809"/>
      <c r="N809"/>
      <c r="O809"/>
    </row>
    <row r="810" spans="2:15" x14ac:dyDescent="0.3">
      <c r="B810"/>
      <c r="C810"/>
      <c r="L810"/>
      <c r="M810"/>
      <c r="N810"/>
      <c r="O810"/>
    </row>
    <row r="811" spans="2:15" x14ac:dyDescent="0.3">
      <c r="B811"/>
      <c r="C811"/>
      <c r="L811"/>
      <c r="M811"/>
      <c r="N811"/>
      <c r="O811"/>
    </row>
    <row r="812" spans="2:15" x14ac:dyDescent="0.3">
      <c r="B812"/>
      <c r="C812"/>
      <c r="L812"/>
      <c r="M812"/>
      <c r="N812"/>
      <c r="O812"/>
    </row>
    <row r="813" spans="2:15" x14ac:dyDescent="0.3">
      <c r="B813"/>
      <c r="C813"/>
      <c r="L813"/>
      <c r="M813"/>
      <c r="N813"/>
      <c r="O813"/>
    </row>
    <row r="814" spans="2:15" x14ac:dyDescent="0.3">
      <c r="B814"/>
      <c r="C814"/>
      <c r="L814"/>
      <c r="M814"/>
      <c r="N814"/>
      <c r="O814"/>
    </row>
    <row r="815" spans="2:15" x14ac:dyDescent="0.3">
      <c r="B815"/>
      <c r="C815"/>
      <c r="L815"/>
      <c r="M815"/>
      <c r="N815"/>
      <c r="O815"/>
    </row>
    <row r="816" spans="2:15" x14ac:dyDescent="0.3">
      <c r="B816"/>
      <c r="C816"/>
      <c r="L816"/>
      <c r="M816"/>
      <c r="N816"/>
      <c r="O816"/>
    </row>
    <row r="817" spans="2:15" x14ac:dyDescent="0.3">
      <c r="B817"/>
      <c r="C817"/>
      <c r="L817"/>
      <c r="M817"/>
      <c r="N817"/>
      <c r="O817"/>
    </row>
    <row r="818" spans="2:15" x14ac:dyDescent="0.3">
      <c r="B818"/>
      <c r="C818"/>
      <c r="L818"/>
      <c r="M818"/>
      <c r="N818"/>
      <c r="O818"/>
    </row>
    <row r="819" spans="2:15" x14ac:dyDescent="0.3">
      <c r="B819"/>
      <c r="C819"/>
      <c r="L819"/>
      <c r="M819"/>
      <c r="N819"/>
      <c r="O819"/>
    </row>
    <row r="820" spans="2:15" x14ac:dyDescent="0.3">
      <c r="B820"/>
      <c r="C820"/>
      <c r="L820"/>
      <c r="M820"/>
      <c r="N820"/>
      <c r="O820"/>
    </row>
    <row r="821" spans="2:15" x14ac:dyDescent="0.3">
      <c r="B821"/>
      <c r="C821"/>
      <c r="L821"/>
      <c r="M821"/>
      <c r="N821"/>
      <c r="O821"/>
    </row>
    <row r="822" spans="2:15" x14ac:dyDescent="0.3">
      <c r="B822"/>
      <c r="C822"/>
      <c r="L822"/>
      <c r="M822"/>
      <c r="N822"/>
      <c r="O822"/>
    </row>
    <row r="823" spans="2:15" x14ac:dyDescent="0.3">
      <c r="B823"/>
      <c r="C823"/>
      <c r="L823"/>
      <c r="M823"/>
      <c r="N823"/>
      <c r="O823"/>
    </row>
    <row r="824" spans="2:15" x14ac:dyDescent="0.3">
      <c r="B824"/>
      <c r="C824"/>
      <c r="L824"/>
      <c r="M824"/>
      <c r="N824"/>
      <c r="O824"/>
    </row>
    <row r="825" spans="2:15" x14ac:dyDescent="0.3">
      <c r="B825"/>
      <c r="C825"/>
      <c r="L825"/>
      <c r="M825"/>
      <c r="N825"/>
      <c r="O825"/>
    </row>
    <row r="826" spans="2:15" x14ac:dyDescent="0.3">
      <c r="B826"/>
      <c r="C826"/>
      <c r="L826"/>
      <c r="M826"/>
      <c r="N826"/>
      <c r="O826"/>
    </row>
    <row r="827" spans="2:15" x14ac:dyDescent="0.3">
      <c r="B827"/>
      <c r="C827"/>
      <c r="L827"/>
      <c r="M827"/>
      <c r="N827"/>
      <c r="O827"/>
    </row>
    <row r="828" spans="2:15" x14ac:dyDescent="0.3">
      <c r="B828"/>
      <c r="C828"/>
      <c r="L828"/>
      <c r="M828"/>
      <c r="N828"/>
      <c r="O828"/>
    </row>
    <row r="829" spans="2:15" x14ac:dyDescent="0.3">
      <c r="B829"/>
      <c r="C829"/>
      <c r="L829"/>
      <c r="M829"/>
      <c r="N829"/>
      <c r="O829"/>
    </row>
    <row r="830" spans="2:15" x14ac:dyDescent="0.3">
      <c r="B830"/>
      <c r="C830"/>
      <c r="L830"/>
      <c r="M830"/>
      <c r="N830"/>
      <c r="O830"/>
    </row>
    <row r="831" spans="2:15" x14ac:dyDescent="0.3">
      <c r="B831"/>
      <c r="C831"/>
      <c r="L831"/>
      <c r="M831"/>
      <c r="N831"/>
      <c r="O831"/>
    </row>
    <row r="832" spans="2:15" x14ac:dyDescent="0.3">
      <c r="B832"/>
      <c r="C832"/>
      <c r="L832"/>
      <c r="M832"/>
      <c r="N832"/>
      <c r="O832"/>
    </row>
    <row r="833" spans="2:15" x14ac:dyDescent="0.3">
      <c r="B833"/>
      <c r="C833"/>
      <c r="L833"/>
      <c r="M833"/>
      <c r="N833"/>
      <c r="O833"/>
    </row>
    <row r="834" spans="2:15" x14ac:dyDescent="0.3">
      <c r="B834"/>
      <c r="C834"/>
      <c r="L834"/>
      <c r="M834"/>
      <c r="N834"/>
      <c r="O834"/>
    </row>
    <row r="835" spans="2:15" x14ac:dyDescent="0.3">
      <c r="B835"/>
      <c r="C835"/>
      <c r="L835"/>
      <c r="M835"/>
      <c r="N835"/>
      <c r="O835"/>
    </row>
    <row r="836" spans="2:15" x14ac:dyDescent="0.3">
      <c r="B836"/>
      <c r="C836"/>
      <c r="L836"/>
      <c r="M836"/>
      <c r="N836"/>
      <c r="O836"/>
    </row>
    <row r="837" spans="2:15" x14ac:dyDescent="0.3">
      <c r="B837"/>
      <c r="C837"/>
      <c r="L837"/>
      <c r="M837"/>
      <c r="N837"/>
      <c r="O837"/>
    </row>
    <row r="838" spans="2:15" x14ac:dyDescent="0.3">
      <c r="B838"/>
      <c r="C838"/>
      <c r="L838"/>
      <c r="M838"/>
      <c r="N838"/>
      <c r="O838"/>
    </row>
    <row r="839" spans="2:15" x14ac:dyDescent="0.3">
      <c r="B839"/>
      <c r="C839"/>
      <c r="L839"/>
      <c r="M839"/>
      <c r="N839"/>
      <c r="O839"/>
    </row>
    <row r="840" spans="2:15" x14ac:dyDescent="0.3">
      <c r="B840"/>
      <c r="C840"/>
      <c r="L840"/>
      <c r="M840"/>
      <c r="N840"/>
      <c r="O840"/>
    </row>
    <row r="841" spans="2:15" x14ac:dyDescent="0.3">
      <c r="B841"/>
      <c r="C841"/>
      <c r="L841"/>
      <c r="M841"/>
      <c r="N841"/>
      <c r="O841"/>
    </row>
    <row r="842" spans="2:15" x14ac:dyDescent="0.3">
      <c r="B842"/>
      <c r="C842"/>
      <c r="L842"/>
      <c r="M842"/>
      <c r="N842"/>
      <c r="O842"/>
    </row>
    <row r="843" spans="2:15" x14ac:dyDescent="0.3">
      <c r="B843"/>
      <c r="C843"/>
      <c r="L843"/>
      <c r="M843"/>
      <c r="N843"/>
      <c r="O843"/>
    </row>
    <row r="844" spans="2:15" x14ac:dyDescent="0.3">
      <c r="B844"/>
      <c r="C844"/>
      <c r="L844"/>
      <c r="M844"/>
      <c r="N844"/>
      <c r="O844"/>
    </row>
    <row r="845" spans="2:15" x14ac:dyDescent="0.3">
      <c r="B845"/>
      <c r="C845"/>
      <c r="L845"/>
      <c r="M845"/>
      <c r="N845"/>
      <c r="O845"/>
    </row>
    <row r="846" spans="2:15" x14ac:dyDescent="0.3">
      <c r="B846"/>
      <c r="C846"/>
      <c r="L846"/>
      <c r="M846"/>
      <c r="N846"/>
      <c r="O846"/>
    </row>
    <row r="847" spans="2:15" x14ac:dyDescent="0.3">
      <c r="B847"/>
      <c r="C847"/>
      <c r="L847"/>
      <c r="M847"/>
      <c r="N847"/>
      <c r="O847"/>
    </row>
    <row r="848" spans="2:15" x14ac:dyDescent="0.3">
      <c r="B848"/>
      <c r="C848"/>
      <c r="L848"/>
      <c r="M848"/>
      <c r="N848"/>
      <c r="O848"/>
    </row>
    <row r="849" spans="2:15" x14ac:dyDescent="0.3">
      <c r="B849"/>
      <c r="C849"/>
      <c r="L849"/>
      <c r="M849"/>
      <c r="N849"/>
      <c r="O849"/>
    </row>
    <row r="850" spans="2:15" x14ac:dyDescent="0.3">
      <c r="B850"/>
      <c r="C850"/>
      <c r="L850"/>
      <c r="M850"/>
      <c r="N850"/>
      <c r="O850"/>
    </row>
    <row r="851" spans="2:15" x14ac:dyDescent="0.3">
      <c r="B851"/>
      <c r="C851"/>
      <c r="L851"/>
      <c r="M851"/>
      <c r="N851"/>
      <c r="O851"/>
    </row>
    <row r="852" spans="2:15" x14ac:dyDescent="0.3">
      <c r="B852"/>
      <c r="C852"/>
      <c r="L852"/>
      <c r="M852"/>
      <c r="N852"/>
      <c r="O852"/>
    </row>
    <row r="853" spans="2:15" x14ac:dyDescent="0.3">
      <c r="B853"/>
      <c r="C853"/>
      <c r="L853"/>
      <c r="M853"/>
      <c r="N853"/>
      <c r="O853"/>
    </row>
    <row r="854" spans="2:15" x14ac:dyDescent="0.3">
      <c r="B854"/>
      <c r="C854"/>
      <c r="L854"/>
      <c r="M854"/>
      <c r="N854"/>
      <c r="O854"/>
    </row>
    <row r="855" spans="2:15" x14ac:dyDescent="0.3">
      <c r="B855"/>
      <c r="C855"/>
      <c r="L855"/>
      <c r="M855"/>
      <c r="N855"/>
      <c r="O855"/>
    </row>
    <row r="856" spans="2:15" x14ac:dyDescent="0.3">
      <c r="B856"/>
      <c r="C856"/>
      <c r="L856"/>
      <c r="M856"/>
      <c r="N856"/>
      <c r="O856"/>
    </row>
    <row r="857" spans="2:15" x14ac:dyDescent="0.3">
      <c r="B857"/>
      <c r="C857"/>
      <c r="L857"/>
      <c r="M857"/>
      <c r="N857"/>
      <c r="O857"/>
    </row>
    <row r="858" spans="2:15" x14ac:dyDescent="0.3">
      <c r="B858"/>
      <c r="C858"/>
      <c r="L858"/>
      <c r="M858"/>
      <c r="N858"/>
      <c r="O858"/>
    </row>
    <row r="859" spans="2:15" x14ac:dyDescent="0.3">
      <c r="B859"/>
      <c r="C859"/>
      <c r="L859"/>
      <c r="M859"/>
      <c r="N859"/>
      <c r="O859"/>
    </row>
    <row r="860" spans="2:15" x14ac:dyDescent="0.3">
      <c r="B860"/>
      <c r="C860"/>
      <c r="L860"/>
      <c r="M860"/>
      <c r="N860"/>
      <c r="O860"/>
    </row>
    <row r="861" spans="2:15" x14ac:dyDescent="0.3">
      <c r="B861"/>
      <c r="C861"/>
      <c r="L861"/>
      <c r="M861"/>
      <c r="N861"/>
      <c r="O861"/>
    </row>
    <row r="862" spans="2:15" x14ac:dyDescent="0.3">
      <c r="B862"/>
      <c r="C862"/>
      <c r="L862"/>
      <c r="M862"/>
      <c r="N862"/>
      <c r="O862"/>
    </row>
    <row r="863" spans="2:15" x14ac:dyDescent="0.3">
      <c r="B863"/>
      <c r="C863"/>
      <c r="L863"/>
      <c r="M863"/>
      <c r="N863"/>
      <c r="O863"/>
    </row>
    <row r="864" spans="2:15" x14ac:dyDescent="0.3">
      <c r="B864"/>
      <c r="C864"/>
      <c r="L864"/>
      <c r="M864"/>
      <c r="N864"/>
      <c r="O864"/>
    </row>
    <row r="865" spans="2:15" x14ac:dyDescent="0.3">
      <c r="B865"/>
      <c r="C865"/>
      <c r="L865"/>
      <c r="M865"/>
      <c r="N865"/>
      <c r="O865"/>
    </row>
    <row r="866" spans="2:15" x14ac:dyDescent="0.3">
      <c r="B866"/>
      <c r="C866"/>
      <c r="L866"/>
      <c r="M866"/>
      <c r="N866"/>
      <c r="O866"/>
    </row>
    <row r="867" spans="2:15" x14ac:dyDescent="0.3">
      <c r="B867"/>
      <c r="C867"/>
      <c r="L867"/>
      <c r="M867"/>
      <c r="N867"/>
      <c r="O867"/>
    </row>
    <row r="868" spans="2:15" x14ac:dyDescent="0.3">
      <c r="B868"/>
      <c r="C868"/>
      <c r="L868"/>
      <c r="M868"/>
      <c r="N868"/>
      <c r="O868"/>
    </row>
    <row r="869" spans="2:15" x14ac:dyDescent="0.3">
      <c r="B869"/>
      <c r="C869"/>
      <c r="L869"/>
      <c r="M869"/>
      <c r="N869"/>
      <c r="O869"/>
    </row>
    <row r="870" spans="2:15" x14ac:dyDescent="0.3">
      <c r="B870"/>
      <c r="C870"/>
      <c r="L870"/>
      <c r="M870"/>
      <c r="N870"/>
      <c r="O870"/>
    </row>
    <row r="871" spans="2:15" x14ac:dyDescent="0.3">
      <c r="B871"/>
      <c r="C871"/>
      <c r="L871"/>
      <c r="M871"/>
      <c r="N871"/>
      <c r="O871"/>
    </row>
    <row r="872" spans="2:15" x14ac:dyDescent="0.3">
      <c r="B872"/>
      <c r="C872"/>
      <c r="L872"/>
      <c r="M872"/>
      <c r="N872"/>
      <c r="O872"/>
    </row>
    <row r="873" spans="2:15" x14ac:dyDescent="0.3">
      <c r="B873"/>
      <c r="C873"/>
      <c r="L873"/>
      <c r="M873"/>
      <c r="N873"/>
      <c r="O873"/>
    </row>
    <row r="874" spans="2:15" x14ac:dyDescent="0.3">
      <c r="B874"/>
      <c r="C874"/>
      <c r="L874"/>
      <c r="M874"/>
      <c r="N874"/>
      <c r="O874"/>
    </row>
    <row r="875" spans="2:15" x14ac:dyDescent="0.3">
      <c r="B875"/>
      <c r="C875"/>
      <c r="L875"/>
      <c r="M875"/>
      <c r="N875"/>
      <c r="O875"/>
    </row>
    <row r="876" spans="2:15" x14ac:dyDescent="0.3">
      <c r="B876"/>
      <c r="C876"/>
      <c r="L876"/>
      <c r="M876"/>
      <c r="N876"/>
      <c r="O876"/>
    </row>
    <row r="877" spans="2:15" x14ac:dyDescent="0.3">
      <c r="B877"/>
      <c r="C877"/>
      <c r="L877"/>
      <c r="M877"/>
      <c r="N877"/>
      <c r="O877"/>
    </row>
    <row r="878" spans="2:15" x14ac:dyDescent="0.3">
      <c r="B878"/>
      <c r="C878"/>
      <c r="L878"/>
      <c r="M878"/>
      <c r="N878"/>
      <c r="O878"/>
    </row>
    <row r="879" spans="2:15" x14ac:dyDescent="0.3">
      <c r="B879"/>
      <c r="C879"/>
      <c r="L879"/>
      <c r="M879"/>
      <c r="N879"/>
      <c r="O879"/>
    </row>
    <row r="880" spans="2:15" x14ac:dyDescent="0.3">
      <c r="B880"/>
      <c r="C880"/>
      <c r="L880"/>
      <c r="M880"/>
      <c r="N880"/>
      <c r="O880"/>
    </row>
    <row r="881" spans="2:15" x14ac:dyDescent="0.3">
      <c r="B881"/>
      <c r="C881"/>
      <c r="L881"/>
      <c r="M881"/>
      <c r="N881"/>
      <c r="O881"/>
    </row>
    <row r="882" spans="2:15" x14ac:dyDescent="0.3">
      <c r="B882"/>
      <c r="C882"/>
      <c r="L882"/>
      <c r="M882"/>
      <c r="N882"/>
      <c r="O882"/>
    </row>
    <row r="883" spans="2:15" x14ac:dyDescent="0.3">
      <c r="B883"/>
      <c r="C883"/>
      <c r="L883"/>
      <c r="M883"/>
      <c r="N883"/>
      <c r="O883"/>
    </row>
    <row r="884" spans="2:15" x14ac:dyDescent="0.3">
      <c r="B884"/>
      <c r="C884"/>
      <c r="L884"/>
      <c r="M884"/>
      <c r="N884"/>
      <c r="O884"/>
    </row>
    <row r="885" spans="2:15" x14ac:dyDescent="0.3">
      <c r="B885"/>
      <c r="C885"/>
      <c r="L885"/>
      <c r="M885"/>
      <c r="N885"/>
      <c r="O885"/>
    </row>
    <row r="886" spans="2:15" x14ac:dyDescent="0.3">
      <c r="B886"/>
      <c r="C886"/>
      <c r="L886"/>
      <c r="M886"/>
      <c r="N886"/>
      <c r="O886"/>
    </row>
    <row r="887" spans="2:15" x14ac:dyDescent="0.3">
      <c r="B887"/>
      <c r="C887"/>
      <c r="L887"/>
      <c r="M887"/>
      <c r="N887"/>
      <c r="O887"/>
    </row>
    <row r="888" spans="2:15" x14ac:dyDescent="0.3">
      <c r="B888"/>
      <c r="C888"/>
      <c r="L888"/>
      <c r="M888"/>
      <c r="N888"/>
      <c r="O888"/>
    </row>
    <row r="889" spans="2:15" x14ac:dyDescent="0.3">
      <c r="B889"/>
      <c r="C889"/>
      <c r="L889"/>
      <c r="M889"/>
      <c r="N889"/>
      <c r="O889"/>
    </row>
    <row r="890" spans="2:15" x14ac:dyDescent="0.3">
      <c r="B890"/>
      <c r="C890"/>
      <c r="L890"/>
      <c r="M890"/>
      <c r="N890"/>
      <c r="O890"/>
    </row>
    <row r="891" spans="2:15" x14ac:dyDescent="0.3">
      <c r="B891"/>
      <c r="C891"/>
      <c r="L891"/>
      <c r="M891"/>
      <c r="N891"/>
      <c r="O891"/>
    </row>
    <row r="892" spans="2:15" x14ac:dyDescent="0.3">
      <c r="B892"/>
      <c r="C892"/>
      <c r="L892"/>
      <c r="M892"/>
      <c r="N892"/>
      <c r="O892"/>
    </row>
    <row r="893" spans="2:15" x14ac:dyDescent="0.3">
      <c r="B893"/>
      <c r="C893"/>
      <c r="L893"/>
      <c r="M893"/>
      <c r="N893"/>
      <c r="O893"/>
    </row>
    <row r="894" spans="2:15" x14ac:dyDescent="0.3">
      <c r="B894"/>
      <c r="C894"/>
      <c r="L894"/>
      <c r="M894"/>
      <c r="N894"/>
      <c r="O894"/>
    </row>
    <row r="895" spans="2:15" x14ac:dyDescent="0.3">
      <c r="B895"/>
      <c r="C895"/>
      <c r="L895"/>
      <c r="M895"/>
      <c r="N895"/>
      <c r="O895"/>
    </row>
    <row r="896" spans="2:15" x14ac:dyDescent="0.3">
      <c r="B896"/>
      <c r="C896"/>
      <c r="L896"/>
      <c r="M896"/>
      <c r="N896"/>
      <c r="O896"/>
    </row>
    <row r="897" spans="2:15" x14ac:dyDescent="0.3">
      <c r="B897"/>
      <c r="C897"/>
      <c r="L897"/>
      <c r="M897"/>
      <c r="N897"/>
      <c r="O897"/>
    </row>
    <row r="898" spans="2:15" x14ac:dyDescent="0.3">
      <c r="B898"/>
      <c r="C898"/>
      <c r="L898"/>
      <c r="M898"/>
      <c r="N898"/>
      <c r="O898"/>
    </row>
    <row r="899" spans="2:15" x14ac:dyDescent="0.3">
      <c r="B899"/>
      <c r="C899"/>
      <c r="L899"/>
      <c r="M899"/>
      <c r="N899"/>
      <c r="O899"/>
    </row>
    <row r="900" spans="2:15" x14ac:dyDescent="0.3">
      <c r="B900"/>
      <c r="C900"/>
      <c r="L900"/>
      <c r="M900"/>
      <c r="N900"/>
      <c r="O900"/>
    </row>
    <row r="901" spans="2:15" x14ac:dyDescent="0.3">
      <c r="B901"/>
      <c r="C901"/>
      <c r="L901"/>
      <c r="M901"/>
      <c r="N901"/>
      <c r="O901"/>
    </row>
    <row r="902" spans="2:15" x14ac:dyDescent="0.3">
      <c r="B902"/>
      <c r="C902"/>
      <c r="L902"/>
      <c r="M902"/>
      <c r="N902"/>
      <c r="O902"/>
    </row>
    <row r="903" spans="2:15" x14ac:dyDescent="0.3">
      <c r="B903"/>
      <c r="C903"/>
      <c r="L903"/>
      <c r="M903"/>
      <c r="N903"/>
      <c r="O903"/>
    </row>
    <row r="904" spans="2:15" x14ac:dyDescent="0.3">
      <c r="B904"/>
      <c r="C904"/>
      <c r="L904"/>
      <c r="M904"/>
      <c r="N904"/>
      <c r="O904"/>
    </row>
    <row r="905" spans="2:15" x14ac:dyDescent="0.3">
      <c r="B905"/>
      <c r="C905"/>
      <c r="L905"/>
      <c r="M905"/>
      <c r="N905"/>
      <c r="O905"/>
    </row>
    <row r="906" spans="2:15" x14ac:dyDescent="0.3">
      <c r="B906"/>
      <c r="C906"/>
      <c r="L906"/>
      <c r="M906"/>
      <c r="N906"/>
      <c r="O906"/>
    </row>
    <row r="907" spans="2:15" x14ac:dyDescent="0.3">
      <c r="B907"/>
      <c r="C907"/>
      <c r="L907"/>
      <c r="M907"/>
      <c r="N907"/>
      <c r="O907"/>
    </row>
    <row r="908" spans="2:15" x14ac:dyDescent="0.3">
      <c r="B908"/>
      <c r="C908"/>
      <c r="L908"/>
      <c r="M908"/>
      <c r="N908"/>
      <c r="O908"/>
    </row>
    <row r="909" spans="2:15" x14ac:dyDescent="0.3">
      <c r="B909"/>
      <c r="C909"/>
      <c r="L909"/>
      <c r="M909"/>
      <c r="N909"/>
      <c r="O909"/>
    </row>
    <row r="910" spans="2:15" x14ac:dyDescent="0.3">
      <c r="B910"/>
      <c r="C910"/>
      <c r="L910"/>
      <c r="M910"/>
      <c r="N910"/>
      <c r="O910"/>
    </row>
    <row r="911" spans="2:15" x14ac:dyDescent="0.3">
      <c r="B911"/>
      <c r="C911"/>
      <c r="L911"/>
      <c r="M911"/>
      <c r="N911"/>
      <c r="O911"/>
    </row>
    <row r="912" spans="2:15" x14ac:dyDescent="0.3">
      <c r="B912"/>
      <c r="C912"/>
      <c r="L912"/>
      <c r="M912"/>
      <c r="N912"/>
      <c r="O912"/>
    </row>
    <row r="913" spans="2:15" x14ac:dyDescent="0.3">
      <c r="B913"/>
      <c r="C913"/>
      <c r="L913"/>
      <c r="M913"/>
      <c r="N913"/>
      <c r="O913"/>
    </row>
    <row r="914" spans="2:15" x14ac:dyDescent="0.3">
      <c r="B914"/>
      <c r="C914"/>
      <c r="L914"/>
      <c r="M914"/>
      <c r="N914"/>
      <c r="O914"/>
    </row>
    <row r="915" spans="2:15" x14ac:dyDescent="0.3">
      <c r="B915"/>
      <c r="C915"/>
      <c r="L915"/>
      <c r="M915"/>
      <c r="N915"/>
      <c r="O915"/>
    </row>
    <row r="916" spans="2:15" x14ac:dyDescent="0.3">
      <c r="B916"/>
      <c r="C916"/>
      <c r="L916"/>
      <c r="M916"/>
      <c r="N916"/>
      <c r="O916"/>
    </row>
    <row r="917" spans="2:15" x14ac:dyDescent="0.3">
      <c r="B917"/>
      <c r="C917"/>
      <c r="L917"/>
      <c r="M917"/>
      <c r="N917"/>
      <c r="O917"/>
    </row>
    <row r="918" spans="2:15" x14ac:dyDescent="0.3">
      <c r="B918"/>
      <c r="C918"/>
      <c r="L918"/>
      <c r="M918"/>
      <c r="N918"/>
      <c r="O918"/>
    </row>
    <row r="919" spans="2:15" x14ac:dyDescent="0.3">
      <c r="B919"/>
      <c r="C919"/>
      <c r="L919"/>
      <c r="M919"/>
      <c r="N919"/>
      <c r="O919"/>
    </row>
    <row r="920" spans="2:15" x14ac:dyDescent="0.3">
      <c r="B920"/>
      <c r="C920"/>
      <c r="L920"/>
      <c r="M920"/>
      <c r="N920"/>
      <c r="O920"/>
    </row>
    <row r="921" spans="2:15" x14ac:dyDescent="0.3">
      <c r="B921"/>
      <c r="C921"/>
      <c r="L921"/>
      <c r="M921"/>
      <c r="N921"/>
      <c r="O921"/>
    </row>
    <row r="922" spans="2:15" x14ac:dyDescent="0.3">
      <c r="B922"/>
      <c r="C922"/>
      <c r="L922"/>
      <c r="M922"/>
      <c r="N922"/>
      <c r="O922"/>
    </row>
    <row r="923" spans="2:15" x14ac:dyDescent="0.3">
      <c r="B923"/>
      <c r="C923"/>
      <c r="L923"/>
      <c r="M923"/>
      <c r="N923"/>
      <c r="O923"/>
    </row>
    <row r="924" spans="2:15" x14ac:dyDescent="0.3">
      <c r="B924"/>
      <c r="C924"/>
      <c r="L924"/>
      <c r="M924"/>
      <c r="N924"/>
      <c r="O924"/>
    </row>
    <row r="925" spans="2:15" x14ac:dyDescent="0.3">
      <c r="B925"/>
      <c r="C925"/>
      <c r="L925"/>
      <c r="M925"/>
      <c r="N925"/>
      <c r="O925"/>
    </row>
    <row r="926" spans="2:15" x14ac:dyDescent="0.3">
      <c r="B926"/>
      <c r="C926"/>
      <c r="L926"/>
      <c r="M926"/>
      <c r="N926"/>
      <c r="O926"/>
    </row>
    <row r="927" spans="2:15" x14ac:dyDescent="0.3">
      <c r="B927"/>
      <c r="C927"/>
      <c r="L927"/>
      <c r="M927"/>
      <c r="N927"/>
      <c r="O927"/>
    </row>
    <row r="928" spans="2:15" x14ac:dyDescent="0.3">
      <c r="B928"/>
      <c r="C928"/>
      <c r="L928"/>
      <c r="M928"/>
      <c r="N928"/>
      <c r="O928"/>
    </row>
    <row r="929" spans="2:15" x14ac:dyDescent="0.3">
      <c r="B929"/>
      <c r="C929"/>
      <c r="L929"/>
      <c r="M929"/>
      <c r="N929"/>
      <c r="O929"/>
    </row>
    <row r="930" spans="2:15" x14ac:dyDescent="0.3">
      <c r="B930"/>
      <c r="C930"/>
      <c r="L930"/>
      <c r="M930"/>
      <c r="N930"/>
      <c r="O930"/>
    </row>
    <row r="931" spans="2:15" x14ac:dyDescent="0.3">
      <c r="B931"/>
      <c r="C931"/>
      <c r="L931"/>
      <c r="M931"/>
      <c r="N931"/>
      <c r="O931"/>
    </row>
    <row r="932" spans="2:15" x14ac:dyDescent="0.3">
      <c r="B932"/>
      <c r="C932"/>
      <c r="L932"/>
      <c r="M932"/>
      <c r="N932"/>
      <c r="O932"/>
    </row>
    <row r="933" spans="2:15" x14ac:dyDescent="0.3">
      <c r="B933"/>
      <c r="C933"/>
      <c r="L933"/>
      <c r="M933"/>
      <c r="N933"/>
      <c r="O933"/>
    </row>
    <row r="934" spans="2:15" x14ac:dyDescent="0.3">
      <c r="B934"/>
      <c r="C934"/>
      <c r="L934"/>
      <c r="M934"/>
      <c r="N934"/>
      <c r="O934"/>
    </row>
    <row r="935" spans="2:15" x14ac:dyDescent="0.3">
      <c r="B935"/>
      <c r="C935"/>
      <c r="L935"/>
      <c r="M935"/>
      <c r="N935"/>
      <c r="O935"/>
    </row>
    <row r="936" spans="2:15" x14ac:dyDescent="0.3">
      <c r="B936"/>
      <c r="C936"/>
      <c r="L936"/>
      <c r="M936"/>
      <c r="N936"/>
      <c r="O936"/>
    </row>
    <row r="937" spans="2:15" x14ac:dyDescent="0.3">
      <c r="B937"/>
      <c r="C937"/>
      <c r="L937"/>
      <c r="M937"/>
      <c r="N937"/>
      <c r="O937"/>
    </row>
    <row r="938" spans="2:15" x14ac:dyDescent="0.3">
      <c r="B938"/>
      <c r="C938"/>
      <c r="L938"/>
      <c r="M938"/>
      <c r="N938"/>
      <c r="O938"/>
    </row>
    <row r="939" spans="2:15" x14ac:dyDescent="0.3">
      <c r="B939"/>
      <c r="C939"/>
      <c r="L939"/>
      <c r="M939"/>
      <c r="N939"/>
      <c r="O939"/>
    </row>
    <row r="940" spans="2:15" x14ac:dyDescent="0.3">
      <c r="B940"/>
      <c r="C940"/>
      <c r="L940"/>
      <c r="M940"/>
      <c r="N940"/>
      <c r="O940"/>
    </row>
    <row r="941" spans="2:15" x14ac:dyDescent="0.3">
      <c r="B941"/>
      <c r="C941"/>
      <c r="L941"/>
      <c r="M941"/>
      <c r="N941"/>
      <c r="O941"/>
    </row>
    <row r="942" spans="2:15" x14ac:dyDescent="0.3">
      <c r="B942"/>
      <c r="C942"/>
      <c r="L942"/>
      <c r="M942"/>
      <c r="N942"/>
      <c r="O942"/>
    </row>
    <row r="943" spans="2:15" x14ac:dyDescent="0.3">
      <c r="B943"/>
      <c r="C943"/>
      <c r="L943"/>
      <c r="M943"/>
      <c r="N943"/>
      <c r="O943"/>
    </row>
    <row r="944" spans="2:15" x14ac:dyDescent="0.3">
      <c r="B944"/>
      <c r="C944"/>
      <c r="L944"/>
      <c r="M944"/>
      <c r="N944"/>
      <c r="O944"/>
    </row>
    <row r="945" spans="2:15" x14ac:dyDescent="0.3">
      <c r="B945"/>
      <c r="C945"/>
      <c r="L945"/>
      <c r="M945"/>
      <c r="N945"/>
      <c r="O945"/>
    </row>
    <row r="946" spans="2:15" x14ac:dyDescent="0.3">
      <c r="B946"/>
      <c r="C946"/>
      <c r="L946"/>
      <c r="M946"/>
      <c r="N946"/>
      <c r="O946"/>
    </row>
    <row r="947" spans="2:15" x14ac:dyDescent="0.3">
      <c r="B947"/>
      <c r="C947"/>
      <c r="L947"/>
      <c r="M947"/>
      <c r="N947"/>
      <c r="O947"/>
    </row>
    <row r="948" spans="2:15" x14ac:dyDescent="0.3">
      <c r="B948"/>
      <c r="C948"/>
      <c r="L948"/>
      <c r="M948"/>
      <c r="N948"/>
      <c r="O948"/>
    </row>
    <row r="949" spans="2:15" x14ac:dyDescent="0.3">
      <c r="B949"/>
      <c r="C949"/>
      <c r="L949"/>
      <c r="M949"/>
      <c r="N949"/>
      <c r="O949"/>
    </row>
    <row r="950" spans="2:15" x14ac:dyDescent="0.3">
      <c r="B950"/>
      <c r="C950"/>
      <c r="L950"/>
      <c r="M950"/>
      <c r="N950"/>
      <c r="O950"/>
    </row>
    <row r="951" spans="2:15" x14ac:dyDescent="0.3">
      <c r="B951"/>
      <c r="C951"/>
      <c r="L951"/>
      <c r="M951"/>
      <c r="N951"/>
      <c r="O951"/>
    </row>
    <row r="952" spans="2:15" x14ac:dyDescent="0.3">
      <c r="B952"/>
      <c r="C952"/>
      <c r="L952"/>
      <c r="M952"/>
      <c r="N952"/>
      <c r="O952"/>
    </row>
    <row r="953" spans="2:15" x14ac:dyDescent="0.3">
      <c r="B953"/>
      <c r="C953"/>
      <c r="L953"/>
      <c r="M953"/>
      <c r="N953"/>
      <c r="O953"/>
    </row>
    <row r="954" spans="2:15" x14ac:dyDescent="0.3">
      <c r="B954"/>
      <c r="C954"/>
      <c r="L954"/>
      <c r="M954"/>
      <c r="N954"/>
      <c r="O954"/>
    </row>
    <row r="955" spans="2:15" x14ac:dyDescent="0.3">
      <c r="B955"/>
      <c r="C955"/>
      <c r="L955"/>
      <c r="M955"/>
      <c r="N955"/>
      <c r="O955"/>
    </row>
    <row r="956" spans="2:15" x14ac:dyDescent="0.3">
      <c r="B956"/>
      <c r="C956"/>
      <c r="L956"/>
      <c r="M956"/>
      <c r="N956"/>
      <c r="O956"/>
    </row>
    <row r="957" spans="2:15" x14ac:dyDescent="0.3">
      <c r="B957"/>
      <c r="C957"/>
      <c r="L957"/>
      <c r="M957"/>
      <c r="N957"/>
      <c r="O957"/>
    </row>
    <row r="958" spans="2:15" x14ac:dyDescent="0.3">
      <c r="B958"/>
      <c r="C958"/>
      <c r="L958"/>
      <c r="M958"/>
      <c r="N958"/>
      <c r="O958"/>
    </row>
    <row r="959" spans="2:15" x14ac:dyDescent="0.3">
      <c r="B959"/>
      <c r="C959"/>
      <c r="L959"/>
      <c r="M959"/>
      <c r="N959"/>
      <c r="O959"/>
    </row>
    <row r="960" spans="2:15" x14ac:dyDescent="0.3">
      <c r="B960"/>
      <c r="C960"/>
      <c r="L960"/>
      <c r="M960"/>
      <c r="N960"/>
      <c r="O960"/>
    </row>
    <row r="961" spans="2:15" x14ac:dyDescent="0.3">
      <c r="B961"/>
      <c r="C961"/>
      <c r="L961"/>
      <c r="M961"/>
      <c r="N961"/>
      <c r="O961"/>
    </row>
    <row r="962" spans="2:15" x14ac:dyDescent="0.3">
      <c r="B962"/>
      <c r="C962"/>
      <c r="L962"/>
      <c r="M962"/>
      <c r="N962"/>
      <c r="O962"/>
    </row>
    <row r="963" spans="2:15" x14ac:dyDescent="0.3">
      <c r="B963"/>
      <c r="C963"/>
      <c r="L963"/>
      <c r="M963"/>
      <c r="N963"/>
      <c r="O963"/>
    </row>
    <row r="964" spans="2:15" x14ac:dyDescent="0.3">
      <c r="B964"/>
      <c r="C964"/>
      <c r="L964"/>
      <c r="M964"/>
      <c r="N964"/>
      <c r="O964"/>
    </row>
    <row r="965" spans="2:15" x14ac:dyDescent="0.3">
      <c r="B965"/>
      <c r="C965"/>
      <c r="L965"/>
      <c r="M965"/>
      <c r="N965"/>
      <c r="O965"/>
    </row>
    <row r="966" spans="2:15" x14ac:dyDescent="0.3">
      <c r="B966"/>
      <c r="C966"/>
      <c r="L966"/>
      <c r="M966"/>
      <c r="N966"/>
      <c r="O966"/>
    </row>
    <row r="967" spans="2:15" x14ac:dyDescent="0.3">
      <c r="B967"/>
      <c r="C967"/>
      <c r="L967"/>
      <c r="M967"/>
      <c r="N967"/>
      <c r="O967"/>
    </row>
    <row r="968" spans="2:15" x14ac:dyDescent="0.3">
      <c r="B968"/>
      <c r="C968"/>
      <c r="L968"/>
      <c r="M968"/>
      <c r="N968"/>
      <c r="O968"/>
    </row>
    <row r="969" spans="2:15" x14ac:dyDescent="0.3">
      <c r="B969"/>
      <c r="C969"/>
      <c r="L969"/>
      <c r="M969"/>
      <c r="N969"/>
      <c r="O969"/>
    </row>
    <row r="970" spans="2:15" x14ac:dyDescent="0.3">
      <c r="B970"/>
      <c r="C970"/>
      <c r="L970"/>
      <c r="M970"/>
      <c r="N970"/>
      <c r="O970"/>
    </row>
    <row r="971" spans="2:15" x14ac:dyDescent="0.3">
      <c r="B971"/>
      <c r="C971"/>
      <c r="L971"/>
      <c r="M971"/>
      <c r="N971"/>
      <c r="O971"/>
    </row>
    <row r="972" spans="2:15" x14ac:dyDescent="0.3">
      <c r="B972"/>
      <c r="C972"/>
      <c r="L972"/>
      <c r="M972"/>
      <c r="N972"/>
      <c r="O972"/>
    </row>
    <row r="973" spans="2:15" x14ac:dyDescent="0.3">
      <c r="B973"/>
      <c r="C973"/>
      <c r="L973"/>
      <c r="M973"/>
      <c r="N973"/>
      <c r="O973"/>
    </row>
    <row r="974" spans="2:15" x14ac:dyDescent="0.3">
      <c r="B974"/>
      <c r="C974"/>
      <c r="L974"/>
      <c r="M974"/>
      <c r="N974"/>
      <c r="O974"/>
    </row>
    <row r="975" spans="2:15" x14ac:dyDescent="0.3">
      <c r="B975"/>
      <c r="C975"/>
      <c r="L975"/>
      <c r="M975"/>
      <c r="N975"/>
      <c r="O975"/>
    </row>
    <row r="976" spans="2:15" x14ac:dyDescent="0.3">
      <c r="B976"/>
      <c r="C976"/>
      <c r="L976"/>
      <c r="M976"/>
      <c r="N976"/>
      <c r="O976"/>
    </row>
    <row r="977" spans="2:15" x14ac:dyDescent="0.3">
      <c r="B977"/>
      <c r="C977"/>
      <c r="L977"/>
      <c r="M977"/>
      <c r="N977"/>
      <c r="O977"/>
    </row>
    <row r="978" spans="2:15" x14ac:dyDescent="0.3">
      <c r="B978"/>
      <c r="C978"/>
      <c r="L978"/>
      <c r="M978"/>
      <c r="N978"/>
      <c r="O978"/>
    </row>
    <row r="979" spans="2:15" x14ac:dyDescent="0.3">
      <c r="B979"/>
      <c r="C979"/>
      <c r="L979"/>
      <c r="M979"/>
      <c r="N979"/>
      <c r="O979"/>
    </row>
    <row r="980" spans="2:15" x14ac:dyDescent="0.3">
      <c r="B980"/>
      <c r="C980"/>
      <c r="L980"/>
      <c r="M980"/>
      <c r="N980"/>
      <c r="O980"/>
    </row>
    <row r="981" spans="2:15" x14ac:dyDescent="0.3">
      <c r="B981"/>
      <c r="C981"/>
      <c r="L981"/>
      <c r="M981"/>
      <c r="N981"/>
      <c r="O981"/>
    </row>
    <row r="982" spans="2:15" x14ac:dyDescent="0.3">
      <c r="B982"/>
      <c r="C982"/>
      <c r="L982"/>
      <c r="M982"/>
      <c r="N982"/>
      <c r="O982"/>
    </row>
    <row r="983" spans="2:15" x14ac:dyDescent="0.3">
      <c r="B983"/>
      <c r="C983"/>
      <c r="L983"/>
      <c r="M983"/>
      <c r="N983"/>
      <c r="O983"/>
    </row>
    <row r="984" spans="2:15" x14ac:dyDescent="0.3">
      <c r="B984"/>
      <c r="C984"/>
      <c r="L984"/>
      <c r="M984"/>
      <c r="N984"/>
      <c r="O984"/>
    </row>
    <row r="985" spans="2:15" x14ac:dyDescent="0.3">
      <c r="B985"/>
      <c r="C985"/>
      <c r="L985"/>
      <c r="M985"/>
      <c r="N985"/>
      <c r="O985"/>
    </row>
    <row r="986" spans="2:15" x14ac:dyDescent="0.3">
      <c r="B986"/>
      <c r="C986"/>
      <c r="L986"/>
      <c r="M986"/>
      <c r="N986"/>
      <c r="O986"/>
    </row>
    <row r="987" spans="2:15" x14ac:dyDescent="0.3">
      <c r="B987"/>
      <c r="C987"/>
      <c r="L987"/>
      <c r="M987"/>
      <c r="N987"/>
      <c r="O987"/>
    </row>
    <row r="988" spans="2:15" x14ac:dyDescent="0.3">
      <c r="B988"/>
      <c r="C988"/>
      <c r="L988"/>
      <c r="M988"/>
      <c r="N988"/>
      <c r="O988"/>
    </row>
    <row r="989" spans="2:15" x14ac:dyDescent="0.3">
      <c r="B989"/>
      <c r="C989"/>
      <c r="L989"/>
      <c r="M989"/>
      <c r="N989"/>
      <c r="O989"/>
    </row>
    <row r="990" spans="2:15" x14ac:dyDescent="0.3">
      <c r="B990"/>
      <c r="C990"/>
      <c r="L990"/>
      <c r="M990"/>
      <c r="N990"/>
      <c r="O990"/>
    </row>
    <row r="991" spans="2:15" x14ac:dyDescent="0.3">
      <c r="B991"/>
      <c r="C991"/>
      <c r="L991"/>
      <c r="M991"/>
      <c r="N991"/>
      <c r="O991"/>
    </row>
    <row r="992" spans="2:15" x14ac:dyDescent="0.3">
      <c r="B992"/>
      <c r="C992"/>
      <c r="L992"/>
      <c r="M992"/>
      <c r="N992"/>
      <c r="O992"/>
    </row>
    <row r="993" spans="2:15" x14ac:dyDescent="0.3">
      <c r="B993"/>
      <c r="C993"/>
      <c r="L993"/>
      <c r="M993"/>
      <c r="N993"/>
      <c r="O993"/>
    </row>
    <row r="994" spans="2:15" x14ac:dyDescent="0.3">
      <c r="B994"/>
      <c r="C994"/>
      <c r="L994"/>
      <c r="M994"/>
      <c r="N994"/>
      <c r="O994"/>
    </row>
    <row r="995" spans="2:15" x14ac:dyDescent="0.3">
      <c r="B995"/>
      <c r="C995"/>
      <c r="L995"/>
      <c r="M995"/>
      <c r="N995"/>
      <c r="O995"/>
    </row>
    <row r="996" spans="2:15" x14ac:dyDescent="0.3">
      <c r="B996"/>
      <c r="C996"/>
      <c r="L996"/>
      <c r="M996"/>
      <c r="N996"/>
      <c r="O996"/>
    </row>
    <row r="997" spans="2:15" x14ac:dyDescent="0.3">
      <c r="B997"/>
      <c r="C997"/>
      <c r="L997"/>
      <c r="M997"/>
      <c r="N997"/>
      <c r="O997"/>
    </row>
    <row r="998" spans="2:15" x14ac:dyDescent="0.3">
      <c r="B998"/>
      <c r="C998"/>
      <c r="L998"/>
      <c r="M998"/>
      <c r="N998"/>
      <c r="O998"/>
    </row>
    <row r="999" spans="2:15" x14ac:dyDescent="0.3">
      <c r="B999"/>
      <c r="C999"/>
      <c r="L999"/>
      <c r="M999"/>
      <c r="N999"/>
      <c r="O999"/>
    </row>
    <row r="1000" spans="2:15" x14ac:dyDescent="0.3">
      <c r="B1000"/>
      <c r="C1000"/>
      <c r="L1000"/>
      <c r="M1000"/>
      <c r="N1000"/>
      <c r="O1000"/>
    </row>
    <row r="1001" spans="2:15" x14ac:dyDescent="0.3">
      <c r="B1001"/>
      <c r="C1001"/>
      <c r="L1001"/>
      <c r="M1001"/>
      <c r="N1001"/>
      <c r="O1001"/>
    </row>
    <row r="1002" spans="2:15" x14ac:dyDescent="0.3">
      <c r="B1002"/>
      <c r="C1002"/>
      <c r="L1002"/>
      <c r="M1002"/>
      <c r="N1002"/>
      <c r="O1002"/>
    </row>
    <row r="1003" spans="2:15" x14ac:dyDescent="0.3">
      <c r="B1003"/>
      <c r="C1003"/>
      <c r="L1003"/>
      <c r="M1003"/>
      <c r="N1003"/>
      <c r="O1003"/>
    </row>
    <row r="1004" spans="2:15" x14ac:dyDescent="0.3">
      <c r="B1004"/>
      <c r="C1004"/>
      <c r="L1004"/>
      <c r="M1004"/>
      <c r="N1004"/>
      <c r="O1004"/>
    </row>
    <row r="1005" spans="2:15" x14ac:dyDescent="0.3">
      <c r="B1005"/>
      <c r="C1005"/>
      <c r="L1005"/>
      <c r="M1005"/>
      <c r="N1005"/>
      <c r="O1005"/>
    </row>
    <row r="1006" spans="2:15" x14ac:dyDescent="0.3">
      <c r="B1006"/>
      <c r="C1006"/>
      <c r="L1006"/>
      <c r="M1006"/>
      <c r="N1006"/>
      <c r="O1006"/>
    </row>
    <row r="1007" spans="2:15" x14ac:dyDescent="0.3">
      <c r="B1007"/>
      <c r="C1007"/>
      <c r="L1007"/>
      <c r="M1007"/>
      <c r="N1007"/>
      <c r="O1007"/>
    </row>
    <row r="1008" spans="2:15" x14ac:dyDescent="0.3">
      <c r="B1008"/>
      <c r="C1008"/>
      <c r="L1008"/>
      <c r="M1008"/>
      <c r="N1008"/>
      <c r="O1008"/>
    </row>
    <row r="1009" spans="2:15" x14ac:dyDescent="0.3">
      <c r="B1009"/>
      <c r="C1009"/>
      <c r="L1009"/>
      <c r="M1009"/>
      <c r="N1009"/>
      <c r="O1009"/>
    </row>
    <row r="1010" spans="2:15" x14ac:dyDescent="0.3">
      <c r="B1010"/>
      <c r="C1010"/>
      <c r="L1010"/>
      <c r="M1010"/>
      <c r="N1010"/>
      <c r="O1010"/>
    </row>
    <row r="1011" spans="2:15" x14ac:dyDescent="0.3">
      <c r="B1011"/>
      <c r="C1011"/>
      <c r="L1011"/>
      <c r="M1011"/>
      <c r="N1011"/>
      <c r="O1011"/>
    </row>
    <row r="1012" spans="2:15" x14ac:dyDescent="0.3">
      <c r="B1012"/>
      <c r="C1012"/>
      <c r="L1012"/>
      <c r="M1012"/>
      <c r="N1012"/>
      <c r="O1012"/>
    </row>
    <row r="1013" spans="2:15" x14ac:dyDescent="0.3">
      <c r="B1013"/>
      <c r="C1013"/>
      <c r="L1013"/>
      <c r="M1013"/>
      <c r="N1013"/>
      <c r="O1013"/>
    </row>
    <row r="1014" spans="2:15" x14ac:dyDescent="0.3">
      <c r="B1014"/>
      <c r="C1014"/>
      <c r="L1014"/>
      <c r="M1014"/>
      <c r="N1014"/>
      <c r="O1014"/>
    </row>
    <row r="1015" spans="2:15" x14ac:dyDescent="0.3">
      <c r="B1015"/>
      <c r="C1015"/>
      <c r="L1015"/>
      <c r="M1015"/>
      <c r="N1015"/>
      <c r="O1015"/>
    </row>
    <row r="1016" spans="2:15" x14ac:dyDescent="0.3">
      <c r="B1016"/>
      <c r="C1016"/>
      <c r="L1016"/>
      <c r="M1016"/>
      <c r="N1016"/>
      <c r="O1016"/>
    </row>
    <row r="1017" spans="2:15" x14ac:dyDescent="0.3">
      <c r="B1017"/>
      <c r="C1017"/>
      <c r="L1017"/>
      <c r="M1017"/>
      <c r="N1017"/>
      <c r="O1017"/>
    </row>
    <row r="1018" spans="2:15" x14ac:dyDescent="0.3">
      <c r="B1018"/>
      <c r="C1018"/>
      <c r="L1018"/>
      <c r="M1018"/>
      <c r="N1018"/>
      <c r="O1018"/>
    </row>
    <row r="1019" spans="2:15" x14ac:dyDescent="0.3">
      <c r="B1019"/>
      <c r="C1019"/>
      <c r="L1019"/>
      <c r="M1019"/>
      <c r="N1019"/>
      <c r="O1019"/>
    </row>
    <row r="1020" spans="2:15" x14ac:dyDescent="0.3">
      <c r="B1020"/>
      <c r="C1020"/>
      <c r="L1020"/>
      <c r="M1020"/>
      <c r="N1020"/>
      <c r="O1020"/>
    </row>
    <row r="1021" spans="2:15" x14ac:dyDescent="0.3">
      <c r="B1021"/>
      <c r="C1021"/>
      <c r="L1021"/>
      <c r="M1021"/>
      <c r="N1021"/>
      <c r="O1021"/>
    </row>
    <row r="1022" spans="2:15" x14ac:dyDescent="0.3">
      <c r="B1022"/>
      <c r="C1022"/>
      <c r="L1022"/>
      <c r="M1022"/>
      <c r="N1022"/>
      <c r="O1022"/>
    </row>
    <row r="1023" spans="2:15" x14ac:dyDescent="0.3">
      <c r="B1023"/>
      <c r="C1023"/>
      <c r="L1023"/>
      <c r="M1023"/>
      <c r="N1023"/>
      <c r="O1023"/>
    </row>
    <row r="1024" spans="2:15" x14ac:dyDescent="0.3">
      <c r="B1024"/>
      <c r="C1024"/>
      <c r="L1024"/>
      <c r="M1024"/>
      <c r="N1024"/>
      <c r="O1024"/>
    </row>
    <row r="1025" spans="2:15" x14ac:dyDescent="0.3">
      <c r="B1025"/>
      <c r="C1025"/>
      <c r="L1025"/>
      <c r="M1025"/>
      <c r="N1025"/>
      <c r="O1025"/>
    </row>
    <row r="1026" spans="2:15" x14ac:dyDescent="0.3">
      <c r="B1026"/>
      <c r="C1026"/>
      <c r="L1026"/>
      <c r="M1026"/>
      <c r="N1026"/>
      <c r="O1026"/>
    </row>
    <row r="1027" spans="2:15" x14ac:dyDescent="0.3">
      <c r="B1027"/>
      <c r="C1027"/>
      <c r="L1027"/>
      <c r="M1027"/>
      <c r="N1027"/>
      <c r="O1027"/>
    </row>
    <row r="1028" spans="2:15" x14ac:dyDescent="0.3">
      <c r="B1028"/>
      <c r="C1028"/>
      <c r="L1028"/>
      <c r="M1028"/>
      <c r="N1028"/>
      <c r="O1028"/>
    </row>
    <row r="1029" spans="2:15" x14ac:dyDescent="0.3">
      <c r="B1029"/>
      <c r="C1029"/>
      <c r="L1029"/>
      <c r="M1029"/>
      <c r="N1029"/>
      <c r="O1029"/>
    </row>
    <row r="1030" spans="2:15" x14ac:dyDescent="0.3">
      <c r="B1030"/>
      <c r="C1030"/>
      <c r="L1030"/>
      <c r="M1030"/>
      <c r="N1030"/>
      <c r="O1030"/>
    </row>
    <row r="1031" spans="2:15" x14ac:dyDescent="0.3">
      <c r="B1031"/>
      <c r="C1031"/>
      <c r="L1031"/>
      <c r="M1031"/>
      <c r="N1031"/>
      <c r="O1031"/>
    </row>
    <row r="1032" spans="2:15" x14ac:dyDescent="0.3">
      <c r="B1032"/>
      <c r="C1032"/>
      <c r="L1032"/>
      <c r="M1032"/>
      <c r="N1032"/>
      <c r="O1032"/>
    </row>
    <row r="1033" spans="2:15" x14ac:dyDescent="0.3">
      <c r="B1033"/>
      <c r="C1033"/>
      <c r="L1033"/>
      <c r="M1033"/>
      <c r="N1033"/>
      <c r="O1033"/>
    </row>
    <row r="1034" spans="2:15" x14ac:dyDescent="0.3">
      <c r="B1034"/>
      <c r="C1034"/>
      <c r="L1034"/>
      <c r="M1034"/>
      <c r="N1034"/>
      <c r="O1034"/>
    </row>
    <row r="1035" spans="2:15" x14ac:dyDescent="0.3">
      <c r="B1035"/>
      <c r="C1035"/>
      <c r="L1035"/>
      <c r="M1035"/>
      <c r="N1035"/>
      <c r="O1035"/>
    </row>
    <row r="1036" spans="2:15" x14ac:dyDescent="0.3">
      <c r="B1036"/>
      <c r="C1036"/>
      <c r="L1036"/>
      <c r="M1036"/>
      <c r="N1036"/>
      <c r="O1036"/>
    </row>
    <row r="1037" spans="2:15" x14ac:dyDescent="0.3">
      <c r="B1037"/>
      <c r="C1037"/>
      <c r="L1037"/>
      <c r="M1037"/>
      <c r="N1037"/>
      <c r="O1037"/>
    </row>
    <row r="1038" spans="2:15" x14ac:dyDescent="0.3">
      <c r="B1038"/>
      <c r="C1038"/>
      <c r="L1038"/>
      <c r="M1038"/>
      <c r="N1038"/>
      <c r="O1038"/>
    </row>
    <row r="1039" spans="2:15" x14ac:dyDescent="0.3">
      <c r="B1039"/>
      <c r="C1039"/>
      <c r="L1039"/>
      <c r="M1039"/>
      <c r="N1039"/>
      <c r="O1039"/>
    </row>
    <row r="1040" spans="2:15" x14ac:dyDescent="0.3">
      <c r="B1040"/>
      <c r="C1040"/>
      <c r="L1040"/>
      <c r="M1040"/>
      <c r="N1040"/>
      <c r="O1040"/>
    </row>
    <row r="1041" spans="2:15" x14ac:dyDescent="0.3">
      <c r="B1041"/>
      <c r="C1041"/>
      <c r="L1041"/>
      <c r="M1041"/>
      <c r="N1041"/>
      <c r="O1041"/>
    </row>
    <row r="1042" spans="2:15" x14ac:dyDescent="0.3">
      <c r="B1042"/>
      <c r="C1042"/>
      <c r="L1042"/>
      <c r="M1042"/>
      <c r="N1042"/>
      <c r="O1042"/>
    </row>
    <row r="1043" spans="2:15" x14ac:dyDescent="0.3">
      <c r="B1043"/>
      <c r="C1043"/>
      <c r="L1043"/>
      <c r="M1043"/>
      <c r="N1043"/>
      <c r="O1043"/>
    </row>
    <row r="1044" spans="2:15" x14ac:dyDescent="0.3">
      <c r="B1044"/>
      <c r="C1044"/>
      <c r="L1044"/>
      <c r="M1044"/>
      <c r="N1044"/>
      <c r="O1044"/>
    </row>
    <row r="1045" spans="2:15" x14ac:dyDescent="0.3">
      <c r="B1045"/>
      <c r="C1045"/>
      <c r="L1045"/>
      <c r="M1045"/>
      <c r="N1045"/>
      <c r="O1045"/>
    </row>
    <row r="1046" spans="2:15" x14ac:dyDescent="0.3">
      <c r="B1046"/>
      <c r="C1046"/>
      <c r="L1046"/>
      <c r="M1046"/>
      <c r="N1046"/>
      <c r="O1046"/>
    </row>
    <row r="1047" spans="2:15" x14ac:dyDescent="0.3">
      <c r="B1047"/>
      <c r="C1047"/>
      <c r="L1047"/>
      <c r="M1047"/>
      <c r="N1047"/>
      <c r="O1047"/>
    </row>
    <row r="1048" spans="2:15" x14ac:dyDescent="0.3">
      <c r="B1048"/>
      <c r="C1048"/>
      <c r="L1048"/>
      <c r="M1048"/>
      <c r="N1048"/>
      <c r="O1048"/>
    </row>
    <row r="1049" spans="2:15" x14ac:dyDescent="0.3">
      <c r="B1049"/>
      <c r="C1049"/>
      <c r="L1049"/>
      <c r="M1049"/>
      <c r="N1049"/>
      <c r="O1049"/>
    </row>
    <row r="1050" spans="2:15" x14ac:dyDescent="0.3">
      <c r="B1050"/>
      <c r="C1050"/>
      <c r="L1050"/>
      <c r="M1050"/>
      <c r="N1050"/>
      <c r="O1050"/>
    </row>
    <row r="1051" spans="2:15" x14ac:dyDescent="0.3">
      <c r="B1051"/>
      <c r="C1051"/>
      <c r="L1051"/>
      <c r="M1051"/>
      <c r="N1051"/>
      <c r="O1051"/>
    </row>
    <row r="1052" spans="2:15" x14ac:dyDescent="0.3">
      <c r="B1052"/>
      <c r="C1052"/>
      <c r="L1052"/>
      <c r="M1052"/>
      <c r="N1052"/>
      <c r="O1052"/>
    </row>
    <row r="1053" spans="2:15" x14ac:dyDescent="0.3">
      <c r="B1053"/>
      <c r="C1053"/>
      <c r="L1053"/>
      <c r="M1053"/>
      <c r="N1053"/>
      <c r="O1053"/>
    </row>
    <row r="1054" spans="2:15" x14ac:dyDescent="0.3">
      <c r="B1054"/>
      <c r="C1054"/>
      <c r="L1054"/>
      <c r="M1054"/>
      <c r="N1054"/>
      <c r="O1054"/>
    </row>
    <row r="1055" spans="2:15" x14ac:dyDescent="0.3">
      <c r="B1055"/>
      <c r="C1055"/>
      <c r="L1055"/>
      <c r="M1055"/>
      <c r="N1055"/>
      <c r="O1055"/>
    </row>
    <row r="1056" spans="2:15" x14ac:dyDescent="0.3">
      <c r="B1056"/>
      <c r="C1056"/>
      <c r="L1056"/>
      <c r="M1056"/>
      <c r="N1056"/>
      <c r="O1056"/>
    </row>
    <row r="1057" spans="2:15" x14ac:dyDescent="0.3">
      <c r="B1057"/>
      <c r="C1057"/>
      <c r="L1057"/>
      <c r="M1057"/>
      <c r="N1057"/>
      <c r="O1057"/>
    </row>
    <row r="1058" spans="2:15" x14ac:dyDescent="0.3">
      <c r="B1058"/>
      <c r="C1058"/>
      <c r="L1058"/>
      <c r="M1058"/>
      <c r="N1058"/>
      <c r="O1058"/>
    </row>
    <row r="1059" spans="2:15" x14ac:dyDescent="0.3">
      <c r="B1059"/>
      <c r="C1059"/>
      <c r="L1059"/>
      <c r="M1059"/>
      <c r="N1059"/>
      <c r="O1059"/>
    </row>
    <row r="1060" spans="2:15" x14ac:dyDescent="0.3">
      <c r="B1060"/>
      <c r="C1060"/>
      <c r="L1060"/>
      <c r="M1060"/>
      <c r="N1060"/>
      <c r="O1060"/>
    </row>
    <row r="1061" spans="2:15" x14ac:dyDescent="0.3">
      <c r="B1061"/>
      <c r="C1061"/>
      <c r="L1061"/>
      <c r="M1061"/>
      <c r="N1061"/>
      <c r="O1061"/>
    </row>
    <row r="1062" spans="2:15" x14ac:dyDescent="0.3">
      <c r="B1062"/>
      <c r="C1062"/>
      <c r="L1062"/>
      <c r="M1062"/>
      <c r="N1062"/>
      <c r="O1062"/>
    </row>
    <row r="1063" spans="2:15" x14ac:dyDescent="0.3">
      <c r="B1063"/>
      <c r="C1063"/>
      <c r="L1063"/>
      <c r="M1063"/>
      <c r="N1063"/>
      <c r="O1063"/>
    </row>
    <row r="1064" spans="2:15" x14ac:dyDescent="0.3">
      <c r="B1064"/>
      <c r="C1064"/>
      <c r="L1064"/>
      <c r="M1064"/>
      <c r="N1064"/>
      <c r="O1064"/>
    </row>
    <row r="1065" spans="2:15" x14ac:dyDescent="0.3">
      <c r="B1065"/>
      <c r="C1065"/>
      <c r="L1065"/>
      <c r="M1065"/>
      <c r="N1065"/>
      <c r="O1065"/>
    </row>
    <row r="1066" spans="2:15" x14ac:dyDescent="0.3">
      <c r="B1066"/>
      <c r="C1066"/>
      <c r="L1066"/>
      <c r="M1066"/>
      <c r="N1066"/>
      <c r="O1066"/>
    </row>
    <row r="1067" spans="2:15" x14ac:dyDescent="0.3">
      <c r="B1067"/>
      <c r="C1067"/>
      <c r="L1067"/>
      <c r="M1067"/>
      <c r="N1067"/>
      <c r="O1067"/>
    </row>
    <row r="1068" spans="2:15" x14ac:dyDescent="0.3">
      <c r="B1068"/>
      <c r="C1068"/>
      <c r="L1068"/>
      <c r="M1068"/>
      <c r="N1068"/>
      <c r="O1068"/>
    </row>
    <row r="1069" spans="2:15" x14ac:dyDescent="0.3">
      <c r="B1069"/>
      <c r="C1069"/>
      <c r="L1069"/>
      <c r="M1069"/>
      <c r="N1069"/>
      <c r="O1069"/>
    </row>
    <row r="1070" spans="2:15" x14ac:dyDescent="0.3">
      <c r="B1070"/>
      <c r="C1070"/>
      <c r="L1070"/>
      <c r="M1070"/>
      <c r="N1070"/>
      <c r="O1070"/>
    </row>
    <row r="1071" spans="2:15" x14ac:dyDescent="0.3">
      <c r="B1071"/>
      <c r="C1071"/>
      <c r="L1071"/>
      <c r="M1071"/>
      <c r="N1071"/>
      <c r="O1071"/>
    </row>
    <row r="1072" spans="2:15" x14ac:dyDescent="0.3">
      <c r="B1072"/>
      <c r="C1072"/>
      <c r="L1072"/>
      <c r="M1072"/>
      <c r="N1072"/>
      <c r="O1072"/>
    </row>
    <row r="1073" spans="2:15" x14ac:dyDescent="0.3">
      <c r="B1073"/>
      <c r="C1073"/>
      <c r="L1073"/>
      <c r="M1073"/>
      <c r="N1073"/>
      <c r="O1073"/>
    </row>
    <row r="1074" spans="2:15" x14ac:dyDescent="0.3">
      <c r="B1074"/>
      <c r="C1074"/>
      <c r="L1074"/>
      <c r="M1074"/>
      <c r="N1074"/>
      <c r="O1074"/>
    </row>
    <row r="1075" spans="2:15" x14ac:dyDescent="0.3">
      <c r="B1075"/>
      <c r="C1075"/>
      <c r="L1075"/>
      <c r="M1075"/>
      <c r="N1075"/>
      <c r="O1075"/>
    </row>
    <row r="1076" spans="2:15" x14ac:dyDescent="0.3">
      <c r="B1076"/>
      <c r="C1076"/>
      <c r="L1076"/>
      <c r="M1076"/>
      <c r="N1076"/>
      <c r="O1076"/>
    </row>
    <row r="1077" spans="2:15" x14ac:dyDescent="0.3">
      <c r="B1077"/>
      <c r="C1077"/>
      <c r="L1077"/>
      <c r="M1077"/>
      <c r="N1077"/>
      <c r="O1077"/>
    </row>
    <row r="1078" spans="2:15" x14ac:dyDescent="0.3">
      <c r="B1078"/>
      <c r="C1078"/>
      <c r="L1078"/>
      <c r="M1078"/>
      <c r="N1078"/>
      <c r="O1078"/>
    </row>
    <row r="1079" spans="2:15" x14ac:dyDescent="0.3">
      <c r="B1079"/>
      <c r="C1079"/>
      <c r="L1079"/>
      <c r="M1079"/>
      <c r="N1079"/>
      <c r="O1079"/>
    </row>
    <row r="1080" spans="2:15" x14ac:dyDescent="0.3">
      <c r="B1080"/>
      <c r="C1080"/>
      <c r="L1080"/>
      <c r="M1080"/>
      <c r="N1080"/>
      <c r="O1080"/>
    </row>
    <row r="1081" spans="2:15" x14ac:dyDescent="0.3">
      <c r="B1081"/>
      <c r="C1081"/>
      <c r="L1081"/>
      <c r="M1081"/>
      <c r="N1081"/>
      <c r="O1081"/>
    </row>
    <row r="1082" spans="2:15" x14ac:dyDescent="0.3">
      <c r="B1082"/>
      <c r="C1082"/>
      <c r="L1082"/>
      <c r="M1082"/>
      <c r="N1082"/>
      <c r="O1082"/>
    </row>
    <row r="1083" spans="2:15" x14ac:dyDescent="0.3">
      <c r="B1083"/>
      <c r="C1083"/>
      <c r="L1083"/>
      <c r="M1083"/>
      <c r="N1083"/>
      <c r="O1083"/>
    </row>
    <row r="1084" spans="2:15" x14ac:dyDescent="0.3">
      <c r="B1084"/>
      <c r="C1084"/>
      <c r="L1084"/>
      <c r="M1084"/>
      <c r="N1084"/>
      <c r="O1084"/>
    </row>
    <row r="1085" spans="2:15" x14ac:dyDescent="0.3">
      <c r="B1085"/>
      <c r="C1085"/>
      <c r="L1085"/>
      <c r="M1085"/>
      <c r="N1085"/>
      <c r="O1085"/>
    </row>
    <row r="1086" spans="2:15" x14ac:dyDescent="0.3">
      <c r="B1086"/>
      <c r="C1086"/>
      <c r="L1086"/>
      <c r="M1086"/>
      <c r="N1086"/>
      <c r="O1086"/>
    </row>
    <row r="1087" spans="2:15" x14ac:dyDescent="0.3">
      <c r="B1087"/>
      <c r="C1087"/>
      <c r="L1087"/>
      <c r="M1087"/>
      <c r="N1087"/>
      <c r="O1087"/>
    </row>
    <row r="1088" spans="2:15" x14ac:dyDescent="0.3">
      <c r="B1088"/>
      <c r="C1088"/>
      <c r="L1088"/>
      <c r="M1088"/>
      <c r="N1088"/>
      <c r="O1088"/>
    </row>
    <row r="1089" spans="2:15" x14ac:dyDescent="0.3">
      <c r="B1089"/>
      <c r="C1089"/>
      <c r="L1089"/>
      <c r="M1089"/>
      <c r="N1089"/>
      <c r="O1089"/>
    </row>
    <row r="1090" spans="2:15" x14ac:dyDescent="0.3">
      <c r="B1090"/>
      <c r="C1090"/>
      <c r="L1090"/>
      <c r="M1090"/>
      <c r="N1090"/>
      <c r="O1090"/>
    </row>
    <row r="1091" spans="2:15" x14ac:dyDescent="0.3">
      <c r="B1091"/>
      <c r="C1091"/>
      <c r="L1091"/>
      <c r="M1091"/>
      <c r="N1091"/>
      <c r="O1091"/>
    </row>
    <row r="1092" spans="2:15" x14ac:dyDescent="0.3">
      <c r="B1092"/>
      <c r="C1092"/>
      <c r="L1092"/>
      <c r="M1092"/>
      <c r="N1092"/>
      <c r="O1092"/>
    </row>
    <row r="1093" spans="2:15" x14ac:dyDescent="0.3">
      <c r="B1093"/>
      <c r="C1093"/>
      <c r="L1093"/>
      <c r="M1093"/>
      <c r="N1093"/>
      <c r="O1093"/>
    </row>
    <row r="1094" spans="2:15" x14ac:dyDescent="0.3">
      <c r="B1094"/>
      <c r="C1094"/>
      <c r="L1094"/>
      <c r="M1094"/>
      <c r="N1094"/>
      <c r="O1094"/>
    </row>
    <row r="1095" spans="2:15" x14ac:dyDescent="0.3">
      <c r="B1095"/>
      <c r="C1095"/>
      <c r="L1095"/>
      <c r="M1095"/>
      <c r="N1095"/>
      <c r="O1095"/>
    </row>
    <row r="1096" spans="2:15" x14ac:dyDescent="0.3">
      <c r="B1096"/>
      <c r="C1096"/>
      <c r="L1096"/>
      <c r="M1096"/>
      <c r="N1096"/>
      <c r="O1096"/>
    </row>
    <row r="1097" spans="2:15" x14ac:dyDescent="0.3">
      <c r="B1097"/>
      <c r="C1097"/>
      <c r="L1097"/>
      <c r="M1097"/>
      <c r="N1097"/>
      <c r="O1097"/>
    </row>
    <row r="1098" spans="2:15" x14ac:dyDescent="0.3">
      <c r="B1098"/>
      <c r="C1098"/>
      <c r="L1098"/>
      <c r="M1098"/>
      <c r="N1098"/>
      <c r="O1098"/>
    </row>
    <row r="1099" spans="2:15" x14ac:dyDescent="0.3">
      <c r="B1099"/>
      <c r="C1099"/>
      <c r="L1099"/>
      <c r="M1099"/>
      <c r="N1099"/>
      <c r="O1099"/>
    </row>
    <row r="1100" spans="2:15" x14ac:dyDescent="0.3">
      <c r="B1100"/>
      <c r="C1100"/>
      <c r="L1100"/>
      <c r="M1100"/>
      <c r="N1100"/>
      <c r="O1100"/>
    </row>
    <row r="1101" spans="2:15" x14ac:dyDescent="0.3">
      <c r="B1101"/>
      <c r="C1101"/>
      <c r="L1101"/>
      <c r="M1101"/>
      <c r="N1101"/>
      <c r="O1101"/>
    </row>
    <row r="1102" spans="2:15" x14ac:dyDescent="0.3">
      <c r="B1102"/>
      <c r="C1102"/>
      <c r="L1102"/>
      <c r="M1102"/>
      <c r="N1102"/>
      <c r="O1102"/>
    </row>
    <row r="1103" spans="2:15" x14ac:dyDescent="0.3">
      <c r="B1103"/>
      <c r="C1103"/>
      <c r="L1103"/>
      <c r="M1103"/>
      <c r="N1103"/>
      <c r="O1103"/>
    </row>
    <row r="1104" spans="2:15" x14ac:dyDescent="0.3">
      <c r="B1104"/>
      <c r="C1104"/>
      <c r="L1104"/>
      <c r="M1104"/>
      <c r="N1104"/>
      <c r="O1104"/>
    </row>
    <row r="1105" spans="2:15" x14ac:dyDescent="0.3">
      <c r="B1105"/>
      <c r="C1105"/>
      <c r="L1105"/>
      <c r="M1105"/>
      <c r="N1105"/>
      <c r="O1105"/>
    </row>
    <row r="1106" spans="2:15" x14ac:dyDescent="0.3">
      <c r="B1106"/>
      <c r="C1106"/>
      <c r="L1106"/>
      <c r="M1106"/>
      <c r="N1106"/>
      <c r="O1106"/>
    </row>
    <row r="1107" spans="2:15" x14ac:dyDescent="0.3">
      <c r="B1107"/>
      <c r="C1107"/>
      <c r="L1107"/>
      <c r="M1107"/>
      <c r="N1107"/>
      <c r="O1107"/>
    </row>
    <row r="1108" spans="2:15" x14ac:dyDescent="0.3">
      <c r="B1108"/>
      <c r="C1108"/>
      <c r="L1108"/>
      <c r="M1108"/>
      <c r="N1108"/>
      <c r="O1108"/>
    </row>
    <row r="1109" spans="2:15" x14ac:dyDescent="0.3">
      <c r="B1109"/>
      <c r="C1109"/>
      <c r="L1109"/>
      <c r="M1109"/>
      <c r="N1109"/>
      <c r="O1109"/>
    </row>
    <row r="1110" spans="2:15" x14ac:dyDescent="0.3">
      <c r="B1110"/>
      <c r="C1110"/>
      <c r="L1110"/>
      <c r="M1110"/>
      <c r="N1110"/>
      <c r="O1110"/>
    </row>
    <row r="1111" spans="2:15" x14ac:dyDescent="0.3">
      <c r="B1111"/>
      <c r="C1111"/>
      <c r="L1111"/>
      <c r="M1111"/>
      <c r="N1111"/>
      <c r="O1111"/>
    </row>
    <row r="1112" spans="2:15" x14ac:dyDescent="0.3">
      <c r="B1112"/>
      <c r="C1112"/>
      <c r="L1112"/>
      <c r="M1112"/>
      <c r="N1112"/>
      <c r="O1112"/>
    </row>
    <row r="1113" spans="2:15" x14ac:dyDescent="0.3">
      <c r="B1113"/>
      <c r="C1113"/>
      <c r="L1113"/>
      <c r="M1113"/>
      <c r="N1113"/>
      <c r="O1113"/>
    </row>
    <row r="1114" spans="2:15" x14ac:dyDescent="0.3">
      <c r="B1114"/>
      <c r="C1114"/>
      <c r="L1114"/>
      <c r="M1114"/>
      <c r="N1114"/>
      <c r="O1114"/>
    </row>
    <row r="1115" spans="2:15" x14ac:dyDescent="0.3">
      <c r="B1115"/>
      <c r="C1115"/>
      <c r="L1115"/>
      <c r="M1115"/>
      <c r="N1115"/>
      <c r="O1115"/>
    </row>
    <row r="1116" spans="2:15" x14ac:dyDescent="0.3">
      <c r="B1116"/>
      <c r="C1116"/>
      <c r="L1116"/>
      <c r="M1116"/>
      <c r="N1116"/>
      <c r="O1116"/>
    </row>
    <row r="1117" spans="2:15" x14ac:dyDescent="0.3">
      <c r="B1117"/>
      <c r="C1117"/>
      <c r="L1117"/>
      <c r="M1117"/>
      <c r="N1117"/>
      <c r="O1117"/>
    </row>
    <row r="1118" spans="2:15" x14ac:dyDescent="0.3">
      <c r="B1118"/>
      <c r="C1118"/>
      <c r="L1118"/>
      <c r="M1118"/>
      <c r="N1118"/>
      <c r="O1118"/>
    </row>
    <row r="1119" spans="2:15" x14ac:dyDescent="0.3">
      <c r="B1119"/>
      <c r="C1119"/>
      <c r="L1119"/>
      <c r="M1119"/>
      <c r="N1119"/>
      <c r="O1119"/>
    </row>
    <row r="1120" spans="2:15" x14ac:dyDescent="0.3">
      <c r="B1120"/>
      <c r="C1120"/>
      <c r="L1120"/>
      <c r="M1120"/>
      <c r="N1120"/>
      <c r="O1120"/>
    </row>
    <row r="1121" spans="2:15" x14ac:dyDescent="0.3">
      <c r="B1121"/>
      <c r="C1121"/>
      <c r="L1121"/>
      <c r="M1121"/>
      <c r="N1121"/>
      <c r="O1121"/>
    </row>
    <row r="1122" spans="2:15" x14ac:dyDescent="0.3">
      <c r="B1122"/>
      <c r="C1122"/>
      <c r="L1122"/>
      <c r="M1122"/>
      <c r="N1122"/>
      <c r="O1122"/>
    </row>
    <row r="1123" spans="2:15" x14ac:dyDescent="0.3">
      <c r="B1123"/>
      <c r="C1123"/>
      <c r="L1123"/>
      <c r="M1123"/>
      <c r="N1123"/>
      <c r="O1123"/>
    </row>
    <row r="1124" spans="2:15" x14ac:dyDescent="0.3">
      <c r="B1124"/>
      <c r="C1124"/>
      <c r="L1124"/>
      <c r="M1124"/>
      <c r="N1124"/>
      <c r="O1124"/>
    </row>
    <row r="1125" spans="2:15" x14ac:dyDescent="0.3">
      <c r="B1125"/>
      <c r="C1125"/>
      <c r="L1125"/>
      <c r="M1125"/>
      <c r="N1125"/>
      <c r="O1125"/>
    </row>
    <row r="1126" spans="2:15" x14ac:dyDescent="0.3">
      <c r="B1126"/>
      <c r="C1126"/>
      <c r="L1126"/>
      <c r="M1126"/>
      <c r="N1126"/>
      <c r="O1126"/>
    </row>
    <row r="1127" spans="2:15" x14ac:dyDescent="0.3">
      <c r="B1127"/>
      <c r="C1127"/>
      <c r="L1127"/>
      <c r="M1127"/>
      <c r="N1127"/>
      <c r="O1127"/>
    </row>
    <row r="1128" spans="2:15" x14ac:dyDescent="0.3">
      <c r="B1128"/>
      <c r="C1128"/>
      <c r="L1128"/>
      <c r="M1128"/>
      <c r="N1128"/>
      <c r="O1128"/>
    </row>
    <row r="1129" spans="2:15" x14ac:dyDescent="0.3">
      <c r="B1129"/>
      <c r="C1129"/>
      <c r="L1129"/>
      <c r="M1129"/>
      <c r="N1129"/>
      <c r="O1129"/>
    </row>
    <row r="1130" spans="2:15" x14ac:dyDescent="0.3">
      <c r="B1130"/>
      <c r="C1130"/>
      <c r="L1130"/>
      <c r="M1130"/>
      <c r="N1130"/>
      <c r="O1130"/>
    </row>
    <row r="1131" spans="2:15" x14ac:dyDescent="0.3">
      <c r="B1131"/>
      <c r="C1131"/>
      <c r="L1131"/>
      <c r="M1131"/>
      <c r="N1131"/>
      <c r="O1131"/>
    </row>
    <row r="1132" spans="2:15" x14ac:dyDescent="0.3">
      <c r="B1132"/>
      <c r="C1132"/>
      <c r="L1132"/>
      <c r="M1132"/>
      <c r="N1132"/>
      <c r="O1132"/>
    </row>
    <row r="1133" spans="2:15" x14ac:dyDescent="0.3">
      <c r="B1133"/>
      <c r="C1133"/>
      <c r="L1133"/>
      <c r="M1133"/>
      <c r="N1133"/>
      <c r="O1133"/>
    </row>
    <row r="1134" spans="2:15" x14ac:dyDescent="0.3">
      <c r="B1134"/>
      <c r="C1134"/>
      <c r="L1134"/>
      <c r="M1134"/>
      <c r="N1134"/>
      <c r="O1134"/>
    </row>
    <row r="1135" spans="2:15" x14ac:dyDescent="0.3">
      <c r="B1135"/>
      <c r="C1135"/>
      <c r="L1135"/>
      <c r="M1135"/>
      <c r="N1135"/>
      <c r="O1135"/>
    </row>
    <row r="1136" spans="2:15" x14ac:dyDescent="0.3">
      <c r="B1136"/>
      <c r="C1136"/>
      <c r="L1136"/>
      <c r="M1136"/>
      <c r="N1136"/>
      <c r="O1136"/>
    </row>
    <row r="1137" spans="2:15" x14ac:dyDescent="0.3">
      <c r="B1137"/>
      <c r="C1137"/>
      <c r="L1137"/>
      <c r="M1137"/>
      <c r="N1137"/>
      <c r="O1137"/>
    </row>
    <row r="1138" spans="2:15" x14ac:dyDescent="0.3">
      <c r="B1138"/>
      <c r="C1138"/>
      <c r="L1138"/>
      <c r="M1138"/>
      <c r="N1138"/>
      <c r="O1138"/>
    </row>
    <row r="1139" spans="2:15" x14ac:dyDescent="0.3">
      <c r="B1139"/>
      <c r="C1139"/>
      <c r="L1139"/>
      <c r="M1139"/>
      <c r="N1139"/>
      <c r="O1139"/>
    </row>
    <row r="1140" spans="2:15" x14ac:dyDescent="0.3">
      <c r="B1140"/>
      <c r="C1140"/>
      <c r="L1140"/>
      <c r="M1140"/>
      <c r="N1140"/>
      <c r="O1140"/>
    </row>
    <row r="1141" spans="2:15" x14ac:dyDescent="0.3">
      <c r="B1141"/>
      <c r="C1141"/>
      <c r="L1141"/>
      <c r="M1141"/>
      <c r="N1141"/>
      <c r="O1141"/>
    </row>
    <row r="1142" spans="2:15" x14ac:dyDescent="0.3">
      <c r="B1142"/>
      <c r="C1142"/>
      <c r="L1142"/>
      <c r="M1142"/>
      <c r="N1142"/>
      <c r="O1142"/>
    </row>
    <row r="1143" spans="2:15" x14ac:dyDescent="0.3">
      <c r="B1143"/>
      <c r="C1143"/>
      <c r="L1143"/>
      <c r="M1143"/>
      <c r="N1143"/>
      <c r="O1143"/>
    </row>
    <row r="1144" spans="2:15" x14ac:dyDescent="0.3">
      <c r="B1144"/>
      <c r="C1144"/>
      <c r="L1144"/>
      <c r="M1144"/>
      <c r="N1144"/>
      <c r="O1144"/>
    </row>
    <row r="1145" spans="2:15" x14ac:dyDescent="0.3">
      <c r="B1145"/>
      <c r="C1145"/>
      <c r="L1145"/>
      <c r="M1145"/>
      <c r="N1145"/>
      <c r="O1145"/>
    </row>
    <row r="1146" spans="2:15" x14ac:dyDescent="0.3">
      <c r="B1146"/>
      <c r="C1146"/>
      <c r="L1146"/>
      <c r="M1146"/>
      <c r="N1146"/>
      <c r="O1146"/>
    </row>
    <row r="1147" spans="2:15" x14ac:dyDescent="0.3">
      <c r="B1147"/>
      <c r="C1147"/>
      <c r="L1147"/>
      <c r="M1147"/>
      <c r="N1147"/>
      <c r="O1147"/>
    </row>
    <row r="1148" spans="2:15" x14ac:dyDescent="0.3">
      <c r="B1148"/>
      <c r="C1148"/>
      <c r="L1148"/>
      <c r="M1148"/>
      <c r="N1148"/>
      <c r="O1148"/>
    </row>
    <row r="1149" spans="2:15" x14ac:dyDescent="0.3">
      <c r="B1149"/>
      <c r="C1149"/>
      <c r="L1149"/>
      <c r="M1149"/>
      <c r="N1149"/>
      <c r="O1149"/>
    </row>
    <row r="1150" spans="2:15" x14ac:dyDescent="0.3">
      <c r="B1150"/>
      <c r="C1150"/>
      <c r="L1150"/>
      <c r="M1150"/>
      <c r="N1150"/>
      <c r="O1150"/>
    </row>
    <row r="1151" spans="2:15" x14ac:dyDescent="0.3">
      <c r="B1151"/>
      <c r="C1151"/>
      <c r="L1151"/>
      <c r="M1151"/>
      <c r="N1151"/>
      <c r="O1151"/>
    </row>
    <row r="1152" spans="2:15" x14ac:dyDescent="0.3">
      <c r="B1152"/>
      <c r="C1152"/>
      <c r="L1152"/>
      <c r="M1152"/>
      <c r="N1152"/>
      <c r="O1152"/>
    </row>
    <row r="1153" spans="2:15" x14ac:dyDescent="0.3">
      <c r="B1153"/>
      <c r="C1153"/>
      <c r="L1153"/>
      <c r="M1153"/>
      <c r="N1153"/>
      <c r="O1153"/>
    </row>
    <row r="1154" spans="2:15" x14ac:dyDescent="0.3">
      <c r="B1154"/>
      <c r="C1154"/>
      <c r="L1154"/>
      <c r="M1154"/>
      <c r="N1154"/>
      <c r="O1154"/>
    </row>
    <row r="1155" spans="2:15" x14ac:dyDescent="0.3">
      <c r="B1155"/>
      <c r="C1155"/>
      <c r="L1155"/>
      <c r="M1155"/>
      <c r="N1155"/>
      <c r="O1155"/>
    </row>
    <row r="1156" spans="2:15" x14ac:dyDescent="0.3">
      <c r="B1156"/>
      <c r="C1156"/>
      <c r="L1156"/>
      <c r="M1156"/>
      <c r="N1156"/>
      <c r="O1156"/>
    </row>
    <row r="1157" spans="2:15" x14ac:dyDescent="0.3">
      <c r="B1157"/>
      <c r="C1157"/>
      <c r="L1157"/>
      <c r="M1157"/>
      <c r="N1157"/>
      <c r="O1157"/>
    </row>
    <row r="1158" spans="2:15" x14ac:dyDescent="0.3">
      <c r="B1158"/>
      <c r="C1158"/>
      <c r="L1158"/>
      <c r="M1158"/>
      <c r="N1158"/>
      <c r="O1158"/>
    </row>
    <row r="1159" spans="2:15" x14ac:dyDescent="0.3">
      <c r="B1159"/>
      <c r="C1159"/>
      <c r="L1159"/>
      <c r="M1159"/>
      <c r="N1159"/>
      <c r="O1159"/>
    </row>
    <row r="1160" spans="2:15" x14ac:dyDescent="0.3">
      <c r="B1160"/>
      <c r="C1160"/>
      <c r="L1160"/>
      <c r="M1160"/>
      <c r="N1160"/>
      <c r="O1160"/>
    </row>
    <row r="1161" spans="2:15" x14ac:dyDescent="0.3">
      <c r="B1161"/>
      <c r="C1161"/>
      <c r="L1161"/>
      <c r="M1161"/>
      <c r="N1161"/>
      <c r="O1161"/>
    </row>
    <row r="1162" spans="2:15" x14ac:dyDescent="0.3">
      <c r="B1162"/>
      <c r="C1162"/>
      <c r="L1162"/>
      <c r="M1162"/>
      <c r="N1162"/>
      <c r="O1162"/>
    </row>
    <row r="1163" spans="2:15" x14ac:dyDescent="0.3">
      <c r="B1163"/>
      <c r="C1163"/>
      <c r="L1163"/>
      <c r="M1163"/>
      <c r="N1163"/>
      <c r="O1163"/>
    </row>
    <row r="1164" spans="2:15" x14ac:dyDescent="0.3">
      <c r="B1164"/>
      <c r="C1164"/>
      <c r="L1164"/>
      <c r="M1164"/>
      <c r="N1164"/>
      <c r="O1164"/>
    </row>
    <row r="1165" spans="2:15" x14ac:dyDescent="0.3">
      <c r="B1165"/>
      <c r="C1165"/>
      <c r="L1165"/>
      <c r="M1165"/>
      <c r="N1165"/>
      <c r="O1165"/>
    </row>
    <row r="1166" spans="2:15" x14ac:dyDescent="0.3">
      <c r="B1166"/>
      <c r="C1166"/>
      <c r="L1166"/>
      <c r="M1166"/>
      <c r="N1166"/>
      <c r="O1166"/>
    </row>
    <row r="1167" spans="2:15" x14ac:dyDescent="0.3">
      <c r="B1167"/>
      <c r="C1167"/>
      <c r="L1167"/>
      <c r="M1167"/>
      <c r="N1167"/>
      <c r="O1167"/>
    </row>
    <row r="1168" spans="2:15" x14ac:dyDescent="0.3">
      <c r="B1168"/>
      <c r="C1168"/>
      <c r="L1168"/>
      <c r="M1168"/>
      <c r="N1168"/>
      <c r="O1168"/>
    </row>
    <row r="1169" spans="2:15" x14ac:dyDescent="0.3">
      <c r="B1169"/>
      <c r="C1169"/>
      <c r="L1169"/>
      <c r="M1169"/>
      <c r="N1169"/>
      <c r="O1169"/>
    </row>
    <row r="1170" spans="2:15" x14ac:dyDescent="0.3">
      <c r="B1170"/>
      <c r="C1170"/>
      <c r="L1170"/>
      <c r="M1170"/>
      <c r="N1170"/>
      <c r="O1170"/>
    </row>
    <row r="1171" spans="2:15" x14ac:dyDescent="0.3">
      <c r="B1171"/>
      <c r="C1171"/>
      <c r="L1171"/>
      <c r="M1171"/>
      <c r="N1171"/>
      <c r="O1171"/>
    </row>
    <row r="1172" spans="2:15" x14ac:dyDescent="0.3">
      <c r="B1172"/>
      <c r="C1172"/>
      <c r="L1172"/>
      <c r="M1172"/>
      <c r="N1172"/>
      <c r="O1172"/>
    </row>
    <row r="1173" spans="2:15" x14ac:dyDescent="0.3">
      <c r="B1173"/>
      <c r="C1173"/>
      <c r="L1173"/>
      <c r="M1173"/>
      <c r="N1173"/>
      <c r="O1173"/>
    </row>
    <row r="1174" spans="2:15" x14ac:dyDescent="0.3">
      <c r="B1174"/>
      <c r="C1174"/>
      <c r="L1174"/>
      <c r="M1174"/>
      <c r="N1174"/>
      <c r="O1174"/>
    </row>
    <row r="1175" spans="2:15" x14ac:dyDescent="0.3">
      <c r="B1175"/>
      <c r="C1175"/>
      <c r="L1175"/>
      <c r="M1175"/>
      <c r="N1175"/>
      <c r="O1175"/>
    </row>
    <row r="1176" spans="2:15" x14ac:dyDescent="0.3">
      <c r="B1176"/>
      <c r="C1176"/>
      <c r="L1176"/>
      <c r="M1176"/>
      <c r="N1176"/>
      <c r="O1176"/>
    </row>
    <row r="1177" spans="2:15" x14ac:dyDescent="0.3">
      <c r="B1177"/>
      <c r="C1177"/>
      <c r="L1177"/>
      <c r="M1177"/>
      <c r="N1177"/>
      <c r="O1177"/>
    </row>
    <row r="1178" spans="2:15" x14ac:dyDescent="0.3">
      <c r="B1178"/>
      <c r="C1178"/>
      <c r="L1178"/>
      <c r="M1178"/>
      <c r="N1178"/>
      <c r="O1178"/>
    </row>
    <row r="1179" spans="2:15" x14ac:dyDescent="0.3">
      <c r="B1179"/>
      <c r="C1179"/>
      <c r="L1179"/>
      <c r="M1179"/>
      <c r="N1179"/>
      <c r="O1179"/>
    </row>
    <row r="1180" spans="2:15" x14ac:dyDescent="0.3">
      <c r="B1180"/>
      <c r="C1180"/>
      <c r="L1180"/>
      <c r="M1180"/>
      <c r="N1180"/>
      <c r="O1180"/>
    </row>
    <row r="1181" spans="2:15" x14ac:dyDescent="0.3">
      <c r="B1181"/>
      <c r="C1181"/>
      <c r="L1181"/>
      <c r="M1181"/>
      <c r="N1181"/>
      <c r="O1181"/>
    </row>
    <row r="1182" spans="2:15" x14ac:dyDescent="0.3">
      <c r="B1182"/>
      <c r="C1182"/>
      <c r="L1182"/>
      <c r="M1182"/>
      <c r="N1182"/>
      <c r="O1182"/>
    </row>
    <row r="1183" spans="2:15" x14ac:dyDescent="0.3">
      <c r="B1183"/>
      <c r="C1183"/>
      <c r="L1183"/>
      <c r="M1183"/>
      <c r="N1183"/>
      <c r="O1183"/>
    </row>
    <row r="1184" spans="2:15" x14ac:dyDescent="0.3">
      <c r="B1184"/>
      <c r="C1184"/>
      <c r="L1184"/>
      <c r="M1184"/>
      <c r="N1184"/>
      <c r="O1184"/>
    </row>
    <row r="1185" spans="2:15" x14ac:dyDescent="0.3">
      <c r="B1185"/>
      <c r="C1185"/>
      <c r="L1185"/>
      <c r="M1185"/>
      <c r="N1185"/>
      <c r="O1185"/>
    </row>
    <row r="1186" spans="2:15" x14ac:dyDescent="0.3">
      <c r="B1186"/>
      <c r="C1186"/>
      <c r="L1186"/>
      <c r="M1186"/>
      <c r="N1186"/>
      <c r="O1186"/>
    </row>
    <row r="1187" spans="2:15" x14ac:dyDescent="0.3">
      <c r="B1187"/>
      <c r="C1187"/>
      <c r="L1187"/>
      <c r="M1187"/>
      <c r="N1187"/>
      <c r="O1187"/>
    </row>
    <row r="1188" spans="2:15" x14ac:dyDescent="0.3">
      <c r="B1188"/>
      <c r="C1188"/>
      <c r="L1188"/>
      <c r="M1188"/>
      <c r="N1188"/>
      <c r="O1188"/>
    </row>
    <row r="1189" spans="2:15" x14ac:dyDescent="0.3">
      <c r="B1189"/>
      <c r="C1189"/>
      <c r="L1189"/>
      <c r="M1189"/>
      <c r="N1189"/>
      <c r="O1189"/>
    </row>
    <row r="1190" spans="2:15" x14ac:dyDescent="0.3">
      <c r="B1190"/>
      <c r="C1190"/>
      <c r="L1190"/>
      <c r="M1190"/>
      <c r="N1190"/>
      <c r="O1190"/>
    </row>
    <row r="1191" spans="2:15" x14ac:dyDescent="0.3">
      <c r="B1191"/>
      <c r="C1191"/>
      <c r="L1191"/>
      <c r="M1191"/>
      <c r="N1191"/>
      <c r="O1191"/>
    </row>
    <row r="1192" spans="2:15" x14ac:dyDescent="0.3">
      <c r="B1192"/>
      <c r="C1192"/>
      <c r="L1192"/>
      <c r="M1192"/>
      <c r="N1192"/>
      <c r="O1192"/>
    </row>
    <row r="1193" spans="2:15" x14ac:dyDescent="0.3">
      <c r="B1193"/>
      <c r="C1193"/>
      <c r="L1193"/>
      <c r="M1193"/>
      <c r="N1193"/>
      <c r="O1193"/>
    </row>
    <row r="1194" spans="2:15" x14ac:dyDescent="0.3">
      <c r="B1194"/>
      <c r="C1194"/>
      <c r="L1194"/>
      <c r="M1194"/>
      <c r="N1194"/>
      <c r="O1194"/>
    </row>
    <row r="1195" spans="2:15" x14ac:dyDescent="0.3">
      <c r="B1195"/>
      <c r="C1195"/>
      <c r="L1195"/>
      <c r="M1195"/>
      <c r="N1195"/>
      <c r="O1195"/>
    </row>
    <row r="1196" spans="2:15" x14ac:dyDescent="0.3">
      <c r="B1196"/>
      <c r="C1196"/>
      <c r="L1196"/>
      <c r="M1196"/>
      <c r="N1196"/>
      <c r="O1196"/>
    </row>
    <row r="1197" spans="2:15" x14ac:dyDescent="0.3">
      <c r="B1197"/>
      <c r="C1197"/>
      <c r="L1197"/>
      <c r="M1197"/>
      <c r="N1197"/>
      <c r="O1197"/>
    </row>
    <row r="1198" spans="2:15" x14ac:dyDescent="0.3">
      <c r="B1198"/>
      <c r="C1198"/>
      <c r="L1198"/>
      <c r="M1198"/>
      <c r="N1198"/>
      <c r="O1198"/>
    </row>
    <row r="1199" spans="2:15" x14ac:dyDescent="0.3">
      <c r="B1199"/>
      <c r="C1199"/>
      <c r="L1199"/>
      <c r="M1199"/>
      <c r="N1199"/>
      <c r="O1199"/>
    </row>
    <row r="1200" spans="2:15" x14ac:dyDescent="0.3">
      <c r="B1200"/>
      <c r="C1200"/>
      <c r="L1200"/>
      <c r="M1200"/>
      <c r="N1200"/>
      <c r="O1200"/>
    </row>
    <row r="1201" spans="2:15" x14ac:dyDescent="0.3">
      <c r="B1201"/>
      <c r="C1201"/>
      <c r="L1201"/>
      <c r="M1201"/>
      <c r="N1201"/>
      <c r="O1201"/>
    </row>
    <row r="1202" spans="2:15" x14ac:dyDescent="0.3">
      <c r="B1202"/>
      <c r="C1202"/>
      <c r="L1202"/>
      <c r="M1202"/>
      <c r="N1202"/>
      <c r="O1202"/>
    </row>
    <row r="1203" spans="2:15" x14ac:dyDescent="0.3">
      <c r="B1203"/>
      <c r="C1203"/>
      <c r="L1203"/>
      <c r="M1203"/>
      <c r="N1203"/>
      <c r="O1203"/>
    </row>
    <row r="1204" spans="2:15" x14ac:dyDescent="0.3">
      <c r="B1204"/>
      <c r="C1204"/>
      <c r="L1204"/>
      <c r="M1204"/>
      <c r="N1204"/>
      <c r="O1204"/>
    </row>
    <row r="1205" spans="2:15" x14ac:dyDescent="0.3">
      <c r="B1205"/>
      <c r="C1205"/>
      <c r="L1205"/>
      <c r="M1205"/>
      <c r="N1205"/>
      <c r="O1205"/>
    </row>
    <row r="1206" spans="2:15" x14ac:dyDescent="0.3">
      <c r="B1206"/>
      <c r="C1206"/>
      <c r="L1206"/>
      <c r="M1206"/>
      <c r="N1206"/>
      <c r="O1206"/>
    </row>
    <row r="1207" spans="2:15" x14ac:dyDescent="0.3">
      <c r="B1207"/>
      <c r="C1207"/>
      <c r="L1207"/>
      <c r="M1207"/>
      <c r="N1207"/>
      <c r="O1207"/>
    </row>
    <row r="1208" spans="2:15" x14ac:dyDescent="0.3">
      <c r="B1208"/>
      <c r="C1208"/>
      <c r="L1208"/>
      <c r="M1208"/>
      <c r="N1208"/>
      <c r="O1208"/>
    </row>
    <row r="1209" spans="2:15" x14ac:dyDescent="0.3">
      <c r="B1209"/>
      <c r="C1209"/>
      <c r="L1209"/>
      <c r="M1209"/>
      <c r="N1209"/>
      <c r="O1209"/>
    </row>
    <row r="1210" spans="2:15" x14ac:dyDescent="0.3">
      <c r="B1210"/>
      <c r="C1210"/>
      <c r="L1210"/>
      <c r="M1210"/>
      <c r="N1210"/>
      <c r="O1210"/>
    </row>
    <row r="1211" spans="2:15" x14ac:dyDescent="0.3">
      <c r="B1211"/>
      <c r="C1211"/>
      <c r="L1211"/>
      <c r="M1211"/>
      <c r="N1211"/>
      <c r="O1211"/>
    </row>
    <row r="1212" spans="2:15" x14ac:dyDescent="0.3">
      <c r="B1212"/>
      <c r="C1212"/>
      <c r="L1212"/>
      <c r="M1212"/>
      <c r="N1212"/>
      <c r="O1212"/>
    </row>
    <row r="1213" spans="2:15" x14ac:dyDescent="0.3">
      <c r="B1213"/>
      <c r="C1213"/>
      <c r="L1213"/>
      <c r="M1213"/>
      <c r="N1213"/>
      <c r="O1213"/>
    </row>
    <row r="1214" spans="2:15" x14ac:dyDescent="0.3">
      <c r="B1214"/>
      <c r="C1214"/>
      <c r="L1214"/>
      <c r="M1214"/>
      <c r="N1214"/>
      <c r="O1214"/>
    </row>
    <row r="1215" spans="2:15" x14ac:dyDescent="0.3">
      <c r="B1215"/>
      <c r="C1215"/>
      <c r="L1215"/>
      <c r="M1215"/>
      <c r="N1215"/>
      <c r="O1215"/>
    </row>
    <row r="1216" spans="2:15" x14ac:dyDescent="0.3">
      <c r="B1216"/>
      <c r="C1216"/>
      <c r="L1216"/>
      <c r="M1216"/>
      <c r="N1216"/>
      <c r="O1216"/>
    </row>
    <row r="1217" spans="2:15" x14ac:dyDescent="0.3">
      <c r="B1217"/>
      <c r="C1217"/>
      <c r="L1217"/>
      <c r="M1217"/>
      <c r="N1217"/>
      <c r="O1217"/>
    </row>
    <row r="1218" spans="2:15" x14ac:dyDescent="0.3">
      <c r="B1218"/>
      <c r="C1218"/>
      <c r="L1218"/>
      <c r="M1218"/>
      <c r="N1218"/>
      <c r="O1218"/>
    </row>
    <row r="1219" spans="2:15" x14ac:dyDescent="0.3">
      <c r="B1219"/>
      <c r="C1219"/>
      <c r="L1219"/>
      <c r="M1219"/>
      <c r="N1219"/>
      <c r="O1219"/>
    </row>
    <row r="1220" spans="2:15" x14ac:dyDescent="0.3">
      <c r="B1220"/>
      <c r="C1220"/>
      <c r="L1220"/>
      <c r="M1220"/>
      <c r="N1220"/>
      <c r="O1220"/>
    </row>
    <row r="1221" spans="2:15" x14ac:dyDescent="0.3">
      <c r="B1221"/>
      <c r="C1221"/>
      <c r="L1221"/>
      <c r="M1221"/>
      <c r="N1221"/>
      <c r="O1221"/>
    </row>
    <row r="1222" spans="2:15" x14ac:dyDescent="0.3">
      <c r="B1222"/>
      <c r="C1222"/>
      <c r="L1222"/>
      <c r="M1222"/>
      <c r="N1222"/>
      <c r="O1222"/>
    </row>
    <row r="1223" spans="2:15" x14ac:dyDescent="0.3">
      <c r="B1223"/>
      <c r="C1223"/>
      <c r="L1223"/>
      <c r="M1223"/>
      <c r="N1223"/>
      <c r="O1223"/>
    </row>
    <row r="1224" spans="2:15" x14ac:dyDescent="0.3">
      <c r="B1224"/>
      <c r="C1224"/>
      <c r="L1224"/>
      <c r="M1224"/>
      <c r="N1224"/>
      <c r="O1224"/>
    </row>
    <row r="1225" spans="2:15" x14ac:dyDescent="0.3">
      <c r="B1225"/>
      <c r="C1225"/>
      <c r="L1225"/>
      <c r="M1225"/>
      <c r="N1225"/>
      <c r="O1225"/>
    </row>
    <row r="1226" spans="2:15" x14ac:dyDescent="0.3">
      <c r="B1226"/>
      <c r="C1226"/>
      <c r="L1226"/>
      <c r="M1226"/>
      <c r="N1226"/>
      <c r="O1226"/>
    </row>
    <row r="1227" spans="2:15" x14ac:dyDescent="0.3">
      <c r="B1227"/>
      <c r="C1227"/>
      <c r="L1227"/>
      <c r="M1227"/>
      <c r="N1227"/>
      <c r="O1227"/>
    </row>
    <row r="1228" spans="2:15" x14ac:dyDescent="0.3">
      <c r="B1228"/>
      <c r="C1228"/>
      <c r="L1228"/>
      <c r="M1228"/>
      <c r="N1228"/>
      <c r="O1228"/>
    </row>
    <row r="1229" spans="2:15" x14ac:dyDescent="0.3">
      <c r="B1229"/>
      <c r="C1229"/>
      <c r="L1229"/>
      <c r="M1229"/>
      <c r="N1229"/>
      <c r="O1229"/>
    </row>
    <row r="1230" spans="2:15" x14ac:dyDescent="0.3">
      <c r="B1230"/>
      <c r="C1230"/>
      <c r="L1230"/>
      <c r="M1230"/>
      <c r="N1230"/>
      <c r="O1230"/>
    </row>
    <row r="1231" spans="2:15" x14ac:dyDescent="0.3">
      <c r="B1231"/>
      <c r="C1231"/>
      <c r="L1231"/>
      <c r="M1231"/>
      <c r="N1231"/>
      <c r="O1231"/>
    </row>
    <row r="1232" spans="2:15" x14ac:dyDescent="0.3">
      <c r="B1232"/>
      <c r="C1232"/>
      <c r="L1232"/>
      <c r="M1232"/>
      <c r="N1232"/>
      <c r="O1232"/>
    </row>
    <row r="1233" spans="2:15" x14ac:dyDescent="0.3">
      <c r="B1233"/>
      <c r="C1233"/>
      <c r="L1233"/>
      <c r="M1233"/>
      <c r="N1233"/>
      <c r="O1233"/>
    </row>
    <row r="1234" spans="2:15" x14ac:dyDescent="0.3">
      <c r="B1234"/>
      <c r="C1234"/>
      <c r="L1234"/>
      <c r="M1234"/>
      <c r="N1234"/>
      <c r="O1234"/>
    </row>
    <row r="1235" spans="2:15" x14ac:dyDescent="0.3">
      <c r="B1235"/>
      <c r="C1235"/>
      <c r="L1235"/>
      <c r="M1235"/>
      <c r="N1235"/>
      <c r="O1235"/>
    </row>
    <row r="1236" spans="2:15" x14ac:dyDescent="0.3">
      <c r="B1236"/>
      <c r="C1236"/>
      <c r="L1236"/>
      <c r="M1236"/>
      <c r="N1236"/>
      <c r="O1236"/>
    </row>
    <row r="1237" spans="2:15" x14ac:dyDescent="0.3">
      <c r="B1237"/>
      <c r="C1237"/>
      <c r="L1237"/>
      <c r="M1237"/>
      <c r="N1237"/>
      <c r="O1237"/>
    </row>
    <row r="1238" spans="2:15" x14ac:dyDescent="0.3">
      <c r="B1238"/>
      <c r="C1238"/>
      <c r="L1238"/>
      <c r="M1238"/>
      <c r="N1238"/>
      <c r="O1238"/>
    </row>
    <row r="1239" spans="2:15" x14ac:dyDescent="0.3">
      <c r="B1239"/>
      <c r="C1239"/>
      <c r="L1239"/>
      <c r="M1239"/>
      <c r="N1239"/>
      <c r="O1239"/>
    </row>
    <row r="1240" spans="2:15" x14ac:dyDescent="0.3">
      <c r="B1240"/>
      <c r="C1240"/>
      <c r="L1240"/>
      <c r="M1240"/>
      <c r="N1240"/>
      <c r="O1240"/>
    </row>
    <row r="1241" spans="2:15" x14ac:dyDescent="0.3">
      <c r="B1241"/>
      <c r="C1241"/>
      <c r="L1241"/>
      <c r="M1241"/>
      <c r="N1241"/>
      <c r="O1241"/>
    </row>
    <row r="1242" spans="2:15" x14ac:dyDescent="0.3">
      <c r="B1242"/>
      <c r="C1242"/>
      <c r="L1242"/>
      <c r="M1242"/>
      <c r="N1242"/>
      <c r="O1242"/>
    </row>
    <row r="1243" spans="2:15" x14ac:dyDescent="0.3">
      <c r="B1243"/>
      <c r="C1243"/>
      <c r="L1243"/>
      <c r="M1243"/>
      <c r="N1243"/>
      <c r="O1243"/>
    </row>
    <row r="1244" spans="2:15" x14ac:dyDescent="0.3">
      <c r="B1244"/>
      <c r="C1244"/>
      <c r="L1244"/>
      <c r="M1244"/>
      <c r="N1244"/>
      <c r="O1244"/>
    </row>
    <row r="1245" spans="2:15" x14ac:dyDescent="0.3">
      <c r="B1245"/>
      <c r="C1245"/>
      <c r="L1245"/>
      <c r="M1245"/>
      <c r="N1245"/>
      <c r="O1245"/>
    </row>
    <row r="1246" spans="2:15" x14ac:dyDescent="0.3">
      <c r="B1246"/>
      <c r="C1246"/>
      <c r="L1246"/>
      <c r="M1246"/>
      <c r="N1246"/>
      <c r="O1246"/>
    </row>
    <row r="1247" spans="2:15" x14ac:dyDescent="0.3">
      <c r="B1247"/>
      <c r="C1247"/>
      <c r="L1247"/>
      <c r="M1247"/>
      <c r="N1247"/>
      <c r="O1247"/>
    </row>
    <row r="1248" spans="2:15" x14ac:dyDescent="0.3">
      <c r="B1248"/>
      <c r="C1248"/>
      <c r="L1248"/>
      <c r="M1248"/>
      <c r="N1248"/>
      <c r="O1248"/>
    </row>
    <row r="1249" spans="2:15" x14ac:dyDescent="0.3">
      <c r="B1249"/>
      <c r="C1249"/>
      <c r="L1249"/>
      <c r="M1249"/>
      <c r="N1249"/>
      <c r="O1249"/>
    </row>
    <row r="1250" spans="2:15" x14ac:dyDescent="0.3">
      <c r="B1250"/>
      <c r="C1250"/>
      <c r="L1250"/>
      <c r="M1250"/>
      <c r="N1250"/>
      <c r="O1250"/>
    </row>
    <row r="1251" spans="2:15" x14ac:dyDescent="0.3">
      <c r="B1251"/>
      <c r="C1251"/>
      <c r="L1251"/>
      <c r="M1251"/>
      <c r="N1251"/>
      <c r="O1251"/>
    </row>
    <row r="1252" spans="2:15" x14ac:dyDescent="0.3">
      <c r="B1252"/>
      <c r="C1252"/>
      <c r="L1252"/>
      <c r="M1252"/>
      <c r="N1252"/>
      <c r="O1252"/>
    </row>
    <row r="1253" spans="2:15" x14ac:dyDescent="0.3">
      <c r="B1253"/>
      <c r="C1253"/>
      <c r="L1253"/>
      <c r="M1253"/>
      <c r="N1253"/>
      <c r="O1253"/>
    </row>
    <row r="1254" spans="2:15" x14ac:dyDescent="0.3">
      <c r="B1254"/>
      <c r="C1254"/>
      <c r="L1254"/>
      <c r="M1254"/>
      <c r="N1254"/>
      <c r="O1254"/>
    </row>
    <row r="1255" spans="2:15" x14ac:dyDescent="0.3">
      <c r="B1255"/>
      <c r="C1255"/>
      <c r="L1255"/>
      <c r="M1255"/>
      <c r="N1255"/>
      <c r="O1255"/>
    </row>
    <row r="1256" spans="2:15" x14ac:dyDescent="0.3">
      <c r="B1256"/>
      <c r="C1256"/>
      <c r="L1256"/>
      <c r="M1256"/>
      <c r="N1256"/>
      <c r="O1256"/>
    </row>
    <row r="1257" spans="2:15" x14ac:dyDescent="0.3">
      <c r="B1257"/>
      <c r="C1257"/>
      <c r="L1257"/>
      <c r="M1257"/>
      <c r="N1257"/>
      <c r="O1257"/>
    </row>
    <row r="1258" spans="2:15" x14ac:dyDescent="0.3">
      <c r="B1258"/>
      <c r="C1258"/>
      <c r="L1258"/>
      <c r="M1258"/>
      <c r="N1258"/>
      <c r="O1258"/>
    </row>
    <row r="1259" spans="2:15" x14ac:dyDescent="0.3">
      <c r="B1259"/>
      <c r="C1259"/>
      <c r="L1259"/>
      <c r="M1259"/>
      <c r="N1259"/>
      <c r="O1259"/>
    </row>
    <row r="1260" spans="2:15" x14ac:dyDescent="0.3">
      <c r="B1260"/>
      <c r="C1260"/>
      <c r="L1260"/>
      <c r="M1260"/>
      <c r="N1260"/>
      <c r="O1260"/>
    </row>
    <row r="1261" spans="2:15" x14ac:dyDescent="0.3">
      <c r="B1261"/>
      <c r="C1261"/>
      <c r="L1261"/>
      <c r="M1261"/>
      <c r="N1261"/>
      <c r="O1261"/>
    </row>
    <row r="1262" spans="2:15" x14ac:dyDescent="0.3">
      <c r="B1262"/>
      <c r="C1262"/>
      <c r="L1262"/>
      <c r="M1262"/>
      <c r="N1262"/>
      <c r="O1262"/>
    </row>
    <row r="1263" spans="2:15" x14ac:dyDescent="0.3">
      <c r="B1263"/>
      <c r="C1263"/>
      <c r="L1263"/>
      <c r="M1263"/>
      <c r="N1263"/>
      <c r="O1263"/>
    </row>
    <row r="1264" spans="2:15" x14ac:dyDescent="0.3">
      <c r="B1264"/>
      <c r="C1264"/>
      <c r="L1264"/>
      <c r="M1264"/>
      <c r="N1264"/>
      <c r="O1264"/>
    </row>
    <row r="1265" spans="2:15" x14ac:dyDescent="0.3">
      <c r="B1265"/>
      <c r="C1265"/>
      <c r="L1265"/>
      <c r="M1265"/>
      <c r="N1265"/>
      <c r="O1265"/>
    </row>
    <row r="1266" spans="2:15" x14ac:dyDescent="0.3">
      <c r="B1266"/>
      <c r="C1266"/>
      <c r="L1266"/>
      <c r="M1266"/>
      <c r="N1266"/>
      <c r="O1266"/>
    </row>
    <row r="1267" spans="2:15" x14ac:dyDescent="0.3">
      <c r="B1267"/>
      <c r="C1267"/>
      <c r="L1267"/>
      <c r="M1267"/>
      <c r="N1267"/>
      <c r="O1267"/>
    </row>
    <row r="1268" spans="2:15" x14ac:dyDescent="0.3">
      <c r="B1268"/>
      <c r="C1268"/>
      <c r="L1268"/>
      <c r="M1268"/>
      <c r="N1268"/>
      <c r="O1268"/>
    </row>
    <row r="1269" spans="2:15" x14ac:dyDescent="0.3">
      <c r="B1269"/>
      <c r="C1269"/>
      <c r="L1269"/>
      <c r="M1269"/>
      <c r="N1269"/>
      <c r="O1269"/>
    </row>
    <row r="1270" spans="2:15" x14ac:dyDescent="0.3">
      <c r="B1270"/>
      <c r="C1270"/>
      <c r="L1270"/>
      <c r="M1270"/>
      <c r="N1270"/>
      <c r="O1270"/>
    </row>
    <row r="1271" spans="2:15" x14ac:dyDescent="0.3">
      <c r="B1271"/>
      <c r="C1271"/>
      <c r="L1271"/>
      <c r="M1271"/>
      <c r="N1271"/>
      <c r="O1271"/>
    </row>
    <row r="1272" spans="2:15" x14ac:dyDescent="0.3">
      <c r="B1272"/>
      <c r="C1272"/>
      <c r="L1272"/>
      <c r="M1272"/>
      <c r="N1272"/>
      <c r="O1272"/>
    </row>
    <row r="1273" spans="2:15" x14ac:dyDescent="0.3">
      <c r="B1273"/>
      <c r="C1273"/>
      <c r="L1273"/>
      <c r="M1273"/>
      <c r="N1273"/>
      <c r="O1273"/>
    </row>
    <row r="1274" spans="2:15" x14ac:dyDescent="0.3">
      <c r="B1274"/>
      <c r="C1274"/>
      <c r="L1274"/>
      <c r="M1274"/>
      <c r="N1274"/>
      <c r="O1274"/>
    </row>
    <row r="1275" spans="2:15" x14ac:dyDescent="0.3">
      <c r="B1275"/>
      <c r="C1275"/>
      <c r="L1275"/>
      <c r="M1275"/>
      <c r="N1275"/>
      <c r="O1275"/>
    </row>
    <row r="1276" spans="2:15" x14ac:dyDescent="0.3">
      <c r="B1276"/>
      <c r="C1276"/>
      <c r="L1276"/>
      <c r="M1276"/>
      <c r="N1276"/>
      <c r="O1276"/>
    </row>
    <row r="1277" spans="2:15" x14ac:dyDescent="0.3">
      <c r="B1277"/>
      <c r="C1277"/>
      <c r="L1277"/>
      <c r="M1277"/>
      <c r="N1277"/>
      <c r="O1277"/>
    </row>
    <row r="1278" spans="2:15" x14ac:dyDescent="0.3">
      <c r="B1278"/>
      <c r="C1278"/>
      <c r="L1278"/>
      <c r="M1278"/>
      <c r="N1278"/>
      <c r="O1278"/>
    </row>
    <row r="1279" spans="2:15" x14ac:dyDescent="0.3">
      <c r="B1279"/>
      <c r="C1279"/>
      <c r="L1279"/>
      <c r="M1279"/>
      <c r="N1279"/>
      <c r="O1279"/>
    </row>
    <row r="1280" spans="2:15" x14ac:dyDescent="0.3">
      <c r="B1280"/>
      <c r="C1280"/>
      <c r="L1280"/>
      <c r="M1280"/>
      <c r="N1280"/>
      <c r="O1280"/>
    </row>
    <row r="1281" spans="2:15" x14ac:dyDescent="0.3">
      <c r="B1281"/>
      <c r="C1281"/>
      <c r="L1281"/>
      <c r="M1281"/>
      <c r="N1281"/>
      <c r="O1281"/>
    </row>
    <row r="1282" spans="2:15" x14ac:dyDescent="0.3">
      <c r="B1282"/>
      <c r="C1282"/>
      <c r="L1282"/>
      <c r="M1282"/>
      <c r="N1282"/>
      <c r="O1282"/>
    </row>
    <row r="1283" spans="2:15" x14ac:dyDescent="0.3">
      <c r="B1283"/>
      <c r="C1283"/>
      <c r="L1283"/>
      <c r="M1283"/>
      <c r="N1283"/>
      <c r="O1283"/>
    </row>
    <row r="1284" spans="2:15" x14ac:dyDescent="0.3">
      <c r="B1284"/>
      <c r="C1284"/>
      <c r="L1284"/>
      <c r="M1284"/>
      <c r="N1284"/>
      <c r="O1284"/>
    </row>
    <row r="1285" spans="2:15" x14ac:dyDescent="0.3">
      <c r="B1285"/>
      <c r="C1285"/>
      <c r="L1285"/>
      <c r="M1285"/>
      <c r="N1285"/>
      <c r="O1285"/>
    </row>
    <row r="1286" spans="2:15" x14ac:dyDescent="0.3">
      <c r="B1286"/>
      <c r="C1286"/>
      <c r="L1286"/>
      <c r="M1286"/>
      <c r="N1286"/>
      <c r="O1286"/>
    </row>
    <row r="1287" spans="2:15" x14ac:dyDescent="0.3">
      <c r="B1287"/>
      <c r="C1287"/>
      <c r="L1287"/>
      <c r="M1287"/>
      <c r="N1287"/>
      <c r="O1287"/>
    </row>
    <row r="1288" spans="2:15" x14ac:dyDescent="0.3">
      <c r="B1288"/>
      <c r="C1288"/>
      <c r="L1288"/>
      <c r="M1288"/>
      <c r="N1288"/>
      <c r="O1288"/>
    </row>
    <row r="1289" spans="2:15" x14ac:dyDescent="0.3">
      <c r="B1289"/>
      <c r="C1289"/>
      <c r="L1289"/>
      <c r="M1289"/>
      <c r="N1289"/>
      <c r="O1289"/>
    </row>
    <row r="1290" spans="2:15" x14ac:dyDescent="0.3">
      <c r="B1290"/>
      <c r="C1290"/>
      <c r="L1290"/>
      <c r="M1290"/>
      <c r="N1290"/>
      <c r="O1290"/>
    </row>
    <row r="1291" spans="2:15" x14ac:dyDescent="0.3">
      <c r="B1291"/>
      <c r="C1291"/>
      <c r="L1291"/>
      <c r="M1291"/>
      <c r="N1291"/>
      <c r="O1291"/>
    </row>
    <row r="1292" spans="2:15" x14ac:dyDescent="0.3">
      <c r="B1292"/>
      <c r="C1292"/>
      <c r="L1292"/>
      <c r="M1292"/>
      <c r="N1292"/>
      <c r="O1292"/>
    </row>
    <row r="1293" spans="2:15" x14ac:dyDescent="0.3">
      <c r="B1293"/>
      <c r="C1293"/>
      <c r="L1293"/>
      <c r="M1293"/>
      <c r="N1293"/>
      <c r="O1293"/>
    </row>
    <row r="1294" spans="2:15" x14ac:dyDescent="0.3">
      <c r="B1294"/>
      <c r="C1294"/>
      <c r="L1294"/>
      <c r="M1294"/>
      <c r="N1294"/>
      <c r="O1294"/>
    </row>
    <row r="1295" spans="2:15" x14ac:dyDescent="0.3">
      <c r="B1295"/>
      <c r="C1295"/>
      <c r="L1295"/>
      <c r="M1295"/>
      <c r="N1295"/>
      <c r="O1295"/>
    </row>
    <row r="1296" spans="2:15" x14ac:dyDescent="0.3">
      <c r="B1296"/>
      <c r="C1296"/>
      <c r="L1296"/>
      <c r="M1296"/>
      <c r="N1296"/>
      <c r="O1296"/>
    </row>
    <row r="1297" spans="2:15" x14ac:dyDescent="0.3">
      <c r="B1297"/>
      <c r="C1297"/>
      <c r="L1297"/>
      <c r="M1297"/>
      <c r="N1297"/>
      <c r="O1297"/>
    </row>
    <row r="1298" spans="2:15" x14ac:dyDescent="0.3">
      <c r="B1298"/>
      <c r="C1298"/>
      <c r="L1298"/>
      <c r="M1298"/>
      <c r="N1298"/>
      <c r="O1298"/>
    </row>
    <row r="1299" spans="2:15" x14ac:dyDescent="0.3">
      <c r="B1299"/>
      <c r="C1299"/>
      <c r="L1299"/>
      <c r="M1299"/>
      <c r="N1299"/>
      <c r="O1299"/>
    </row>
    <row r="1300" spans="2:15" x14ac:dyDescent="0.3">
      <c r="B1300"/>
      <c r="C1300"/>
      <c r="L1300"/>
      <c r="M1300"/>
      <c r="N1300"/>
      <c r="O1300"/>
    </row>
    <row r="1301" spans="2:15" x14ac:dyDescent="0.3">
      <c r="B1301"/>
      <c r="C1301"/>
      <c r="L1301"/>
      <c r="M1301"/>
      <c r="N1301"/>
      <c r="O1301"/>
    </row>
    <row r="1302" spans="2:15" x14ac:dyDescent="0.3">
      <c r="B1302"/>
      <c r="C1302"/>
      <c r="L1302"/>
      <c r="M1302"/>
      <c r="N1302"/>
      <c r="O1302"/>
    </row>
    <row r="1303" spans="2:15" x14ac:dyDescent="0.3">
      <c r="B1303"/>
      <c r="C1303"/>
      <c r="L1303"/>
      <c r="M1303"/>
      <c r="N1303"/>
      <c r="O1303"/>
    </row>
    <row r="1304" spans="2:15" x14ac:dyDescent="0.3">
      <c r="B1304"/>
      <c r="C1304"/>
      <c r="L1304"/>
      <c r="M1304"/>
      <c r="N1304"/>
      <c r="O1304"/>
    </row>
    <row r="1305" spans="2:15" x14ac:dyDescent="0.3">
      <c r="B1305"/>
      <c r="C1305"/>
      <c r="L1305"/>
      <c r="M1305"/>
      <c r="N1305"/>
      <c r="O1305"/>
    </row>
    <row r="1306" spans="2:15" x14ac:dyDescent="0.3">
      <c r="B1306"/>
      <c r="C1306"/>
      <c r="L1306"/>
      <c r="M1306"/>
      <c r="N1306"/>
      <c r="O1306"/>
    </row>
    <row r="1307" spans="2:15" x14ac:dyDescent="0.3">
      <c r="B1307"/>
      <c r="C1307"/>
      <c r="L1307"/>
      <c r="M1307"/>
      <c r="N1307"/>
      <c r="O1307"/>
    </row>
    <row r="1308" spans="2:15" x14ac:dyDescent="0.3">
      <c r="B1308"/>
      <c r="C1308"/>
      <c r="L1308"/>
      <c r="M1308"/>
      <c r="N1308"/>
      <c r="O1308"/>
    </row>
    <row r="1309" spans="2:15" x14ac:dyDescent="0.3">
      <c r="B1309"/>
      <c r="C1309"/>
      <c r="L1309"/>
      <c r="M1309"/>
      <c r="N1309"/>
      <c r="O1309"/>
    </row>
    <row r="1310" spans="2:15" x14ac:dyDescent="0.3">
      <c r="B1310"/>
      <c r="C1310"/>
      <c r="L1310"/>
      <c r="M1310"/>
      <c r="N1310"/>
      <c r="O1310"/>
    </row>
    <row r="1311" spans="2:15" x14ac:dyDescent="0.3">
      <c r="B1311"/>
      <c r="C1311"/>
      <c r="L1311"/>
      <c r="M1311"/>
      <c r="N1311"/>
      <c r="O1311"/>
    </row>
    <row r="1312" spans="2:15" x14ac:dyDescent="0.3">
      <c r="B1312"/>
      <c r="C1312"/>
      <c r="L1312"/>
      <c r="M1312"/>
      <c r="N1312"/>
      <c r="O1312"/>
    </row>
    <row r="1313" spans="2:15" x14ac:dyDescent="0.3">
      <c r="B1313"/>
      <c r="C1313"/>
      <c r="L1313"/>
      <c r="M1313"/>
      <c r="N1313"/>
      <c r="O1313"/>
    </row>
    <row r="1314" spans="2:15" x14ac:dyDescent="0.3">
      <c r="B1314"/>
      <c r="C1314"/>
      <c r="L1314"/>
      <c r="M1314"/>
      <c r="N1314"/>
      <c r="O1314"/>
    </row>
    <row r="1315" spans="2:15" x14ac:dyDescent="0.3">
      <c r="B1315"/>
      <c r="C1315"/>
      <c r="L1315"/>
      <c r="M1315"/>
      <c r="N1315"/>
      <c r="O1315"/>
    </row>
    <row r="1316" spans="2:15" x14ac:dyDescent="0.3">
      <c r="B1316"/>
      <c r="C1316"/>
      <c r="L1316"/>
      <c r="M1316"/>
      <c r="N1316"/>
      <c r="O1316"/>
    </row>
    <row r="1317" spans="2:15" x14ac:dyDescent="0.3">
      <c r="B1317"/>
      <c r="C1317"/>
      <c r="L1317"/>
      <c r="M1317"/>
      <c r="N1317"/>
      <c r="O1317"/>
    </row>
    <row r="1318" spans="2:15" x14ac:dyDescent="0.3">
      <c r="B1318"/>
      <c r="C1318"/>
      <c r="L1318"/>
      <c r="M1318"/>
      <c r="N1318"/>
      <c r="O1318"/>
    </row>
    <row r="1319" spans="2:15" x14ac:dyDescent="0.3">
      <c r="B1319"/>
      <c r="C1319"/>
      <c r="L1319"/>
      <c r="M1319"/>
      <c r="N1319"/>
      <c r="O1319"/>
    </row>
    <row r="1320" spans="2:15" x14ac:dyDescent="0.3">
      <c r="B1320"/>
      <c r="C1320"/>
      <c r="L1320"/>
      <c r="M1320"/>
      <c r="N1320"/>
      <c r="O1320"/>
    </row>
    <row r="1321" spans="2:15" x14ac:dyDescent="0.3">
      <c r="B1321"/>
      <c r="C1321"/>
      <c r="L1321"/>
      <c r="M1321"/>
      <c r="N1321"/>
      <c r="O1321"/>
    </row>
    <row r="1322" spans="2:15" x14ac:dyDescent="0.3">
      <c r="B1322"/>
      <c r="C1322"/>
      <c r="L1322"/>
      <c r="M1322"/>
      <c r="N1322"/>
      <c r="O1322"/>
    </row>
    <row r="1323" spans="2:15" x14ac:dyDescent="0.3">
      <c r="B1323"/>
      <c r="C1323"/>
      <c r="L1323"/>
      <c r="M1323"/>
      <c r="N1323"/>
      <c r="O1323"/>
    </row>
    <row r="1324" spans="2:15" x14ac:dyDescent="0.3">
      <c r="B1324"/>
      <c r="C1324"/>
      <c r="L1324"/>
      <c r="M1324"/>
      <c r="N1324"/>
      <c r="O1324"/>
    </row>
    <row r="1325" spans="2:15" x14ac:dyDescent="0.3">
      <c r="B1325"/>
      <c r="C1325"/>
      <c r="L1325"/>
      <c r="M1325"/>
      <c r="N1325"/>
      <c r="O1325"/>
    </row>
    <row r="1326" spans="2:15" x14ac:dyDescent="0.3">
      <c r="B1326"/>
      <c r="C1326"/>
      <c r="L1326"/>
      <c r="M1326"/>
      <c r="N1326"/>
      <c r="O1326"/>
    </row>
    <row r="1327" spans="2:15" x14ac:dyDescent="0.3">
      <c r="B1327"/>
      <c r="C1327"/>
      <c r="L1327"/>
      <c r="M1327"/>
      <c r="N1327"/>
      <c r="O1327"/>
    </row>
    <row r="1328" spans="2:15" x14ac:dyDescent="0.3">
      <c r="B1328"/>
      <c r="C1328"/>
      <c r="L1328"/>
      <c r="M1328"/>
      <c r="N1328"/>
      <c r="O1328"/>
    </row>
    <row r="1329" spans="2:15" x14ac:dyDescent="0.3">
      <c r="B1329"/>
      <c r="C1329"/>
      <c r="L1329"/>
      <c r="M1329"/>
      <c r="N1329"/>
      <c r="O1329"/>
    </row>
    <row r="1330" spans="2:15" x14ac:dyDescent="0.3">
      <c r="B1330"/>
      <c r="C1330"/>
      <c r="L1330"/>
      <c r="M1330"/>
      <c r="N1330"/>
      <c r="O1330"/>
    </row>
    <row r="1331" spans="2:15" x14ac:dyDescent="0.3">
      <c r="B1331"/>
      <c r="C1331"/>
      <c r="L1331"/>
      <c r="M1331"/>
      <c r="N1331"/>
      <c r="O1331"/>
    </row>
    <row r="1332" spans="2:15" x14ac:dyDescent="0.3">
      <c r="B1332"/>
      <c r="C1332"/>
      <c r="L1332"/>
      <c r="M1332"/>
      <c r="N1332"/>
      <c r="O1332"/>
    </row>
    <row r="1333" spans="2:15" x14ac:dyDescent="0.3">
      <c r="B1333"/>
      <c r="C1333"/>
      <c r="L1333"/>
      <c r="M1333"/>
      <c r="N1333"/>
      <c r="O1333"/>
    </row>
    <row r="1334" spans="2:15" x14ac:dyDescent="0.3">
      <c r="B1334"/>
      <c r="C1334"/>
      <c r="L1334"/>
      <c r="M1334"/>
      <c r="N1334"/>
      <c r="O1334"/>
    </row>
    <row r="1335" spans="2:15" x14ac:dyDescent="0.3">
      <c r="B1335"/>
      <c r="C1335"/>
      <c r="L1335"/>
      <c r="M1335"/>
      <c r="N1335"/>
      <c r="O1335"/>
    </row>
    <row r="1336" spans="2:15" x14ac:dyDescent="0.3">
      <c r="B1336"/>
      <c r="C1336"/>
      <c r="L1336"/>
      <c r="M1336"/>
      <c r="N1336"/>
      <c r="O1336"/>
    </row>
    <row r="1337" spans="2:15" x14ac:dyDescent="0.3">
      <c r="B1337"/>
      <c r="C1337"/>
      <c r="L1337"/>
      <c r="M1337"/>
      <c r="N1337"/>
      <c r="O1337"/>
    </row>
    <row r="1338" spans="2:15" x14ac:dyDescent="0.3">
      <c r="B1338"/>
      <c r="C1338"/>
      <c r="L1338"/>
      <c r="M1338"/>
      <c r="N1338"/>
      <c r="O1338"/>
    </row>
    <row r="1339" spans="2:15" x14ac:dyDescent="0.3">
      <c r="B1339"/>
      <c r="C1339"/>
      <c r="L1339"/>
      <c r="M1339"/>
      <c r="N1339"/>
      <c r="O1339"/>
    </row>
    <row r="1340" spans="2:15" x14ac:dyDescent="0.3">
      <c r="B1340"/>
      <c r="C1340"/>
      <c r="L1340"/>
      <c r="M1340"/>
      <c r="N1340"/>
      <c r="O1340"/>
    </row>
    <row r="1341" spans="2:15" x14ac:dyDescent="0.3">
      <c r="B1341"/>
      <c r="C1341"/>
      <c r="L1341"/>
      <c r="M1341"/>
      <c r="N1341"/>
      <c r="O1341"/>
    </row>
    <row r="1342" spans="2:15" x14ac:dyDescent="0.3">
      <c r="B1342"/>
      <c r="C1342"/>
      <c r="L1342"/>
      <c r="M1342"/>
      <c r="N1342"/>
      <c r="O1342"/>
    </row>
    <row r="1343" spans="2:15" x14ac:dyDescent="0.3">
      <c r="B1343"/>
      <c r="C1343"/>
      <c r="L1343"/>
      <c r="M1343"/>
      <c r="N1343"/>
      <c r="O1343"/>
    </row>
    <row r="1344" spans="2:15" x14ac:dyDescent="0.3">
      <c r="B1344"/>
      <c r="C1344"/>
      <c r="L1344"/>
      <c r="M1344"/>
      <c r="N1344"/>
      <c r="O1344"/>
    </row>
    <row r="1345" spans="2:15" x14ac:dyDescent="0.3">
      <c r="B1345"/>
      <c r="C1345"/>
      <c r="L1345"/>
      <c r="M1345"/>
      <c r="N1345"/>
      <c r="O1345"/>
    </row>
    <row r="1346" spans="2:15" x14ac:dyDescent="0.3">
      <c r="B1346"/>
      <c r="C1346"/>
      <c r="L1346"/>
      <c r="M1346"/>
      <c r="N1346"/>
      <c r="O1346"/>
    </row>
    <row r="1347" spans="2:15" x14ac:dyDescent="0.3">
      <c r="B1347"/>
      <c r="C1347"/>
      <c r="L1347"/>
      <c r="M1347"/>
      <c r="N1347"/>
      <c r="O1347"/>
    </row>
    <row r="1348" spans="2:15" x14ac:dyDescent="0.3">
      <c r="B1348"/>
      <c r="C1348"/>
      <c r="L1348"/>
      <c r="M1348"/>
      <c r="N1348"/>
      <c r="O1348"/>
    </row>
    <row r="1349" spans="2:15" x14ac:dyDescent="0.3">
      <c r="B1349"/>
      <c r="C1349"/>
      <c r="L1349"/>
      <c r="M1349"/>
      <c r="N1349"/>
      <c r="O1349"/>
    </row>
    <row r="1350" spans="2:15" x14ac:dyDescent="0.3">
      <c r="B1350"/>
      <c r="C1350"/>
      <c r="L1350"/>
      <c r="M1350"/>
      <c r="N1350"/>
      <c r="O1350"/>
    </row>
    <row r="1351" spans="2:15" x14ac:dyDescent="0.3">
      <c r="B1351"/>
      <c r="C1351"/>
      <c r="L1351"/>
      <c r="M1351"/>
      <c r="N1351"/>
      <c r="O1351"/>
    </row>
    <row r="1352" spans="2:15" x14ac:dyDescent="0.3">
      <c r="B1352"/>
      <c r="C1352"/>
      <c r="L1352"/>
      <c r="M1352"/>
      <c r="N1352"/>
      <c r="O1352"/>
    </row>
    <row r="1353" spans="2:15" x14ac:dyDescent="0.3">
      <c r="B1353"/>
      <c r="C1353"/>
      <c r="L1353"/>
      <c r="M1353"/>
      <c r="N1353"/>
      <c r="O1353"/>
    </row>
    <row r="1354" spans="2:15" x14ac:dyDescent="0.3">
      <c r="B1354"/>
      <c r="C1354"/>
      <c r="L1354"/>
      <c r="M1354"/>
      <c r="N1354"/>
      <c r="O1354"/>
    </row>
    <row r="1355" spans="2:15" x14ac:dyDescent="0.3">
      <c r="B1355"/>
      <c r="C1355"/>
      <c r="L1355"/>
      <c r="M1355"/>
      <c r="N1355"/>
      <c r="O1355"/>
    </row>
    <row r="1356" spans="2:15" x14ac:dyDescent="0.3">
      <c r="B1356"/>
      <c r="C1356"/>
      <c r="L1356"/>
      <c r="M1356"/>
      <c r="N1356"/>
      <c r="O1356"/>
    </row>
    <row r="1357" spans="2:15" x14ac:dyDescent="0.3">
      <c r="B1357"/>
      <c r="C1357"/>
      <c r="L1357"/>
      <c r="M1357"/>
      <c r="N1357"/>
      <c r="O1357"/>
    </row>
    <row r="1358" spans="2:15" x14ac:dyDescent="0.3">
      <c r="B1358"/>
      <c r="C1358"/>
      <c r="L1358"/>
      <c r="M1358"/>
    </row>
    <row r="1359" spans="2:15" x14ac:dyDescent="0.3">
      <c r="B1359"/>
      <c r="C1359"/>
      <c r="L1359"/>
      <c r="M1359"/>
    </row>
    <row r="1360" spans="2:15" x14ac:dyDescent="0.3">
      <c r="B1360"/>
      <c r="C1360"/>
      <c r="L1360"/>
      <c r="M1360"/>
    </row>
    <row r="1361" spans="2:13" x14ac:dyDescent="0.3">
      <c r="B1361"/>
      <c r="C1361"/>
      <c r="L1361"/>
      <c r="M1361"/>
    </row>
    <row r="1362" spans="2:13" x14ac:dyDescent="0.3">
      <c r="B1362"/>
      <c r="C1362"/>
      <c r="L1362"/>
      <c r="M1362"/>
    </row>
    <row r="1363" spans="2:13" x14ac:dyDescent="0.3">
      <c r="B1363"/>
      <c r="C1363"/>
      <c r="L1363"/>
      <c r="M1363"/>
    </row>
    <row r="1364" spans="2:13" x14ac:dyDescent="0.3">
      <c r="B1364"/>
      <c r="C1364"/>
      <c r="L1364"/>
      <c r="M1364"/>
    </row>
    <row r="1365" spans="2:13" x14ac:dyDescent="0.3">
      <c r="B1365"/>
      <c r="C1365"/>
      <c r="L1365"/>
      <c r="M1365"/>
    </row>
    <row r="1366" spans="2:13" x14ac:dyDescent="0.3">
      <c r="B1366"/>
      <c r="C1366"/>
      <c r="L1366"/>
      <c r="M1366"/>
    </row>
    <row r="1367" spans="2:13" x14ac:dyDescent="0.3">
      <c r="B1367"/>
      <c r="C1367"/>
      <c r="L1367"/>
      <c r="M1367"/>
    </row>
    <row r="1368" spans="2:13" x14ac:dyDescent="0.3">
      <c r="B1368"/>
      <c r="C1368"/>
      <c r="L1368"/>
      <c r="M1368"/>
    </row>
    <row r="1369" spans="2:13" x14ac:dyDescent="0.3">
      <c r="B1369"/>
      <c r="C1369"/>
      <c r="L1369"/>
      <c r="M1369"/>
    </row>
    <row r="1370" spans="2:13" x14ac:dyDescent="0.3">
      <c r="B1370"/>
      <c r="C1370"/>
      <c r="L1370"/>
      <c r="M1370"/>
    </row>
    <row r="1371" spans="2:13" x14ac:dyDescent="0.3">
      <c r="B1371"/>
      <c r="C1371"/>
      <c r="L1371"/>
      <c r="M1371"/>
    </row>
    <row r="1372" spans="2:13" x14ac:dyDescent="0.3">
      <c r="B1372"/>
      <c r="C1372"/>
      <c r="L1372"/>
      <c r="M1372"/>
    </row>
    <row r="1373" spans="2:13" x14ac:dyDescent="0.3">
      <c r="B1373"/>
      <c r="C1373"/>
      <c r="L1373"/>
      <c r="M1373"/>
    </row>
    <row r="1374" spans="2:13" x14ac:dyDescent="0.3">
      <c r="B1374"/>
      <c r="C1374"/>
      <c r="L1374"/>
      <c r="M1374"/>
    </row>
    <row r="1375" spans="2:13" x14ac:dyDescent="0.3">
      <c r="B1375"/>
      <c r="C1375"/>
      <c r="L1375"/>
      <c r="M1375"/>
    </row>
    <row r="1376" spans="2:13" x14ac:dyDescent="0.3">
      <c r="B1376"/>
      <c r="C1376"/>
      <c r="L1376"/>
      <c r="M1376"/>
    </row>
    <row r="1377" spans="2:13" x14ac:dyDescent="0.3">
      <c r="B1377"/>
      <c r="C1377"/>
      <c r="L1377"/>
      <c r="M1377"/>
    </row>
    <row r="1378" spans="2:13" x14ac:dyDescent="0.3">
      <c r="B1378"/>
      <c r="C1378"/>
      <c r="L1378"/>
      <c r="M1378"/>
    </row>
    <row r="1379" spans="2:13" x14ac:dyDescent="0.3">
      <c r="B1379"/>
      <c r="C1379"/>
      <c r="L1379"/>
      <c r="M1379"/>
    </row>
    <row r="1380" spans="2:13" x14ac:dyDescent="0.3">
      <c r="B1380"/>
      <c r="C1380"/>
      <c r="L1380"/>
      <c r="M1380"/>
    </row>
    <row r="1381" spans="2:13" x14ac:dyDescent="0.3">
      <c r="B1381"/>
      <c r="C1381"/>
      <c r="L1381"/>
      <c r="M1381"/>
    </row>
    <row r="1382" spans="2:13" x14ac:dyDescent="0.3">
      <c r="B1382"/>
      <c r="C1382"/>
      <c r="L1382"/>
      <c r="M1382"/>
    </row>
    <row r="1383" spans="2:13" x14ac:dyDescent="0.3">
      <c r="B1383"/>
      <c r="C1383"/>
      <c r="L1383"/>
      <c r="M1383"/>
    </row>
    <row r="1384" spans="2:13" x14ac:dyDescent="0.3">
      <c r="B1384"/>
      <c r="C1384"/>
      <c r="L1384"/>
      <c r="M1384"/>
    </row>
    <row r="1385" spans="2:13" x14ac:dyDescent="0.3">
      <c r="B1385"/>
      <c r="C1385"/>
      <c r="L1385"/>
      <c r="M1385"/>
    </row>
    <row r="1386" spans="2:13" x14ac:dyDescent="0.3">
      <c r="B1386"/>
      <c r="C1386"/>
      <c r="L1386"/>
      <c r="M1386"/>
    </row>
    <row r="1387" spans="2:13" x14ac:dyDescent="0.3">
      <c r="B1387"/>
      <c r="C1387"/>
      <c r="L1387"/>
      <c r="M1387"/>
    </row>
    <row r="1388" spans="2:13" x14ac:dyDescent="0.3">
      <c r="B1388"/>
      <c r="C1388"/>
      <c r="L1388"/>
      <c r="M1388"/>
    </row>
    <row r="1389" spans="2:13" x14ac:dyDescent="0.3">
      <c r="B1389"/>
      <c r="C1389"/>
      <c r="L1389"/>
      <c r="M1389"/>
    </row>
    <row r="1390" spans="2:13" x14ac:dyDescent="0.3">
      <c r="B1390"/>
      <c r="C1390"/>
      <c r="L1390"/>
      <c r="M1390"/>
    </row>
    <row r="1391" spans="2:13" x14ac:dyDescent="0.3">
      <c r="B1391"/>
      <c r="C1391"/>
      <c r="L1391"/>
      <c r="M1391"/>
    </row>
    <row r="1392" spans="2:13" x14ac:dyDescent="0.3">
      <c r="B1392"/>
      <c r="C1392"/>
      <c r="L1392"/>
      <c r="M1392"/>
    </row>
    <row r="1393" spans="2:13" x14ac:dyDescent="0.3">
      <c r="B1393"/>
      <c r="C1393"/>
      <c r="L1393"/>
      <c r="M1393"/>
    </row>
    <row r="1394" spans="2:13" x14ac:dyDescent="0.3">
      <c r="B1394"/>
      <c r="C1394"/>
      <c r="L1394"/>
      <c r="M1394"/>
    </row>
    <row r="1395" spans="2:13" x14ac:dyDescent="0.3">
      <c r="B1395"/>
      <c r="C1395"/>
      <c r="L1395"/>
      <c r="M1395"/>
    </row>
    <row r="1396" spans="2:13" x14ac:dyDescent="0.3">
      <c r="B1396"/>
      <c r="C1396"/>
      <c r="L1396"/>
      <c r="M1396"/>
    </row>
    <row r="1397" spans="2:13" x14ac:dyDescent="0.3">
      <c r="B1397"/>
      <c r="C1397"/>
      <c r="L1397"/>
      <c r="M1397"/>
    </row>
    <row r="1398" spans="2:13" x14ac:dyDescent="0.3">
      <c r="B1398"/>
      <c r="C1398"/>
      <c r="L1398"/>
    </row>
    <row r="1399" spans="2:13" x14ac:dyDescent="0.3">
      <c r="B1399"/>
      <c r="C1399"/>
      <c r="L1399"/>
    </row>
    <row r="1400" spans="2:13" x14ac:dyDescent="0.3">
      <c r="B1400"/>
      <c r="C1400"/>
      <c r="L1400"/>
    </row>
    <row r="1401" spans="2:13" x14ac:dyDescent="0.3">
      <c r="B1401"/>
      <c r="C1401"/>
      <c r="L1401"/>
    </row>
    <row r="1402" spans="2:13" x14ac:dyDescent="0.3">
      <c r="B1402"/>
      <c r="C1402"/>
      <c r="L1402"/>
    </row>
    <row r="1403" spans="2:13" x14ac:dyDescent="0.3">
      <c r="B1403"/>
      <c r="C1403"/>
      <c r="L1403"/>
    </row>
    <row r="1404" spans="2:13" x14ac:dyDescent="0.3">
      <c r="B1404"/>
      <c r="C1404"/>
      <c r="L1404"/>
    </row>
    <row r="1405" spans="2:13" x14ac:dyDescent="0.3">
      <c r="B1405"/>
      <c r="C1405"/>
      <c r="L1405"/>
    </row>
    <row r="1406" spans="2:13" x14ac:dyDescent="0.3">
      <c r="B1406"/>
      <c r="C1406"/>
      <c r="L1406"/>
    </row>
    <row r="1407" spans="2:13" x14ac:dyDescent="0.3">
      <c r="B1407"/>
      <c r="C1407"/>
      <c r="L1407"/>
    </row>
    <row r="1408" spans="2:13" x14ac:dyDescent="0.3">
      <c r="B1408"/>
      <c r="C1408"/>
      <c r="L1408"/>
    </row>
    <row r="1409" spans="2:12" x14ac:dyDescent="0.3">
      <c r="B1409"/>
      <c r="C1409"/>
      <c r="L1409"/>
    </row>
    <row r="1410" spans="2:12" x14ac:dyDescent="0.3">
      <c r="B1410"/>
      <c r="C1410"/>
      <c r="L1410"/>
    </row>
    <row r="1411" spans="2:12" x14ac:dyDescent="0.3">
      <c r="B1411"/>
      <c r="C1411"/>
      <c r="L1411"/>
    </row>
    <row r="1412" spans="2:12" x14ac:dyDescent="0.3">
      <c r="B1412"/>
      <c r="C1412"/>
      <c r="L1412"/>
    </row>
    <row r="1413" spans="2:12" x14ac:dyDescent="0.3">
      <c r="B1413"/>
      <c r="C1413"/>
      <c r="L1413"/>
    </row>
    <row r="1414" spans="2:12" x14ac:dyDescent="0.3">
      <c r="B1414"/>
      <c r="C1414"/>
      <c r="L1414"/>
    </row>
    <row r="1415" spans="2:12" x14ac:dyDescent="0.3">
      <c r="B1415"/>
      <c r="C1415"/>
      <c r="L1415"/>
    </row>
    <row r="1416" spans="2:12" x14ac:dyDescent="0.3">
      <c r="B1416"/>
      <c r="C1416"/>
      <c r="L1416"/>
    </row>
    <row r="1417" spans="2:12" x14ac:dyDescent="0.3">
      <c r="B1417"/>
      <c r="C1417"/>
      <c r="L1417"/>
    </row>
    <row r="1418" spans="2:12" x14ac:dyDescent="0.3">
      <c r="B1418"/>
      <c r="C1418"/>
      <c r="L1418"/>
    </row>
    <row r="1419" spans="2:12" x14ac:dyDescent="0.3">
      <c r="B1419"/>
      <c r="C1419"/>
      <c r="L1419"/>
    </row>
    <row r="1420" spans="2:12" x14ac:dyDescent="0.3">
      <c r="B1420"/>
      <c r="C1420"/>
      <c r="L1420"/>
    </row>
    <row r="1421" spans="2:12" x14ac:dyDescent="0.3">
      <c r="B1421"/>
      <c r="C1421"/>
      <c r="L1421"/>
    </row>
    <row r="1422" spans="2:12" x14ac:dyDescent="0.3">
      <c r="B1422"/>
      <c r="C1422"/>
      <c r="L1422"/>
    </row>
    <row r="1423" spans="2:12" x14ac:dyDescent="0.3">
      <c r="B1423"/>
      <c r="C1423"/>
      <c r="L1423"/>
    </row>
    <row r="1424" spans="2:12" x14ac:dyDescent="0.3">
      <c r="B1424"/>
      <c r="C1424"/>
      <c r="L1424"/>
    </row>
    <row r="1425" spans="2:12" x14ac:dyDescent="0.3">
      <c r="B1425"/>
      <c r="C1425"/>
      <c r="L1425"/>
    </row>
    <row r="1426" spans="2:12" x14ac:dyDescent="0.3">
      <c r="B1426"/>
      <c r="C1426"/>
      <c r="L1426"/>
    </row>
    <row r="1427" spans="2:12" x14ac:dyDescent="0.3">
      <c r="B1427"/>
      <c r="C1427"/>
      <c r="L1427"/>
    </row>
    <row r="1428" spans="2:12" x14ac:dyDescent="0.3">
      <c r="B1428"/>
      <c r="C1428"/>
      <c r="L1428"/>
    </row>
    <row r="1429" spans="2:12" x14ac:dyDescent="0.3">
      <c r="B1429"/>
      <c r="C1429"/>
      <c r="L1429"/>
    </row>
    <row r="1430" spans="2:12" x14ac:dyDescent="0.3">
      <c r="B1430"/>
      <c r="C1430"/>
      <c r="L1430"/>
    </row>
    <row r="1431" spans="2:12" x14ac:dyDescent="0.3">
      <c r="B1431"/>
      <c r="C1431"/>
      <c r="L1431"/>
    </row>
    <row r="1432" spans="2:12" x14ac:dyDescent="0.3">
      <c r="B1432"/>
      <c r="C1432"/>
      <c r="L1432"/>
    </row>
    <row r="1433" spans="2:12" x14ac:dyDescent="0.3">
      <c r="B1433"/>
      <c r="C1433"/>
      <c r="L1433"/>
    </row>
    <row r="1434" spans="2:12" x14ac:dyDescent="0.3">
      <c r="B1434"/>
      <c r="C1434"/>
      <c r="L1434"/>
    </row>
    <row r="1435" spans="2:12" x14ac:dyDescent="0.3">
      <c r="B1435"/>
      <c r="C1435"/>
      <c r="L1435"/>
    </row>
    <row r="1436" spans="2:12" x14ac:dyDescent="0.3">
      <c r="B1436"/>
      <c r="C1436"/>
      <c r="L1436"/>
    </row>
    <row r="1437" spans="2:12" x14ac:dyDescent="0.3">
      <c r="B1437"/>
      <c r="C1437"/>
      <c r="L1437"/>
    </row>
    <row r="1438" spans="2:12" x14ac:dyDescent="0.3">
      <c r="B1438"/>
      <c r="C1438"/>
      <c r="L1438"/>
    </row>
    <row r="1439" spans="2:12" x14ac:dyDescent="0.3">
      <c r="B1439"/>
      <c r="C1439"/>
      <c r="L1439"/>
    </row>
    <row r="1440" spans="2:12" x14ac:dyDescent="0.3">
      <c r="B1440"/>
      <c r="C1440"/>
      <c r="L1440"/>
    </row>
    <row r="1441" spans="2:12" x14ac:dyDescent="0.3">
      <c r="B1441"/>
      <c r="C1441"/>
      <c r="L1441"/>
    </row>
    <row r="1442" spans="2:12" x14ac:dyDescent="0.3">
      <c r="B1442"/>
      <c r="C1442"/>
      <c r="L1442"/>
    </row>
    <row r="1443" spans="2:12" x14ac:dyDescent="0.3">
      <c r="B1443"/>
      <c r="C1443"/>
      <c r="L1443"/>
    </row>
    <row r="1444" spans="2:12" x14ac:dyDescent="0.3">
      <c r="B1444"/>
      <c r="C1444"/>
      <c r="L1444"/>
    </row>
    <row r="1445" spans="2:12" x14ac:dyDescent="0.3">
      <c r="B1445"/>
      <c r="C1445"/>
      <c r="L1445"/>
    </row>
    <row r="1446" spans="2:12" x14ac:dyDescent="0.3">
      <c r="B1446"/>
      <c r="C1446"/>
      <c r="L1446"/>
    </row>
    <row r="1447" spans="2:12" x14ac:dyDescent="0.3">
      <c r="B1447"/>
      <c r="C1447"/>
      <c r="L1447"/>
    </row>
    <row r="1448" spans="2:12" x14ac:dyDescent="0.3">
      <c r="B1448"/>
      <c r="C1448"/>
      <c r="L1448"/>
    </row>
    <row r="1449" spans="2:12" x14ac:dyDescent="0.3">
      <c r="B1449"/>
      <c r="C1449"/>
      <c r="L1449"/>
    </row>
    <row r="1450" spans="2:12" x14ac:dyDescent="0.3">
      <c r="B1450"/>
      <c r="C1450"/>
      <c r="L1450"/>
    </row>
    <row r="1451" spans="2:12" x14ac:dyDescent="0.3">
      <c r="B1451"/>
      <c r="C1451"/>
      <c r="L1451"/>
    </row>
    <row r="1452" spans="2:12" x14ac:dyDescent="0.3">
      <c r="B1452"/>
      <c r="C1452"/>
      <c r="L1452"/>
    </row>
    <row r="1453" spans="2:12" x14ac:dyDescent="0.3">
      <c r="B1453"/>
      <c r="C1453"/>
      <c r="L1453"/>
    </row>
    <row r="1454" spans="2:12" x14ac:dyDescent="0.3">
      <c r="B1454"/>
      <c r="C1454"/>
      <c r="L1454"/>
    </row>
    <row r="1455" spans="2:12" x14ac:dyDescent="0.3">
      <c r="B1455"/>
      <c r="C1455"/>
      <c r="L1455"/>
    </row>
    <row r="1456" spans="2:12" x14ac:dyDescent="0.3">
      <c r="B1456"/>
      <c r="C1456"/>
      <c r="L1456"/>
    </row>
    <row r="1457" spans="2:12" x14ac:dyDescent="0.3">
      <c r="B1457"/>
      <c r="C1457"/>
      <c r="L1457"/>
    </row>
    <row r="1458" spans="2:12" x14ac:dyDescent="0.3">
      <c r="B1458"/>
      <c r="C1458"/>
      <c r="L1458"/>
    </row>
    <row r="1459" spans="2:12" x14ac:dyDescent="0.3">
      <c r="B1459"/>
      <c r="C1459"/>
      <c r="L1459"/>
    </row>
    <row r="1460" spans="2:12" x14ac:dyDescent="0.3">
      <c r="B1460"/>
      <c r="C1460"/>
      <c r="L1460"/>
    </row>
    <row r="1461" spans="2:12" x14ac:dyDescent="0.3">
      <c r="B1461"/>
      <c r="C1461"/>
      <c r="L1461"/>
    </row>
    <row r="1462" spans="2:12" x14ac:dyDescent="0.3">
      <c r="B1462"/>
      <c r="C1462"/>
      <c r="L1462"/>
    </row>
    <row r="1463" spans="2:12" x14ac:dyDescent="0.3">
      <c r="B1463"/>
      <c r="C1463"/>
      <c r="L1463"/>
    </row>
    <row r="1464" spans="2:12" x14ac:dyDescent="0.3">
      <c r="B1464"/>
      <c r="C1464"/>
      <c r="L1464"/>
    </row>
    <row r="1465" spans="2:12" x14ac:dyDescent="0.3">
      <c r="B1465"/>
      <c r="C1465"/>
      <c r="L1465"/>
    </row>
    <row r="1466" spans="2:12" x14ac:dyDescent="0.3">
      <c r="B1466"/>
      <c r="C1466"/>
      <c r="L1466"/>
    </row>
    <row r="1467" spans="2:12" x14ac:dyDescent="0.3">
      <c r="B1467"/>
      <c r="C1467"/>
      <c r="L1467"/>
    </row>
    <row r="1468" spans="2:12" x14ac:dyDescent="0.3">
      <c r="B1468"/>
      <c r="C1468"/>
      <c r="L1468"/>
    </row>
    <row r="1469" spans="2:12" x14ac:dyDescent="0.3">
      <c r="B1469"/>
      <c r="C1469"/>
      <c r="L1469"/>
    </row>
    <row r="1470" spans="2:12" x14ac:dyDescent="0.3">
      <c r="B1470"/>
      <c r="C1470"/>
      <c r="L1470"/>
    </row>
    <row r="1471" spans="2:12" x14ac:dyDescent="0.3">
      <c r="B1471"/>
      <c r="C1471"/>
      <c r="L1471"/>
    </row>
    <row r="1472" spans="2:12" x14ac:dyDescent="0.3">
      <c r="B1472"/>
      <c r="C1472"/>
      <c r="L1472"/>
    </row>
    <row r="1473" spans="2:12" x14ac:dyDescent="0.3">
      <c r="B1473"/>
      <c r="C1473"/>
      <c r="L1473"/>
    </row>
    <row r="1474" spans="2:12" x14ac:dyDescent="0.3">
      <c r="B1474"/>
      <c r="C1474"/>
      <c r="L1474"/>
    </row>
    <row r="1475" spans="2:12" x14ac:dyDescent="0.3">
      <c r="B1475"/>
      <c r="C1475"/>
      <c r="L1475"/>
    </row>
    <row r="1476" spans="2:12" x14ac:dyDescent="0.3">
      <c r="B1476"/>
      <c r="C1476"/>
      <c r="L1476"/>
    </row>
    <row r="1477" spans="2:12" x14ac:dyDescent="0.3">
      <c r="B1477"/>
      <c r="C1477"/>
      <c r="L1477"/>
    </row>
    <row r="1478" spans="2:12" x14ac:dyDescent="0.3">
      <c r="B1478"/>
      <c r="C1478"/>
      <c r="L1478"/>
    </row>
    <row r="1479" spans="2:12" x14ac:dyDescent="0.3">
      <c r="B1479"/>
      <c r="C1479"/>
      <c r="L1479"/>
    </row>
    <row r="1480" spans="2:12" x14ac:dyDescent="0.3">
      <c r="B1480"/>
      <c r="C1480"/>
      <c r="L1480"/>
    </row>
    <row r="1481" spans="2:12" x14ac:dyDescent="0.3">
      <c r="B1481"/>
      <c r="C1481"/>
      <c r="L1481"/>
    </row>
    <row r="1482" spans="2:12" x14ac:dyDescent="0.3">
      <c r="B1482"/>
      <c r="C1482"/>
      <c r="L1482"/>
    </row>
    <row r="1483" spans="2:12" x14ac:dyDescent="0.3">
      <c r="B1483"/>
      <c r="C1483"/>
      <c r="L1483"/>
    </row>
    <row r="1484" spans="2:12" x14ac:dyDescent="0.3">
      <c r="B1484"/>
      <c r="C1484"/>
      <c r="L1484"/>
    </row>
    <row r="1485" spans="2:12" x14ac:dyDescent="0.3">
      <c r="B1485"/>
      <c r="C1485"/>
      <c r="L1485"/>
    </row>
    <row r="1486" spans="2:12" x14ac:dyDescent="0.3">
      <c r="B1486"/>
      <c r="C1486"/>
      <c r="L1486"/>
    </row>
    <row r="1487" spans="2:12" x14ac:dyDescent="0.3">
      <c r="B1487"/>
      <c r="C1487"/>
      <c r="L1487"/>
    </row>
    <row r="1488" spans="2:12" x14ac:dyDescent="0.3">
      <c r="B1488"/>
      <c r="C1488"/>
      <c r="L1488"/>
    </row>
    <row r="1489" spans="2:12" x14ac:dyDescent="0.3">
      <c r="B1489"/>
      <c r="C1489"/>
      <c r="L1489"/>
    </row>
    <row r="1490" spans="2:12" x14ac:dyDescent="0.3">
      <c r="B1490"/>
      <c r="C1490"/>
      <c r="L1490"/>
    </row>
    <row r="1491" spans="2:12" x14ac:dyDescent="0.3">
      <c r="B1491"/>
      <c r="C1491"/>
      <c r="L1491"/>
    </row>
    <row r="1492" spans="2:12" x14ac:dyDescent="0.3">
      <c r="B1492"/>
      <c r="C1492"/>
      <c r="L1492"/>
    </row>
    <row r="1493" spans="2:12" x14ac:dyDescent="0.3">
      <c r="B1493"/>
      <c r="C1493"/>
      <c r="L1493"/>
    </row>
    <row r="1494" spans="2:12" x14ac:dyDescent="0.3">
      <c r="B1494"/>
      <c r="C1494"/>
      <c r="L1494"/>
    </row>
    <row r="1495" spans="2:12" x14ac:dyDescent="0.3">
      <c r="B1495"/>
      <c r="C1495"/>
      <c r="L1495"/>
    </row>
    <row r="1496" spans="2:12" x14ac:dyDescent="0.3">
      <c r="B1496"/>
      <c r="C1496"/>
      <c r="L1496"/>
    </row>
    <row r="1497" spans="2:12" x14ac:dyDescent="0.3">
      <c r="B1497"/>
      <c r="C1497"/>
      <c r="L1497"/>
    </row>
    <row r="1498" spans="2:12" x14ac:dyDescent="0.3">
      <c r="B1498"/>
      <c r="C1498"/>
      <c r="L1498"/>
    </row>
    <row r="1499" spans="2:12" x14ac:dyDescent="0.3">
      <c r="B1499"/>
      <c r="C1499"/>
      <c r="L1499"/>
    </row>
    <row r="1500" spans="2:12" x14ac:dyDescent="0.3">
      <c r="B1500"/>
      <c r="C1500"/>
      <c r="L1500"/>
    </row>
    <row r="1501" spans="2:12" x14ac:dyDescent="0.3">
      <c r="B1501"/>
      <c r="C1501"/>
      <c r="L1501"/>
    </row>
    <row r="1502" spans="2:12" x14ac:dyDescent="0.3">
      <c r="B1502"/>
      <c r="C1502"/>
      <c r="L1502"/>
    </row>
    <row r="1503" spans="2:12" x14ac:dyDescent="0.3">
      <c r="B1503"/>
      <c r="C1503"/>
      <c r="L1503"/>
    </row>
    <row r="1504" spans="2:12" x14ac:dyDescent="0.3">
      <c r="B1504"/>
      <c r="C1504"/>
      <c r="L1504"/>
    </row>
    <row r="1505" spans="2:12" x14ac:dyDescent="0.3">
      <c r="B1505"/>
      <c r="C1505"/>
      <c r="L1505"/>
    </row>
    <row r="1506" spans="2:12" x14ac:dyDescent="0.3">
      <c r="B1506"/>
      <c r="C1506"/>
      <c r="L1506"/>
    </row>
    <row r="1507" spans="2:12" x14ac:dyDescent="0.3">
      <c r="B1507"/>
      <c r="C1507"/>
      <c r="L1507"/>
    </row>
    <row r="1508" spans="2:12" x14ac:dyDescent="0.3">
      <c r="B1508"/>
      <c r="C1508"/>
      <c r="L1508"/>
    </row>
    <row r="1509" spans="2:12" x14ac:dyDescent="0.3">
      <c r="B1509"/>
      <c r="C1509"/>
      <c r="L1509"/>
    </row>
    <row r="1510" spans="2:12" x14ac:dyDescent="0.3">
      <c r="B1510"/>
      <c r="C1510"/>
      <c r="L1510"/>
    </row>
    <row r="1511" spans="2:12" x14ac:dyDescent="0.3">
      <c r="B1511"/>
      <c r="C1511"/>
      <c r="L1511"/>
    </row>
    <row r="1512" spans="2:12" x14ac:dyDescent="0.3">
      <c r="B1512"/>
      <c r="C1512"/>
      <c r="L1512"/>
    </row>
    <row r="1513" spans="2:12" x14ac:dyDescent="0.3">
      <c r="B1513"/>
      <c r="C1513"/>
      <c r="L1513"/>
    </row>
    <row r="1514" spans="2:12" x14ac:dyDescent="0.3">
      <c r="B1514"/>
      <c r="C1514"/>
      <c r="L1514"/>
    </row>
    <row r="1515" spans="2:12" x14ac:dyDescent="0.3">
      <c r="B1515"/>
      <c r="C1515"/>
      <c r="L1515"/>
    </row>
    <row r="1516" spans="2:12" x14ac:dyDescent="0.3">
      <c r="B1516"/>
      <c r="C1516"/>
      <c r="L1516"/>
    </row>
    <row r="1517" spans="2:12" x14ac:dyDescent="0.3">
      <c r="B1517"/>
      <c r="C1517"/>
      <c r="L1517"/>
    </row>
    <row r="1518" spans="2:12" x14ac:dyDescent="0.3">
      <c r="B1518"/>
      <c r="C1518"/>
      <c r="L1518"/>
    </row>
    <row r="1519" spans="2:12" x14ac:dyDescent="0.3">
      <c r="B1519"/>
      <c r="C1519"/>
      <c r="L1519"/>
    </row>
    <row r="1520" spans="2:12" x14ac:dyDescent="0.3">
      <c r="B1520"/>
      <c r="C1520"/>
      <c r="L1520"/>
    </row>
    <row r="1521" spans="2:12" x14ac:dyDescent="0.3">
      <c r="B1521"/>
      <c r="C1521"/>
      <c r="L1521"/>
    </row>
    <row r="1522" spans="2:12" x14ac:dyDescent="0.3">
      <c r="B1522"/>
      <c r="C1522"/>
      <c r="L1522"/>
    </row>
    <row r="1523" spans="2:12" x14ac:dyDescent="0.3">
      <c r="B1523"/>
      <c r="C1523"/>
      <c r="L1523"/>
    </row>
    <row r="1524" spans="2:12" x14ac:dyDescent="0.3">
      <c r="B1524"/>
      <c r="C1524"/>
      <c r="L1524"/>
    </row>
    <row r="1525" spans="2:12" x14ac:dyDescent="0.3">
      <c r="B1525"/>
      <c r="C1525"/>
      <c r="L1525"/>
    </row>
    <row r="1526" spans="2:12" x14ac:dyDescent="0.3">
      <c r="B1526"/>
      <c r="C1526"/>
      <c r="L1526"/>
    </row>
    <row r="1527" spans="2:12" x14ac:dyDescent="0.3">
      <c r="B1527"/>
      <c r="C1527"/>
      <c r="L1527"/>
    </row>
    <row r="1528" spans="2:12" x14ac:dyDescent="0.3">
      <c r="B1528"/>
      <c r="C1528"/>
      <c r="L1528"/>
    </row>
    <row r="1529" spans="2:12" x14ac:dyDescent="0.3">
      <c r="B1529"/>
      <c r="C1529"/>
      <c r="L1529"/>
    </row>
    <row r="1530" spans="2:12" x14ac:dyDescent="0.3">
      <c r="B1530"/>
      <c r="C1530"/>
      <c r="L1530"/>
    </row>
    <row r="1531" spans="2:12" x14ac:dyDescent="0.3">
      <c r="B1531"/>
      <c r="C1531"/>
      <c r="L1531"/>
    </row>
    <row r="1532" spans="2:12" x14ac:dyDescent="0.3">
      <c r="B1532"/>
      <c r="C1532"/>
      <c r="L1532"/>
    </row>
    <row r="1533" spans="2:12" x14ac:dyDescent="0.3">
      <c r="B1533"/>
      <c r="C1533"/>
      <c r="L1533"/>
    </row>
    <row r="1534" spans="2:12" x14ac:dyDescent="0.3">
      <c r="B1534"/>
      <c r="C1534"/>
      <c r="L1534"/>
    </row>
    <row r="1535" spans="2:12" x14ac:dyDescent="0.3">
      <c r="B1535"/>
      <c r="C1535"/>
      <c r="L1535"/>
    </row>
    <row r="1536" spans="2:12" x14ac:dyDescent="0.3">
      <c r="B1536"/>
      <c r="C1536"/>
      <c r="L1536"/>
    </row>
    <row r="1537" spans="2:12" x14ac:dyDescent="0.3">
      <c r="B1537"/>
      <c r="C1537"/>
      <c r="L1537"/>
    </row>
    <row r="1538" spans="2:12" x14ac:dyDescent="0.3">
      <c r="B1538"/>
      <c r="C1538"/>
      <c r="L1538"/>
    </row>
    <row r="1539" spans="2:12" x14ac:dyDescent="0.3">
      <c r="B1539"/>
      <c r="C1539"/>
      <c r="L1539"/>
    </row>
    <row r="1540" spans="2:12" x14ac:dyDescent="0.3">
      <c r="B1540"/>
      <c r="C1540"/>
      <c r="L1540"/>
    </row>
    <row r="1541" spans="2:12" x14ac:dyDescent="0.3">
      <c r="B1541"/>
      <c r="C1541"/>
      <c r="L1541"/>
    </row>
    <row r="1542" spans="2:12" x14ac:dyDescent="0.3">
      <c r="B1542"/>
      <c r="C1542"/>
      <c r="L1542"/>
    </row>
    <row r="1543" spans="2:12" x14ac:dyDescent="0.3">
      <c r="B1543"/>
      <c r="C1543"/>
      <c r="L1543"/>
    </row>
    <row r="1544" spans="2:12" x14ac:dyDescent="0.3">
      <c r="B1544"/>
      <c r="C1544"/>
      <c r="L1544"/>
    </row>
    <row r="1545" spans="2:12" x14ac:dyDescent="0.3">
      <c r="B1545"/>
      <c r="C1545"/>
      <c r="L1545"/>
    </row>
    <row r="1546" spans="2:12" x14ac:dyDescent="0.3">
      <c r="B1546"/>
      <c r="C1546"/>
      <c r="L1546"/>
    </row>
    <row r="1547" spans="2:12" x14ac:dyDescent="0.3">
      <c r="B1547"/>
      <c r="C1547"/>
      <c r="L1547"/>
    </row>
    <row r="1548" spans="2:12" x14ac:dyDescent="0.3">
      <c r="B1548"/>
      <c r="C1548"/>
      <c r="L1548"/>
    </row>
    <row r="1549" spans="2:12" x14ac:dyDescent="0.3">
      <c r="B1549"/>
      <c r="C1549"/>
      <c r="L1549"/>
    </row>
    <row r="1550" spans="2:12" x14ac:dyDescent="0.3">
      <c r="B1550"/>
      <c r="C1550"/>
      <c r="L1550"/>
    </row>
    <row r="1551" spans="2:12" x14ac:dyDescent="0.3">
      <c r="B1551"/>
      <c r="C1551"/>
      <c r="L1551"/>
    </row>
    <row r="1552" spans="2:12" x14ac:dyDescent="0.3">
      <c r="B1552"/>
      <c r="C1552"/>
      <c r="L1552"/>
    </row>
    <row r="1553" spans="2:12" x14ac:dyDescent="0.3">
      <c r="B1553"/>
      <c r="C1553"/>
      <c r="L1553"/>
    </row>
    <row r="1554" spans="2:12" x14ac:dyDescent="0.3">
      <c r="B1554"/>
      <c r="C1554"/>
      <c r="L1554"/>
    </row>
    <row r="1555" spans="2:12" x14ac:dyDescent="0.3">
      <c r="B1555"/>
      <c r="C1555"/>
      <c r="L1555"/>
    </row>
    <row r="1556" spans="2:12" x14ac:dyDescent="0.3">
      <c r="B1556"/>
      <c r="C1556"/>
      <c r="L1556"/>
    </row>
    <row r="1557" spans="2:12" x14ac:dyDescent="0.3">
      <c r="B1557"/>
      <c r="C1557"/>
      <c r="L1557"/>
    </row>
    <row r="1558" spans="2:12" x14ac:dyDescent="0.3">
      <c r="B1558"/>
      <c r="C1558"/>
      <c r="L1558"/>
    </row>
    <row r="1559" spans="2:12" x14ac:dyDescent="0.3">
      <c r="B1559"/>
      <c r="C1559"/>
      <c r="L1559"/>
    </row>
    <row r="1560" spans="2:12" x14ac:dyDescent="0.3">
      <c r="B1560"/>
      <c r="C1560"/>
      <c r="L1560"/>
    </row>
    <row r="1561" spans="2:12" x14ac:dyDescent="0.3">
      <c r="B1561"/>
      <c r="C1561"/>
      <c r="L1561"/>
    </row>
    <row r="1562" spans="2:12" x14ac:dyDescent="0.3">
      <c r="B1562"/>
      <c r="C1562"/>
      <c r="L1562"/>
    </row>
    <row r="1563" spans="2:12" x14ac:dyDescent="0.3">
      <c r="B1563"/>
      <c r="C1563"/>
      <c r="L1563"/>
    </row>
    <row r="1564" spans="2:12" x14ac:dyDescent="0.3">
      <c r="B1564"/>
      <c r="C1564"/>
      <c r="L1564"/>
    </row>
    <row r="1565" spans="2:12" x14ac:dyDescent="0.3">
      <c r="B1565"/>
      <c r="C1565"/>
      <c r="L1565"/>
    </row>
    <row r="1566" spans="2:12" x14ac:dyDescent="0.3">
      <c r="B1566"/>
      <c r="C1566"/>
      <c r="L1566"/>
    </row>
    <row r="1567" spans="2:12" x14ac:dyDescent="0.3">
      <c r="B1567"/>
      <c r="C1567"/>
      <c r="L1567"/>
    </row>
    <row r="1568" spans="2:12" x14ac:dyDescent="0.3">
      <c r="B1568"/>
      <c r="C1568"/>
      <c r="L1568"/>
    </row>
    <row r="1569" spans="2:12" x14ac:dyDescent="0.3">
      <c r="B1569"/>
      <c r="C1569"/>
      <c r="L1569"/>
    </row>
    <row r="1570" spans="2:12" x14ac:dyDescent="0.3">
      <c r="B1570"/>
      <c r="C1570"/>
      <c r="L1570"/>
    </row>
    <row r="1571" spans="2:12" x14ac:dyDescent="0.3">
      <c r="B1571"/>
      <c r="C1571"/>
      <c r="L1571"/>
    </row>
    <row r="1572" spans="2:12" x14ac:dyDescent="0.3">
      <c r="B1572"/>
      <c r="C1572"/>
      <c r="L1572"/>
    </row>
    <row r="1573" spans="2:12" x14ac:dyDescent="0.3">
      <c r="B1573"/>
      <c r="C1573"/>
      <c r="L1573"/>
    </row>
    <row r="1574" spans="2:12" x14ac:dyDescent="0.3">
      <c r="B1574"/>
      <c r="C1574"/>
      <c r="L1574"/>
    </row>
    <row r="1575" spans="2:12" x14ac:dyDescent="0.3">
      <c r="B1575"/>
      <c r="C1575"/>
      <c r="L1575"/>
    </row>
    <row r="1576" spans="2:12" x14ac:dyDescent="0.3">
      <c r="B1576"/>
      <c r="C1576"/>
      <c r="L1576"/>
    </row>
    <row r="1577" spans="2:12" x14ac:dyDescent="0.3">
      <c r="B1577"/>
      <c r="C1577"/>
      <c r="L1577"/>
    </row>
    <row r="1578" spans="2:12" x14ac:dyDescent="0.3">
      <c r="B1578"/>
      <c r="C1578"/>
      <c r="L1578"/>
    </row>
    <row r="1579" spans="2:12" x14ac:dyDescent="0.3">
      <c r="B1579"/>
      <c r="C1579"/>
      <c r="L1579"/>
    </row>
    <row r="1580" spans="2:12" x14ac:dyDescent="0.3">
      <c r="B1580"/>
      <c r="C1580"/>
      <c r="L1580"/>
    </row>
    <row r="1581" spans="2:12" x14ac:dyDescent="0.3">
      <c r="B1581"/>
      <c r="C1581"/>
      <c r="L1581"/>
    </row>
    <row r="1582" spans="2:12" x14ac:dyDescent="0.3">
      <c r="B1582"/>
      <c r="C1582"/>
      <c r="L1582"/>
    </row>
    <row r="1583" spans="2:12" x14ac:dyDescent="0.3">
      <c r="B1583"/>
      <c r="C1583"/>
      <c r="L1583"/>
    </row>
    <row r="1584" spans="2:12" x14ac:dyDescent="0.3">
      <c r="B1584"/>
      <c r="C1584"/>
      <c r="L1584"/>
    </row>
    <row r="1585" spans="2:12" x14ac:dyDescent="0.3">
      <c r="B1585"/>
      <c r="C1585"/>
      <c r="L1585"/>
    </row>
    <row r="1586" spans="2:12" x14ac:dyDescent="0.3">
      <c r="B1586"/>
      <c r="C1586"/>
      <c r="L1586"/>
    </row>
    <row r="1587" spans="2:12" x14ac:dyDescent="0.3">
      <c r="B1587"/>
      <c r="C1587"/>
      <c r="L1587"/>
    </row>
    <row r="1588" spans="2:12" x14ac:dyDescent="0.3">
      <c r="B1588"/>
      <c r="C1588"/>
      <c r="L1588"/>
    </row>
    <row r="1589" spans="2:12" x14ac:dyDescent="0.3">
      <c r="B1589"/>
      <c r="C1589"/>
      <c r="L1589"/>
    </row>
    <row r="1590" spans="2:12" x14ac:dyDescent="0.3">
      <c r="B1590"/>
      <c r="C1590"/>
      <c r="L1590"/>
    </row>
    <row r="1591" spans="2:12" x14ac:dyDescent="0.3">
      <c r="B1591"/>
      <c r="C1591"/>
      <c r="L1591"/>
    </row>
    <row r="1592" spans="2:12" x14ac:dyDescent="0.3">
      <c r="B1592"/>
      <c r="C1592"/>
      <c r="L1592"/>
    </row>
    <row r="1593" spans="2:12" x14ac:dyDescent="0.3">
      <c r="B1593"/>
      <c r="C1593"/>
      <c r="L1593"/>
    </row>
    <row r="1594" spans="2:12" x14ac:dyDescent="0.3">
      <c r="B1594"/>
      <c r="C1594"/>
      <c r="L1594"/>
    </row>
    <row r="1595" spans="2:12" x14ac:dyDescent="0.3">
      <c r="B1595"/>
      <c r="C1595"/>
      <c r="L1595"/>
    </row>
    <row r="1596" spans="2:12" x14ac:dyDescent="0.3">
      <c r="B1596"/>
      <c r="C1596"/>
      <c r="L1596"/>
    </row>
    <row r="1597" spans="2:12" x14ac:dyDescent="0.3">
      <c r="B1597"/>
      <c r="C1597"/>
      <c r="L1597"/>
    </row>
    <row r="1598" spans="2:12" x14ac:dyDescent="0.3">
      <c r="B1598"/>
      <c r="C1598"/>
      <c r="L1598"/>
    </row>
    <row r="1599" spans="2:12" x14ac:dyDescent="0.3">
      <c r="B1599"/>
      <c r="C1599"/>
      <c r="L1599"/>
    </row>
    <row r="1600" spans="2:12" x14ac:dyDescent="0.3">
      <c r="B1600"/>
      <c r="C1600"/>
      <c r="L1600"/>
    </row>
    <row r="1601" spans="2:12" x14ac:dyDescent="0.3">
      <c r="B1601"/>
      <c r="C1601"/>
      <c r="L1601"/>
    </row>
    <row r="1602" spans="2:12" x14ac:dyDescent="0.3">
      <c r="B1602"/>
      <c r="C1602"/>
      <c r="L1602"/>
    </row>
    <row r="1603" spans="2:12" x14ac:dyDescent="0.3">
      <c r="B1603"/>
      <c r="C1603"/>
      <c r="L1603"/>
    </row>
    <row r="1604" spans="2:12" x14ac:dyDescent="0.3">
      <c r="B1604"/>
      <c r="C1604"/>
      <c r="L1604"/>
    </row>
    <row r="1605" spans="2:12" x14ac:dyDescent="0.3">
      <c r="B1605"/>
      <c r="C1605"/>
      <c r="L1605"/>
    </row>
    <row r="1606" spans="2:12" x14ac:dyDescent="0.3">
      <c r="B1606"/>
      <c r="C1606"/>
      <c r="L1606"/>
    </row>
    <row r="1607" spans="2:12" x14ac:dyDescent="0.3">
      <c r="B1607"/>
      <c r="C1607"/>
      <c r="L1607"/>
    </row>
    <row r="1608" spans="2:12" x14ac:dyDescent="0.3">
      <c r="B1608"/>
      <c r="C1608"/>
      <c r="L1608"/>
    </row>
    <row r="1609" spans="2:12" x14ac:dyDescent="0.3">
      <c r="B1609"/>
      <c r="C1609"/>
      <c r="L1609"/>
    </row>
    <row r="1610" spans="2:12" x14ac:dyDescent="0.3">
      <c r="B1610"/>
      <c r="C1610"/>
      <c r="L1610"/>
    </row>
    <row r="1611" spans="2:12" x14ac:dyDescent="0.3">
      <c r="B1611"/>
      <c r="C1611"/>
      <c r="L1611"/>
    </row>
    <row r="1612" spans="2:12" x14ac:dyDescent="0.3">
      <c r="B1612"/>
      <c r="C1612"/>
      <c r="L1612"/>
    </row>
    <row r="1613" spans="2:12" x14ac:dyDescent="0.3">
      <c r="B1613"/>
      <c r="C1613"/>
      <c r="L1613"/>
    </row>
    <row r="1614" spans="2:12" x14ac:dyDescent="0.3">
      <c r="B1614"/>
      <c r="C1614"/>
      <c r="L1614"/>
    </row>
    <row r="1615" spans="2:12" x14ac:dyDescent="0.3">
      <c r="B1615"/>
      <c r="C1615"/>
      <c r="L1615"/>
    </row>
    <row r="1616" spans="2:12" x14ac:dyDescent="0.3">
      <c r="B1616"/>
      <c r="C1616"/>
      <c r="L1616"/>
    </row>
    <row r="1617" spans="2:12" x14ac:dyDescent="0.3">
      <c r="B1617"/>
      <c r="C1617"/>
      <c r="L1617"/>
    </row>
    <row r="1618" spans="2:12" x14ac:dyDescent="0.3">
      <c r="B1618"/>
      <c r="C1618"/>
      <c r="L1618"/>
    </row>
    <row r="1619" spans="2:12" x14ac:dyDescent="0.3">
      <c r="B1619"/>
      <c r="C1619"/>
      <c r="L1619"/>
    </row>
    <row r="1620" spans="2:12" x14ac:dyDescent="0.3">
      <c r="B1620"/>
      <c r="C1620"/>
      <c r="L1620"/>
    </row>
    <row r="1621" spans="2:12" x14ac:dyDescent="0.3">
      <c r="B1621"/>
      <c r="C1621"/>
      <c r="L1621"/>
    </row>
    <row r="1622" spans="2:12" x14ac:dyDescent="0.3">
      <c r="B1622"/>
      <c r="C1622"/>
      <c r="L1622"/>
    </row>
    <row r="1623" spans="2:12" x14ac:dyDescent="0.3">
      <c r="B1623"/>
      <c r="C1623"/>
      <c r="L1623"/>
    </row>
    <row r="1624" spans="2:12" x14ac:dyDescent="0.3">
      <c r="B1624"/>
      <c r="C1624"/>
      <c r="L1624"/>
    </row>
    <row r="1625" spans="2:12" x14ac:dyDescent="0.3">
      <c r="B1625"/>
      <c r="C1625"/>
      <c r="L1625"/>
    </row>
    <row r="1626" spans="2:12" x14ac:dyDescent="0.3">
      <c r="B1626"/>
      <c r="C1626"/>
      <c r="L1626"/>
    </row>
    <row r="1627" spans="2:12" x14ac:dyDescent="0.3">
      <c r="B1627"/>
      <c r="C1627"/>
      <c r="L1627"/>
    </row>
    <row r="1628" spans="2:12" x14ac:dyDescent="0.3">
      <c r="B1628"/>
      <c r="C1628"/>
      <c r="L1628"/>
    </row>
    <row r="1629" spans="2:12" x14ac:dyDescent="0.3">
      <c r="B1629"/>
      <c r="C1629"/>
      <c r="L1629"/>
    </row>
    <row r="1630" spans="2:12" x14ac:dyDescent="0.3">
      <c r="B1630"/>
      <c r="C1630"/>
      <c r="L1630"/>
    </row>
    <row r="1631" spans="2:12" x14ac:dyDescent="0.3">
      <c r="B1631"/>
      <c r="C1631"/>
      <c r="L1631"/>
    </row>
    <row r="1632" spans="2:12" x14ac:dyDescent="0.3">
      <c r="B1632"/>
      <c r="C1632"/>
      <c r="L1632"/>
    </row>
    <row r="1633" spans="2:12" x14ac:dyDescent="0.3">
      <c r="B1633"/>
      <c r="C1633"/>
      <c r="L1633"/>
    </row>
    <row r="1634" spans="2:12" x14ac:dyDescent="0.3">
      <c r="B1634"/>
      <c r="C1634"/>
      <c r="L1634"/>
    </row>
    <row r="1635" spans="2:12" x14ac:dyDescent="0.3">
      <c r="B1635"/>
      <c r="C1635"/>
      <c r="L1635"/>
    </row>
    <row r="1636" spans="2:12" x14ac:dyDescent="0.3">
      <c r="B1636"/>
      <c r="C1636"/>
      <c r="L1636"/>
    </row>
    <row r="1637" spans="2:12" x14ac:dyDescent="0.3">
      <c r="B1637"/>
      <c r="C1637"/>
      <c r="L1637"/>
    </row>
    <row r="1638" spans="2:12" x14ac:dyDescent="0.3">
      <c r="B1638"/>
      <c r="C1638"/>
      <c r="L1638"/>
    </row>
    <row r="1639" spans="2:12" x14ac:dyDescent="0.3">
      <c r="B1639"/>
      <c r="C1639"/>
      <c r="L1639"/>
    </row>
    <row r="1640" spans="2:12" x14ac:dyDescent="0.3">
      <c r="B1640"/>
      <c r="C1640"/>
      <c r="L1640"/>
    </row>
    <row r="1641" spans="2:12" x14ac:dyDescent="0.3">
      <c r="B1641"/>
      <c r="C1641"/>
      <c r="L1641"/>
    </row>
    <row r="1642" spans="2:12" x14ac:dyDescent="0.3">
      <c r="B1642"/>
      <c r="C1642"/>
      <c r="L1642"/>
    </row>
    <row r="1643" spans="2:12" x14ac:dyDescent="0.3">
      <c r="B1643"/>
      <c r="C1643"/>
      <c r="L1643"/>
    </row>
    <row r="1644" spans="2:12" x14ac:dyDescent="0.3">
      <c r="B1644"/>
      <c r="C1644"/>
      <c r="L1644"/>
    </row>
    <row r="1645" spans="2:12" x14ac:dyDescent="0.3">
      <c r="B1645"/>
      <c r="C1645"/>
      <c r="L1645"/>
    </row>
    <row r="1646" spans="2:12" x14ac:dyDescent="0.3">
      <c r="B1646"/>
      <c r="C1646"/>
      <c r="L1646"/>
    </row>
    <row r="1647" spans="2:12" x14ac:dyDescent="0.3">
      <c r="B1647"/>
      <c r="C1647"/>
      <c r="L1647"/>
    </row>
    <row r="1648" spans="2:12" x14ac:dyDescent="0.3">
      <c r="B1648"/>
      <c r="C1648"/>
      <c r="L1648"/>
    </row>
    <row r="1649" spans="2:12" x14ac:dyDescent="0.3">
      <c r="B1649"/>
      <c r="C1649"/>
      <c r="L1649"/>
    </row>
    <row r="1650" spans="2:12" x14ac:dyDescent="0.3">
      <c r="B1650"/>
      <c r="C1650"/>
      <c r="L1650"/>
    </row>
    <row r="1651" spans="2:12" x14ac:dyDescent="0.3">
      <c r="B1651"/>
      <c r="C1651"/>
      <c r="L1651"/>
    </row>
    <row r="1652" spans="2:12" x14ac:dyDescent="0.3">
      <c r="B1652"/>
      <c r="C1652"/>
      <c r="L1652"/>
    </row>
    <row r="1653" spans="2:12" x14ac:dyDescent="0.3">
      <c r="B1653"/>
      <c r="C1653"/>
      <c r="L1653"/>
    </row>
    <row r="1654" spans="2:12" x14ac:dyDescent="0.3">
      <c r="B1654"/>
      <c r="C1654"/>
      <c r="L1654"/>
    </row>
    <row r="1655" spans="2:12" x14ac:dyDescent="0.3">
      <c r="B1655"/>
      <c r="C1655"/>
      <c r="L1655"/>
    </row>
    <row r="1656" spans="2:12" x14ac:dyDescent="0.3">
      <c r="B1656"/>
      <c r="C1656"/>
      <c r="L1656"/>
    </row>
    <row r="1657" spans="2:12" x14ac:dyDescent="0.3">
      <c r="B1657"/>
      <c r="C1657"/>
      <c r="L1657"/>
    </row>
    <row r="1658" spans="2:12" x14ac:dyDescent="0.3">
      <c r="B1658"/>
      <c r="C1658"/>
      <c r="L1658"/>
    </row>
    <row r="1659" spans="2:12" x14ac:dyDescent="0.3">
      <c r="B1659"/>
      <c r="C1659"/>
      <c r="L1659"/>
    </row>
    <row r="1660" spans="2:12" x14ac:dyDescent="0.3">
      <c r="B1660"/>
      <c r="C1660"/>
      <c r="L1660"/>
    </row>
    <row r="1661" spans="2:12" x14ac:dyDescent="0.3">
      <c r="B1661"/>
      <c r="C1661"/>
      <c r="L1661"/>
    </row>
    <row r="1662" spans="2:12" x14ac:dyDescent="0.3">
      <c r="B1662"/>
      <c r="C1662"/>
      <c r="L1662"/>
    </row>
    <row r="1663" spans="2:12" x14ac:dyDescent="0.3">
      <c r="B1663"/>
      <c r="C1663"/>
      <c r="L1663"/>
    </row>
    <row r="1664" spans="2:12" x14ac:dyDescent="0.3">
      <c r="B1664"/>
      <c r="C1664"/>
      <c r="L1664"/>
    </row>
    <row r="1665" spans="2:12" x14ac:dyDescent="0.3">
      <c r="B1665"/>
      <c r="C1665"/>
      <c r="L1665"/>
    </row>
    <row r="1666" spans="2:12" x14ac:dyDescent="0.3">
      <c r="B1666"/>
      <c r="C1666"/>
      <c r="L1666"/>
    </row>
    <row r="1667" spans="2:12" x14ac:dyDescent="0.3">
      <c r="B1667"/>
      <c r="C1667"/>
      <c r="L1667"/>
    </row>
    <row r="1668" spans="2:12" x14ac:dyDescent="0.3">
      <c r="B1668"/>
      <c r="C1668"/>
      <c r="L1668"/>
    </row>
    <row r="1669" spans="2:12" x14ac:dyDescent="0.3">
      <c r="B1669"/>
      <c r="C1669"/>
      <c r="L1669"/>
    </row>
    <row r="1670" spans="2:12" x14ac:dyDescent="0.3">
      <c r="B1670"/>
      <c r="C1670"/>
      <c r="L1670"/>
    </row>
    <row r="1671" spans="2:12" x14ac:dyDescent="0.3">
      <c r="B1671"/>
      <c r="C1671"/>
      <c r="L1671"/>
    </row>
    <row r="1672" spans="2:12" x14ac:dyDescent="0.3">
      <c r="B1672"/>
      <c r="C1672"/>
      <c r="L1672"/>
    </row>
    <row r="1673" spans="2:12" x14ac:dyDescent="0.3">
      <c r="B1673"/>
      <c r="C1673"/>
      <c r="L1673"/>
    </row>
    <row r="1674" spans="2:12" x14ac:dyDescent="0.3">
      <c r="B1674"/>
      <c r="C1674"/>
      <c r="L1674"/>
    </row>
    <row r="1675" spans="2:12" x14ac:dyDescent="0.3">
      <c r="B1675"/>
      <c r="C1675"/>
      <c r="L1675"/>
    </row>
    <row r="1676" spans="2:12" x14ac:dyDescent="0.3">
      <c r="B1676"/>
      <c r="C1676"/>
      <c r="L1676"/>
    </row>
    <row r="1677" spans="2:12" x14ac:dyDescent="0.3">
      <c r="B1677"/>
      <c r="C1677"/>
      <c r="L1677"/>
    </row>
    <row r="1678" spans="2:12" x14ac:dyDescent="0.3">
      <c r="B1678"/>
      <c r="C1678"/>
      <c r="L1678"/>
    </row>
    <row r="1679" spans="2:12" x14ac:dyDescent="0.3">
      <c r="B1679"/>
      <c r="C1679"/>
      <c r="L1679"/>
    </row>
    <row r="1680" spans="2:12" x14ac:dyDescent="0.3">
      <c r="B1680"/>
      <c r="C1680"/>
      <c r="L1680"/>
    </row>
    <row r="1681" spans="2:12" x14ac:dyDescent="0.3">
      <c r="B1681"/>
      <c r="C1681"/>
      <c r="L1681"/>
    </row>
    <row r="1682" spans="2:12" x14ac:dyDescent="0.3">
      <c r="B1682"/>
      <c r="C1682"/>
      <c r="L1682"/>
    </row>
    <row r="1683" spans="2:12" x14ac:dyDescent="0.3">
      <c r="B1683"/>
      <c r="C1683"/>
      <c r="L1683"/>
    </row>
    <row r="1684" spans="2:12" x14ac:dyDescent="0.3">
      <c r="B1684"/>
      <c r="C1684"/>
      <c r="L1684"/>
    </row>
    <row r="1685" spans="2:12" x14ac:dyDescent="0.3">
      <c r="B1685"/>
      <c r="C1685"/>
      <c r="L1685"/>
    </row>
    <row r="1686" spans="2:12" x14ac:dyDescent="0.3">
      <c r="B1686"/>
      <c r="C1686"/>
      <c r="L1686"/>
    </row>
    <row r="1687" spans="2:12" x14ac:dyDescent="0.3">
      <c r="B1687"/>
      <c r="C1687"/>
      <c r="L1687"/>
    </row>
    <row r="1688" spans="2:12" x14ac:dyDescent="0.3">
      <c r="B1688"/>
      <c r="C1688"/>
      <c r="L1688"/>
    </row>
    <row r="1689" spans="2:12" x14ac:dyDescent="0.3">
      <c r="B1689"/>
      <c r="C1689"/>
      <c r="L1689"/>
    </row>
    <row r="1690" spans="2:12" x14ac:dyDescent="0.3">
      <c r="B1690"/>
      <c r="C1690"/>
      <c r="L1690"/>
    </row>
    <row r="1691" spans="2:12" x14ac:dyDescent="0.3">
      <c r="B1691"/>
      <c r="C1691"/>
      <c r="L1691"/>
    </row>
    <row r="1692" spans="2:12" x14ac:dyDescent="0.3">
      <c r="B1692"/>
      <c r="C1692"/>
      <c r="L1692"/>
    </row>
    <row r="1693" spans="2:12" x14ac:dyDescent="0.3">
      <c r="B1693"/>
      <c r="C1693"/>
      <c r="L1693"/>
    </row>
    <row r="1694" spans="2:12" x14ac:dyDescent="0.3">
      <c r="B1694"/>
      <c r="C1694"/>
      <c r="L1694"/>
    </row>
    <row r="1695" spans="2:12" x14ac:dyDescent="0.3">
      <c r="B1695"/>
      <c r="C1695"/>
      <c r="L1695"/>
    </row>
    <row r="1696" spans="2:12" x14ac:dyDescent="0.3">
      <c r="B1696"/>
      <c r="C1696"/>
      <c r="L1696"/>
    </row>
    <row r="1697" spans="2:12" x14ac:dyDescent="0.3">
      <c r="B1697"/>
      <c r="C1697"/>
      <c r="L1697"/>
    </row>
    <row r="1698" spans="2:12" x14ac:dyDescent="0.3">
      <c r="B1698"/>
      <c r="C1698"/>
      <c r="L1698"/>
    </row>
    <row r="1699" spans="2:12" x14ac:dyDescent="0.3">
      <c r="B1699"/>
      <c r="C1699"/>
      <c r="L1699"/>
    </row>
    <row r="1700" spans="2:12" x14ac:dyDescent="0.3">
      <c r="B1700"/>
      <c r="C1700"/>
      <c r="L1700"/>
    </row>
    <row r="1701" spans="2:12" x14ac:dyDescent="0.3">
      <c r="B1701"/>
      <c r="C1701"/>
      <c r="L1701"/>
    </row>
    <row r="1702" spans="2:12" x14ac:dyDescent="0.3">
      <c r="B1702"/>
      <c r="C1702"/>
      <c r="L1702"/>
    </row>
    <row r="1703" spans="2:12" x14ac:dyDescent="0.3">
      <c r="B1703"/>
      <c r="C1703"/>
      <c r="L1703"/>
    </row>
    <row r="1704" spans="2:12" x14ac:dyDescent="0.3">
      <c r="B1704"/>
      <c r="C1704"/>
      <c r="L1704"/>
    </row>
    <row r="1705" spans="2:12" x14ac:dyDescent="0.3">
      <c r="B1705"/>
      <c r="C1705"/>
      <c r="L1705"/>
    </row>
    <row r="1706" spans="2:12" x14ac:dyDescent="0.3">
      <c r="B1706"/>
      <c r="C1706"/>
      <c r="L1706"/>
    </row>
    <row r="1707" spans="2:12" x14ac:dyDescent="0.3">
      <c r="B1707"/>
      <c r="C1707"/>
      <c r="L1707"/>
    </row>
    <row r="1708" spans="2:12" x14ac:dyDescent="0.3">
      <c r="B1708"/>
      <c r="C1708"/>
      <c r="L1708"/>
    </row>
    <row r="1709" spans="2:12" x14ac:dyDescent="0.3">
      <c r="B1709"/>
      <c r="C1709"/>
      <c r="L1709"/>
    </row>
    <row r="1710" spans="2:12" x14ac:dyDescent="0.3">
      <c r="B1710"/>
      <c r="C1710"/>
      <c r="L1710"/>
    </row>
    <row r="1711" spans="2:12" x14ac:dyDescent="0.3">
      <c r="B1711"/>
      <c r="C1711"/>
      <c r="L1711"/>
    </row>
    <row r="1712" spans="2:12" x14ac:dyDescent="0.3">
      <c r="B1712"/>
      <c r="C1712"/>
      <c r="L1712"/>
    </row>
    <row r="1713" spans="2:12" x14ac:dyDescent="0.3">
      <c r="B1713"/>
      <c r="C1713"/>
      <c r="L1713"/>
    </row>
    <row r="1714" spans="2:12" x14ac:dyDescent="0.3">
      <c r="B1714"/>
      <c r="C1714"/>
      <c r="L1714"/>
    </row>
    <row r="1715" spans="2:12" x14ac:dyDescent="0.3">
      <c r="B1715"/>
      <c r="C1715"/>
      <c r="L1715"/>
    </row>
    <row r="1716" spans="2:12" x14ac:dyDescent="0.3">
      <c r="B1716"/>
      <c r="C1716"/>
      <c r="L1716"/>
    </row>
    <row r="1717" spans="2:12" x14ac:dyDescent="0.3">
      <c r="B1717"/>
      <c r="C1717"/>
      <c r="L1717"/>
    </row>
    <row r="1718" spans="2:12" x14ac:dyDescent="0.3">
      <c r="B1718"/>
      <c r="C1718"/>
      <c r="L1718"/>
    </row>
    <row r="1719" spans="2:12" x14ac:dyDescent="0.3">
      <c r="B1719"/>
      <c r="C1719"/>
      <c r="L1719"/>
    </row>
    <row r="1720" spans="2:12" x14ac:dyDescent="0.3">
      <c r="B1720"/>
      <c r="C1720"/>
      <c r="L1720"/>
    </row>
    <row r="1721" spans="2:12" x14ac:dyDescent="0.3">
      <c r="B1721"/>
      <c r="C1721"/>
      <c r="L1721"/>
    </row>
    <row r="1722" spans="2:12" x14ac:dyDescent="0.3">
      <c r="B1722"/>
      <c r="C1722"/>
      <c r="L1722"/>
    </row>
    <row r="1723" spans="2:12" x14ac:dyDescent="0.3">
      <c r="B1723"/>
      <c r="C1723"/>
      <c r="L1723"/>
    </row>
    <row r="1724" spans="2:12" x14ac:dyDescent="0.3">
      <c r="B1724"/>
      <c r="C1724"/>
      <c r="L1724"/>
    </row>
    <row r="1725" spans="2:12" x14ac:dyDescent="0.3">
      <c r="B1725"/>
      <c r="C1725"/>
      <c r="L1725"/>
    </row>
    <row r="1726" spans="2:12" x14ac:dyDescent="0.3">
      <c r="B1726"/>
      <c r="C1726"/>
      <c r="L1726"/>
    </row>
    <row r="1727" spans="2:12" x14ac:dyDescent="0.3">
      <c r="B1727"/>
      <c r="C1727"/>
      <c r="L1727"/>
    </row>
    <row r="1728" spans="2:12" x14ac:dyDescent="0.3">
      <c r="B1728"/>
      <c r="C1728"/>
      <c r="L1728"/>
    </row>
    <row r="1729" spans="2:12" x14ac:dyDescent="0.3">
      <c r="B1729"/>
      <c r="C1729"/>
      <c r="L1729"/>
    </row>
    <row r="1730" spans="2:12" x14ac:dyDescent="0.3">
      <c r="B1730"/>
      <c r="C1730"/>
      <c r="L1730"/>
    </row>
    <row r="1731" spans="2:12" x14ac:dyDescent="0.3">
      <c r="B1731"/>
      <c r="C1731"/>
      <c r="L1731"/>
    </row>
    <row r="1732" spans="2:12" x14ac:dyDescent="0.3">
      <c r="B1732"/>
      <c r="C1732"/>
      <c r="L1732"/>
    </row>
    <row r="1733" spans="2:12" x14ac:dyDescent="0.3">
      <c r="B1733"/>
      <c r="C1733"/>
      <c r="L1733"/>
    </row>
    <row r="1734" spans="2:12" x14ac:dyDescent="0.3">
      <c r="B1734"/>
      <c r="C1734"/>
      <c r="L1734"/>
    </row>
    <row r="1735" spans="2:12" x14ac:dyDescent="0.3">
      <c r="B1735"/>
      <c r="C1735"/>
      <c r="L1735"/>
    </row>
    <row r="1736" spans="2:12" x14ac:dyDescent="0.3">
      <c r="B1736"/>
      <c r="C1736"/>
      <c r="L1736"/>
    </row>
    <row r="1737" spans="2:12" x14ac:dyDescent="0.3">
      <c r="B1737"/>
      <c r="C1737"/>
      <c r="L1737"/>
    </row>
    <row r="1738" spans="2:12" x14ac:dyDescent="0.3">
      <c r="B1738"/>
      <c r="C1738"/>
      <c r="L1738"/>
    </row>
    <row r="1739" spans="2:12" x14ac:dyDescent="0.3">
      <c r="B1739"/>
      <c r="C1739"/>
      <c r="L1739"/>
    </row>
    <row r="1740" spans="2:12" x14ac:dyDescent="0.3">
      <c r="B1740"/>
      <c r="C1740"/>
      <c r="L1740"/>
    </row>
    <row r="1741" spans="2:12" x14ac:dyDescent="0.3">
      <c r="B1741"/>
      <c r="C1741"/>
      <c r="L1741"/>
    </row>
    <row r="1742" spans="2:12" x14ac:dyDescent="0.3">
      <c r="B1742"/>
      <c r="C1742"/>
      <c r="L1742"/>
    </row>
    <row r="1743" spans="2:12" x14ac:dyDescent="0.3">
      <c r="B1743"/>
      <c r="C1743"/>
      <c r="L1743"/>
    </row>
    <row r="1744" spans="2:12" x14ac:dyDescent="0.3">
      <c r="B1744"/>
      <c r="C1744"/>
      <c r="L1744"/>
    </row>
    <row r="1745" spans="2:12" x14ac:dyDescent="0.3">
      <c r="B1745"/>
      <c r="C1745"/>
      <c r="L1745"/>
    </row>
    <row r="1746" spans="2:12" x14ac:dyDescent="0.3">
      <c r="B1746"/>
      <c r="C1746"/>
      <c r="L1746"/>
    </row>
    <row r="1747" spans="2:12" x14ac:dyDescent="0.3">
      <c r="B1747"/>
      <c r="C1747"/>
      <c r="L1747"/>
    </row>
    <row r="1748" spans="2:12" x14ac:dyDescent="0.3">
      <c r="B1748"/>
      <c r="C1748"/>
      <c r="L1748"/>
    </row>
    <row r="1749" spans="2:12" x14ac:dyDescent="0.3">
      <c r="B1749"/>
      <c r="C1749"/>
      <c r="L1749"/>
    </row>
    <row r="1750" spans="2:12" x14ac:dyDescent="0.3">
      <c r="B1750"/>
      <c r="C1750"/>
      <c r="L1750"/>
    </row>
    <row r="1751" spans="2:12" x14ac:dyDescent="0.3">
      <c r="B1751"/>
      <c r="C1751"/>
      <c r="L1751"/>
    </row>
    <row r="1752" spans="2:12" x14ac:dyDescent="0.3">
      <c r="B1752"/>
      <c r="C1752"/>
      <c r="L1752"/>
    </row>
    <row r="1753" spans="2:12" x14ac:dyDescent="0.3">
      <c r="B1753"/>
      <c r="C1753"/>
      <c r="L1753"/>
    </row>
    <row r="1754" spans="2:12" x14ac:dyDescent="0.3">
      <c r="B1754"/>
      <c r="C1754"/>
      <c r="L1754"/>
    </row>
    <row r="1755" spans="2:12" x14ac:dyDescent="0.3">
      <c r="B1755"/>
      <c r="C1755"/>
      <c r="L1755"/>
    </row>
    <row r="1756" spans="2:12" x14ac:dyDescent="0.3">
      <c r="B1756"/>
      <c r="C1756"/>
      <c r="L1756"/>
    </row>
    <row r="1757" spans="2:12" x14ac:dyDescent="0.3">
      <c r="B1757"/>
      <c r="C1757"/>
      <c r="L1757"/>
    </row>
    <row r="1758" spans="2:12" x14ac:dyDescent="0.3">
      <c r="B1758"/>
      <c r="C1758"/>
      <c r="L1758"/>
    </row>
    <row r="1759" spans="2:12" x14ac:dyDescent="0.3">
      <c r="B1759"/>
      <c r="C1759"/>
      <c r="L1759"/>
    </row>
    <row r="1760" spans="2:12" x14ac:dyDescent="0.3">
      <c r="B1760"/>
      <c r="C1760"/>
      <c r="L1760"/>
    </row>
    <row r="1761" spans="2:12" x14ac:dyDescent="0.3">
      <c r="B1761"/>
      <c r="C1761"/>
      <c r="L1761"/>
    </row>
    <row r="1762" spans="2:12" x14ac:dyDescent="0.3">
      <c r="B1762"/>
      <c r="C1762"/>
      <c r="L1762"/>
    </row>
    <row r="1763" spans="2:12" x14ac:dyDescent="0.3">
      <c r="B1763"/>
      <c r="C1763"/>
      <c r="L1763"/>
    </row>
    <row r="1764" spans="2:12" x14ac:dyDescent="0.3">
      <c r="B1764"/>
      <c r="C1764"/>
      <c r="L1764"/>
    </row>
    <row r="1765" spans="2:12" x14ac:dyDescent="0.3">
      <c r="B1765"/>
      <c r="C1765"/>
      <c r="L1765"/>
    </row>
    <row r="1766" spans="2:12" x14ac:dyDescent="0.3">
      <c r="B1766"/>
      <c r="C1766"/>
      <c r="L1766"/>
    </row>
    <row r="1767" spans="2:12" x14ac:dyDescent="0.3">
      <c r="B1767"/>
      <c r="C1767"/>
      <c r="L1767"/>
    </row>
    <row r="1768" spans="2:12" x14ac:dyDescent="0.3">
      <c r="B1768"/>
      <c r="C1768"/>
      <c r="L1768"/>
    </row>
    <row r="1769" spans="2:12" x14ac:dyDescent="0.3">
      <c r="B1769"/>
      <c r="C1769"/>
      <c r="L1769"/>
    </row>
    <row r="1770" spans="2:12" x14ac:dyDescent="0.3">
      <c r="B1770"/>
      <c r="C1770"/>
      <c r="L1770"/>
    </row>
    <row r="1771" spans="2:12" x14ac:dyDescent="0.3">
      <c r="B1771"/>
      <c r="C1771"/>
      <c r="L1771"/>
    </row>
    <row r="1772" spans="2:12" x14ac:dyDescent="0.3">
      <c r="B1772"/>
      <c r="C1772"/>
      <c r="L1772"/>
    </row>
    <row r="1773" spans="2:12" x14ac:dyDescent="0.3">
      <c r="B1773"/>
      <c r="C1773"/>
      <c r="L1773"/>
    </row>
    <row r="1774" spans="2:12" x14ac:dyDescent="0.3">
      <c r="B1774"/>
      <c r="C1774"/>
      <c r="L1774"/>
    </row>
    <row r="1775" spans="2:12" x14ac:dyDescent="0.3">
      <c r="B1775"/>
      <c r="C1775"/>
      <c r="L1775"/>
    </row>
    <row r="1776" spans="2:12" x14ac:dyDescent="0.3">
      <c r="B1776"/>
      <c r="C1776"/>
      <c r="L1776"/>
    </row>
    <row r="1777" spans="2:12" x14ac:dyDescent="0.3">
      <c r="B1777"/>
      <c r="C1777"/>
      <c r="L1777"/>
    </row>
    <row r="1778" spans="2:12" x14ac:dyDescent="0.3">
      <c r="B1778"/>
      <c r="C1778"/>
      <c r="L1778"/>
    </row>
    <row r="1779" spans="2:12" x14ac:dyDescent="0.3">
      <c r="B1779"/>
      <c r="C1779"/>
      <c r="L1779"/>
    </row>
    <row r="1780" spans="2:12" x14ac:dyDescent="0.3">
      <c r="B1780"/>
      <c r="C1780"/>
      <c r="L1780"/>
    </row>
    <row r="1781" spans="2:12" x14ac:dyDescent="0.3">
      <c r="B1781"/>
      <c r="C1781"/>
      <c r="L1781"/>
    </row>
    <row r="1782" spans="2:12" x14ac:dyDescent="0.3">
      <c r="B1782"/>
      <c r="C1782"/>
      <c r="L1782"/>
    </row>
    <row r="1783" spans="2:12" x14ac:dyDescent="0.3">
      <c r="B1783"/>
      <c r="C1783"/>
      <c r="L1783"/>
    </row>
    <row r="1784" spans="2:12" x14ac:dyDescent="0.3">
      <c r="B1784"/>
      <c r="C1784"/>
      <c r="L1784"/>
    </row>
    <row r="1785" spans="2:12" x14ac:dyDescent="0.3">
      <c r="B1785"/>
      <c r="C1785"/>
      <c r="L1785"/>
    </row>
    <row r="1786" spans="2:12" x14ac:dyDescent="0.3">
      <c r="B1786"/>
      <c r="C1786"/>
      <c r="L1786"/>
    </row>
    <row r="1787" spans="2:12" x14ac:dyDescent="0.3">
      <c r="B1787"/>
      <c r="C1787"/>
      <c r="L1787"/>
    </row>
    <row r="1788" spans="2:12" x14ac:dyDescent="0.3">
      <c r="B1788"/>
      <c r="C1788"/>
      <c r="L1788"/>
    </row>
    <row r="1789" spans="2:12" x14ac:dyDescent="0.3">
      <c r="B1789"/>
      <c r="C1789"/>
      <c r="L1789"/>
    </row>
    <row r="1790" spans="2:12" x14ac:dyDescent="0.3">
      <c r="B1790"/>
      <c r="C1790"/>
      <c r="L1790"/>
    </row>
    <row r="1791" spans="2:12" x14ac:dyDescent="0.3">
      <c r="B1791"/>
      <c r="C1791"/>
      <c r="L1791"/>
    </row>
    <row r="1792" spans="2:12" x14ac:dyDescent="0.3">
      <c r="B1792"/>
      <c r="C1792"/>
      <c r="L1792"/>
    </row>
    <row r="1793" spans="2:12" x14ac:dyDescent="0.3">
      <c r="B1793"/>
      <c r="C1793"/>
      <c r="L1793"/>
    </row>
    <row r="1794" spans="2:12" x14ac:dyDescent="0.3">
      <c r="B1794"/>
      <c r="C1794"/>
      <c r="L1794"/>
    </row>
    <row r="1795" spans="2:12" x14ac:dyDescent="0.3">
      <c r="B1795"/>
      <c r="C1795"/>
      <c r="L1795"/>
    </row>
    <row r="1796" spans="2:12" x14ac:dyDescent="0.3">
      <c r="B1796"/>
      <c r="C1796"/>
      <c r="L1796"/>
    </row>
    <row r="1797" spans="2:12" x14ac:dyDescent="0.3">
      <c r="B1797"/>
      <c r="C1797"/>
      <c r="L1797"/>
    </row>
    <row r="1798" spans="2:12" x14ac:dyDescent="0.3">
      <c r="B1798"/>
      <c r="C1798"/>
      <c r="L1798"/>
    </row>
    <row r="1799" spans="2:12" x14ac:dyDescent="0.3">
      <c r="B1799"/>
      <c r="C1799"/>
      <c r="L1799"/>
    </row>
    <row r="1800" spans="2:12" x14ac:dyDescent="0.3">
      <c r="B1800"/>
      <c r="C1800"/>
      <c r="L1800"/>
    </row>
    <row r="1801" spans="2:12" x14ac:dyDescent="0.3">
      <c r="B1801"/>
      <c r="C1801"/>
      <c r="L1801"/>
    </row>
    <row r="1802" spans="2:12" x14ac:dyDescent="0.3">
      <c r="B1802"/>
      <c r="C1802"/>
      <c r="L1802"/>
    </row>
    <row r="1803" spans="2:12" x14ac:dyDescent="0.3">
      <c r="B1803"/>
      <c r="C1803"/>
      <c r="L1803"/>
    </row>
    <row r="1804" spans="2:12" x14ac:dyDescent="0.3">
      <c r="B1804"/>
      <c r="C1804"/>
      <c r="L1804"/>
    </row>
    <row r="1805" spans="2:12" x14ac:dyDescent="0.3">
      <c r="B1805"/>
      <c r="C1805"/>
      <c r="L1805"/>
    </row>
    <row r="1806" spans="2:12" x14ac:dyDescent="0.3">
      <c r="B1806"/>
      <c r="C1806"/>
      <c r="L1806"/>
    </row>
    <row r="1807" spans="2:12" x14ac:dyDescent="0.3">
      <c r="B1807"/>
      <c r="C1807"/>
      <c r="L1807"/>
    </row>
    <row r="1808" spans="2:12" x14ac:dyDescent="0.3">
      <c r="B1808"/>
      <c r="C1808"/>
      <c r="L1808"/>
    </row>
    <row r="1809" spans="2:12" x14ac:dyDescent="0.3">
      <c r="B1809"/>
      <c r="C1809"/>
      <c r="L1809"/>
    </row>
    <row r="1810" spans="2:12" x14ac:dyDescent="0.3">
      <c r="B1810"/>
      <c r="C1810"/>
      <c r="L1810"/>
    </row>
    <row r="1811" spans="2:12" x14ac:dyDescent="0.3">
      <c r="B1811"/>
      <c r="C1811"/>
      <c r="L1811"/>
    </row>
    <row r="1812" spans="2:12" x14ac:dyDescent="0.3">
      <c r="B1812"/>
      <c r="C1812"/>
      <c r="L1812"/>
    </row>
    <row r="1813" spans="2:12" x14ac:dyDescent="0.3">
      <c r="B1813"/>
      <c r="C1813"/>
      <c r="L1813"/>
    </row>
    <row r="1814" spans="2:12" x14ac:dyDescent="0.3">
      <c r="B1814"/>
      <c r="C1814"/>
      <c r="L1814"/>
    </row>
    <row r="1815" spans="2:12" x14ac:dyDescent="0.3">
      <c r="B1815"/>
      <c r="C1815"/>
      <c r="L1815"/>
    </row>
    <row r="1816" spans="2:12" x14ac:dyDescent="0.3">
      <c r="B1816"/>
      <c r="C1816"/>
      <c r="L1816"/>
    </row>
    <row r="1817" spans="2:12" x14ac:dyDescent="0.3">
      <c r="B1817"/>
      <c r="C1817"/>
      <c r="L1817"/>
    </row>
    <row r="1818" spans="2:12" x14ac:dyDescent="0.3">
      <c r="B1818"/>
      <c r="C1818"/>
      <c r="L1818"/>
    </row>
    <row r="1819" spans="2:12" x14ac:dyDescent="0.3">
      <c r="B1819"/>
      <c r="C1819"/>
      <c r="L1819"/>
    </row>
    <row r="1820" spans="2:12" x14ac:dyDescent="0.3">
      <c r="B1820"/>
      <c r="C1820"/>
      <c r="L1820"/>
    </row>
    <row r="1821" spans="2:12" x14ac:dyDescent="0.3">
      <c r="B1821"/>
      <c r="C1821"/>
      <c r="L1821"/>
    </row>
    <row r="1822" spans="2:12" x14ac:dyDescent="0.3">
      <c r="B1822"/>
      <c r="C1822"/>
      <c r="L1822"/>
    </row>
    <row r="1823" spans="2:12" x14ac:dyDescent="0.3">
      <c r="B1823"/>
      <c r="C1823"/>
      <c r="L1823"/>
    </row>
    <row r="1824" spans="2:12" x14ac:dyDescent="0.3">
      <c r="B1824"/>
      <c r="C1824"/>
      <c r="L1824"/>
    </row>
    <row r="1825" spans="2:12" x14ac:dyDescent="0.3">
      <c r="B1825"/>
      <c r="C1825"/>
      <c r="L1825"/>
    </row>
    <row r="1826" spans="2:12" x14ac:dyDescent="0.3">
      <c r="B1826"/>
      <c r="C1826"/>
      <c r="L1826"/>
    </row>
    <row r="1827" spans="2:12" x14ac:dyDescent="0.3">
      <c r="B1827"/>
      <c r="C1827"/>
      <c r="L1827"/>
    </row>
    <row r="1828" spans="2:12" x14ac:dyDescent="0.3">
      <c r="B1828"/>
      <c r="C1828"/>
      <c r="L1828"/>
    </row>
    <row r="1829" spans="2:12" x14ac:dyDescent="0.3">
      <c r="B1829"/>
      <c r="C1829"/>
      <c r="L1829"/>
    </row>
    <row r="1830" spans="2:12" x14ac:dyDescent="0.3">
      <c r="B1830"/>
      <c r="C1830"/>
      <c r="L1830"/>
    </row>
    <row r="1831" spans="2:12" x14ac:dyDescent="0.3">
      <c r="B1831"/>
      <c r="C1831"/>
      <c r="L1831"/>
    </row>
    <row r="1832" spans="2:12" x14ac:dyDescent="0.3">
      <c r="B1832"/>
      <c r="C1832"/>
      <c r="L1832"/>
    </row>
    <row r="1833" spans="2:12" x14ac:dyDescent="0.3">
      <c r="B1833"/>
      <c r="C1833"/>
      <c r="L1833"/>
    </row>
    <row r="1834" spans="2:12" x14ac:dyDescent="0.3">
      <c r="B1834"/>
      <c r="C1834"/>
      <c r="L1834"/>
    </row>
    <row r="1835" spans="2:12" x14ac:dyDescent="0.3">
      <c r="B1835"/>
      <c r="C1835"/>
      <c r="L1835"/>
    </row>
    <row r="1836" spans="2:12" x14ac:dyDescent="0.3">
      <c r="B1836"/>
      <c r="C1836"/>
      <c r="L1836"/>
    </row>
    <row r="1837" spans="2:12" x14ac:dyDescent="0.3">
      <c r="B1837"/>
      <c r="C1837"/>
      <c r="L1837"/>
    </row>
    <row r="1838" spans="2:12" x14ac:dyDescent="0.3">
      <c r="B1838"/>
      <c r="C1838"/>
      <c r="L1838"/>
    </row>
    <row r="1839" spans="2:12" x14ac:dyDescent="0.3">
      <c r="B1839"/>
      <c r="C1839"/>
      <c r="L1839"/>
    </row>
    <row r="1840" spans="2:12" x14ac:dyDescent="0.3">
      <c r="B1840"/>
      <c r="C1840"/>
      <c r="L1840"/>
    </row>
    <row r="1841" spans="2:12" x14ac:dyDescent="0.3">
      <c r="B1841"/>
      <c r="C1841"/>
      <c r="L1841"/>
    </row>
    <row r="1842" spans="2:12" x14ac:dyDescent="0.3">
      <c r="B1842"/>
      <c r="C1842"/>
      <c r="L1842"/>
    </row>
    <row r="1843" spans="2:12" x14ac:dyDescent="0.3">
      <c r="B1843"/>
      <c r="C1843"/>
      <c r="L1843"/>
    </row>
    <row r="1844" spans="2:12" x14ac:dyDescent="0.3">
      <c r="B1844"/>
      <c r="C1844"/>
      <c r="L1844"/>
    </row>
    <row r="1845" spans="2:12" x14ac:dyDescent="0.3">
      <c r="B1845"/>
      <c r="C1845"/>
      <c r="L1845"/>
    </row>
    <row r="1846" spans="2:12" x14ac:dyDescent="0.3">
      <c r="B1846"/>
      <c r="C1846"/>
      <c r="L1846"/>
    </row>
    <row r="1847" spans="2:12" x14ac:dyDescent="0.3">
      <c r="B1847"/>
      <c r="C1847"/>
      <c r="L1847"/>
    </row>
    <row r="1848" spans="2:12" x14ac:dyDescent="0.3">
      <c r="B1848"/>
      <c r="C1848"/>
      <c r="L1848"/>
    </row>
    <row r="1849" spans="2:12" x14ac:dyDescent="0.3">
      <c r="B1849"/>
      <c r="C1849"/>
      <c r="L1849"/>
    </row>
    <row r="1850" spans="2:12" x14ac:dyDescent="0.3">
      <c r="B1850"/>
      <c r="C1850"/>
      <c r="L1850"/>
    </row>
    <row r="1851" spans="2:12" x14ac:dyDescent="0.3">
      <c r="B1851"/>
      <c r="C1851"/>
      <c r="L1851"/>
    </row>
    <row r="1852" spans="2:12" x14ac:dyDescent="0.3">
      <c r="B1852"/>
      <c r="C1852"/>
      <c r="L1852"/>
    </row>
    <row r="1853" spans="2:12" x14ac:dyDescent="0.3">
      <c r="B1853"/>
      <c r="C1853"/>
      <c r="L1853"/>
    </row>
    <row r="1854" spans="2:12" x14ac:dyDescent="0.3">
      <c r="B1854"/>
      <c r="C1854"/>
      <c r="L1854"/>
    </row>
    <row r="1855" spans="2:12" x14ac:dyDescent="0.3">
      <c r="B1855"/>
      <c r="C1855"/>
      <c r="L1855"/>
    </row>
    <row r="1856" spans="2:12" x14ac:dyDescent="0.3">
      <c r="B1856"/>
      <c r="C1856"/>
      <c r="L1856"/>
    </row>
    <row r="1857" spans="2:12" x14ac:dyDescent="0.3">
      <c r="B1857"/>
      <c r="C1857"/>
      <c r="L1857"/>
    </row>
    <row r="1858" spans="2:12" x14ac:dyDescent="0.3">
      <c r="B1858"/>
      <c r="C1858"/>
      <c r="L1858"/>
    </row>
    <row r="1859" spans="2:12" x14ac:dyDescent="0.3">
      <c r="B1859"/>
      <c r="C1859"/>
      <c r="L1859"/>
    </row>
    <row r="1860" spans="2:12" x14ac:dyDescent="0.3">
      <c r="B1860"/>
      <c r="C1860"/>
      <c r="L1860"/>
    </row>
    <row r="1861" spans="2:12" x14ac:dyDescent="0.3">
      <c r="B1861"/>
      <c r="C1861"/>
      <c r="L1861"/>
    </row>
    <row r="1862" spans="2:12" x14ac:dyDescent="0.3">
      <c r="B1862"/>
      <c r="C1862"/>
      <c r="L1862"/>
    </row>
    <row r="1863" spans="2:12" x14ac:dyDescent="0.3">
      <c r="B1863"/>
      <c r="C1863"/>
      <c r="L1863"/>
    </row>
    <row r="1864" spans="2:12" x14ac:dyDescent="0.3">
      <c r="B1864"/>
      <c r="C1864"/>
      <c r="L1864"/>
    </row>
    <row r="1865" spans="2:12" x14ac:dyDescent="0.3">
      <c r="B1865"/>
      <c r="C1865"/>
      <c r="L1865"/>
    </row>
    <row r="1866" spans="2:12" x14ac:dyDescent="0.3">
      <c r="B1866"/>
      <c r="C1866"/>
      <c r="L1866"/>
    </row>
    <row r="1867" spans="2:12" x14ac:dyDescent="0.3">
      <c r="B1867"/>
      <c r="C1867"/>
      <c r="L1867"/>
    </row>
    <row r="1868" spans="2:12" x14ac:dyDescent="0.3">
      <c r="B1868"/>
      <c r="C1868"/>
      <c r="L1868"/>
    </row>
    <row r="1869" spans="2:12" x14ac:dyDescent="0.3">
      <c r="B1869"/>
      <c r="C1869"/>
      <c r="L1869"/>
    </row>
    <row r="1870" spans="2:12" x14ac:dyDescent="0.3">
      <c r="B1870"/>
      <c r="C1870"/>
      <c r="L1870"/>
    </row>
    <row r="1871" spans="2:12" x14ac:dyDescent="0.3">
      <c r="B1871"/>
      <c r="C1871"/>
      <c r="L1871"/>
    </row>
    <row r="1872" spans="2:12" x14ac:dyDescent="0.3">
      <c r="B1872"/>
      <c r="C1872"/>
      <c r="L1872"/>
    </row>
    <row r="1873" spans="2:12" x14ac:dyDescent="0.3">
      <c r="B1873"/>
      <c r="C1873"/>
      <c r="L1873"/>
    </row>
    <row r="1874" spans="2:12" x14ac:dyDescent="0.3">
      <c r="B1874"/>
      <c r="C1874"/>
      <c r="L1874"/>
    </row>
    <row r="1875" spans="2:12" x14ac:dyDescent="0.3">
      <c r="B1875"/>
      <c r="C1875"/>
      <c r="L1875"/>
    </row>
    <row r="1876" spans="2:12" x14ac:dyDescent="0.3">
      <c r="B1876"/>
      <c r="C1876"/>
      <c r="L1876"/>
    </row>
    <row r="1877" spans="2:12" x14ac:dyDescent="0.3">
      <c r="B1877"/>
      <c r="C1877"/>
      <c r="L1877"/>
    </row>
    <row r="1878" spans="2:12" x14ac:dyDescent="0.3">
      <c r="B1878"/>
      <c r="C1878"/>
      <c r="L1878"/>
    </row>
    <row r="1879" spans="2:12" x14ac:dyDescent="0.3">
      <c r="B1879"/>
      <c r="C1879"/>
      <c r="L1879"/>
    </row>
    <row r="1880" spans="2:12" x14ac:dyDescent="0.3">
      <c r="B1880"/>
      <c r="C1880"/>
      <c r="L1880"/>
    </row>
    <row r="1881" spans="2:12" x14ac:dyDescent="0.3">
      <c r="B1881"/>
      <c r="C1881"/>
      <c r="L1881"/>
    </row>
    <row r="1882" spans="2:12" x14ac:dyDescent="0.3">
      <c r="B1882"/>
      <c r="C1882"/>
      <c r="L1882"/>
    </row>
    <row r="1883" spans="2:12" x14ac:dyDescent="0.3">
      <c r="B1883"/>
      <c r="C1883"/>
      <c r="L1883"/>
    </row>
    <row r="1884" spans="2:12" x14ac:dyDescent="0.3">
      <c r="B1884"/>
      <c r="C1884"/>
      <c r="L1884"/>
    </row>
    <row r="1885" spans="2:12" x14ac:dyDescent="0.3">
      <c r="B1885"/>
      <c r="C1885"/>
      <c r="L1885"/>
    </row>
    <row r="1886" spans="2:12" x14ac:dyDescent="0.3">
      <c r="B1886"/>
      <c r="C1886"/>
      <c r="L1886"/>
    </row>
    <row r="1887" spans="2:12" x14ac:dyDescent="0.3">
      <c r="B1887"/>
      <c r="C1887"/>
      <c r="L1887"/>
    </row>
    <row r="1888" spans="2:12" x14ac:dyDescent="0.3">
      <c r="B1888"/>
      <c r="C1888"/>
      <c r="L1888"/>
    </row>
    <row r="1889" spans="2:12" x14ac:dyDescent="0.3">
      <c r="B1889"/>
      <c r="C1889"/>
      <c r="L1889"/>
    </row>
    <row r="1890" spans="2:12" x14ac:dyDescent="0.3">
      <c r="B1890"/>
      <c r="C1890"/>
      <c r="L1890"/>
    </row>
    <row r="1891" spans="2:12" x14ac:dyDescent="0.3">
      <c r="B1891"/>
      <c r="C1891"/>
      <c r="L1891"/>
    </row>
    <row r="1892" spans="2:12" x14ac:dyDescent="0.3">
      <c r="B1892"/>
      <c r="C1892"/>
      <c r="L1892"/>
    </row>
    <row r="1893" spans="2:12" x14ac:dyDescent="0.3">
      <c r="B1893"/>
      <c r="C1893"/>
      <c r="L1893"/>
    </row>
    <row r="1894" spans="2:12" x14ac:dyDescent="0.3">
      <c r="B1894"/>
      <c r="C1894"/>
      <c r="L1894"/>
    </row>
    <row r="1895" spans="2:12" x14ac:dyDescent="0.3">
      <c r="B1895"/>
      <c r="C1895"/>
      <c r="L1895"/>
    </row>
    <row r="1896" spans="2:12" x14ac:dyDescent="0.3">
      <c r="B1896"/>
      <c r="C1896"/>
      <c r="L1896"/>
    </row>
    <row r="1897" spans="2:12" x14ac:dyDescent="0.3">
      <c r="B1897"/>
      <c r="C1897"/>
      <c r="L1897"/>
    </row>
    <row r="1898" spans="2:12" x14ac:dyDescent="0.3">
      <c r="B1898"/>
      <c r="C1898"/>
      <c r="L1898"/>
    </row>
    <row r="1899" spans="2:12" x14ac:dyDescent="0.3">
      <c r="B1899"/>
      <c r="C1899"/>
      <c r="L1899"/>
    </row>
    <row r="1900" spans="2:12" x14ac:dyDescent="0.3">
      <c r="B1900"/>
      <c r="C1900"/>
      <c r="L1900"/>
    </row>
    <row r="1901" spans="2:12" x14ac:dyDescent="0.3">
      <c r="B1901"/>
      <c r="C1901"/>
      <c r="L1901"/>
    </row>
    <row r="1902" spans="2:12" x14ac:dyDescent="0.3">
      <c r="B1902"/>
      <c r="C1902"/>
      <c r="L1902"/>
    </row>
    <row r="1903" spans="2:12" x14ac:dyDescent="0.3">
      <c r="B1903"/>
      <c r="C1903"/>
      <c r="L1903"/>
    </row>
    <row r="1904" spans="2:12" x14ac:dyDescent="0.3">
      <c r="B1904"/>
      <c r="C1904"/>
      <c r="L1904"/>
    </row>
    <row r="1905" spans="2:12" x14ac:dyDescent="0.3">
      <c r="B1905"/>
      <c r="C1905"/>
      <c r="L1905"/>
    </row>
    <row r="1906" spans="2:12" x14ac:dyDescent="0.3">
      <c r="B1906"/>
      <c r="C1906"/>
      <c r="L1906"/>
    </row>
    <row r="1907" spans="2:12" x14ac:dyDescent="0.3">
      <c r="B1907"/>
      <c r="C1907"/>
      <c r="L1907"/>
    </row>
    <row r="1908" spans="2:12" x14ac:dyDescent="0.3">
      <c r="B1908"/>
      <c r="C1908"/>
      <c r="L1908"/>
    </row>
    <row r="1909" spans="2:12" x14ac:dyDescent="0.3">
      <c r="B1909"/>
      <c r="C1909"/>
      <c r="L1909"/>
    </row>
    <row r="1910" spans="2:12" x14ac:dyDescent="0.3">
      <c r="B1910"/>
      <c r="C1910"/>
      <c r="L1910"/>
    </row>
    <row r="1911" spans="2:12" x14ac:dyDescent="0.3">
      <c r="B1911"/>
      <c r="C1911"/>
      <c r="L1911"/>
    </row>
    <row r="1912" spans="2:12" x14ac:dyDescent="0.3">
      <c r="B1912"/>
      <c r="C1912"/>
      <c r="L1912"/>
    </row>
    <row r="1913" spans="2:12" x14ac:dyDescent="0.3">
      <c r="B1913"/>
      <c r="C1913"/>
      <c r="L1913"/>
    </row>
    <row r="1914" spans="2:12" x14ac:dyDescent="0.3">
      <c r="B1914"/>
      <c r="C1914"/>
      <c r="L1914"/>
    </row>
    <row r="1915" spans="2:12" x14ac:dyDescent="0.3">
      <c r="B1915"/>
      <c r="C1915"/>
      <c r="L1915"/>
    </row>
    <row r="1916" spans="2:12" x14ac:dyDescent="0.3">
      <c r="B1916"/>
      <c r="C1916"/>
      <c r="L1916"/>
    </row>
    <row r="1917" spans="2:12" x14ac:dyDescent="0.3">
      <c r="B1917"/>
      <c r="C1917"/>
      <c r="L1917"/>
    </row>
    <row r="1918" spans="2:12" x14ac:dyDescent="0.3">
      <c r="B1918"/>
      <c r="C1918"/>
      <c r="L1918"/>
    </row>
    <row r="1919" spans="2:12" x14ac:dyDescent="0.3">
      <c r="B1919"/>
      <c r="C1919"/>
      <c r="L1919"/>
    </row>
    <row r="1920" spans="2:12" x14ac:dyDescent="0.3">
      <c r="B1920"/>
      <c r="C1920"/>
      <c r="L1920"/>
    </row>
    <row r="1921" spans="2:12" x14ac:dyDescent="0.3">
      <c r="B1921"/>
      <c r="C1921"/>
      <c r="L1921"/>
    </row>
    <row r="1922" spans="2:12" x14ac:dyDescent="0.3">
      <c r="B1922"/>
      <c r="C1922"/>
      <c r="L1922"/>
    </row>
    <row r="1923" spans="2:12" x14ac:dyDescent="0.3">
      <c r="B1923"/>
      <c r="C1923"/>
      <c r="L1923"/>
    </row>
    <row r="1924" spans="2:12" x14ac:dyDescent="0.3">
      <c r="B1924"/>
      <c r="C1924"/>
      <c r="L1924"/>
    </row>
    <row r="1925" spans="2:12" x14ac:dyDescent="0.3">
      <c r="B1925"/>
      <c r="C1925"/>
      <c r="L1925"/>
    </row>
    <row r="1926" spans="2:12" x14ac:dyDescent="0.3">
      <c r="B1926"/>
      <c r="C1926"/>
      <c r="L1926"/>
    </row>
    <row r="1927" spans="2:12" x14ac:dyDescent="0.3">
      <c r="B1927"/>
      <c r="C1927"/>
      <c r="L1927"/>
    </row>
    <row r="1928" spans="2:12" x14ac:dyDescent="0.3">
      <c r="B1928"/>
      <c r="C1928"/>
      <c r="L1928"/>
    </row>
    <row r="1929" spans="2:12" x14ac:dyDescent="0.3">
      <c r="B1929"/>
      <c r="C1929"/>
      <c r="L1929"/>
    </row>
    <row r="1930" spans="2:12" x14ac:dyDescent="0.3">
      <c r="B1930"/>
      <c r="C1930"/>
      <c r="L1930"/>
    </row>
    <row r="1931" spans="2:12" x14ac:dyDescent="0.3">
      <c r="B1931"/>
      <c r="C1931"/>
      <c r="L1931"/>
    </row>
    <row r="1932" spans="2:12" x14ac:dyDescent="0.3">
      <c r="B1932"/>
      <c r="C1932"/>
      <c r="L1932"/>
    </row>
    <row r="1933" spans="2:12" x14ac:dyDescent="0.3">
      <c r="B1933"/>
      <c r="C1933"/>
      <c r="L1933"/>
    </row>
    <row r="1934" spans="2:12" x14ac:dyDescent="0.3">
      <c r="B1934"/>
      <c r="C1934"/>
      <c r="L1934"/>
    </row>
    <row r="1935" spans="2:12" x14ac:dyDescent="0.3">
      <c r="B1935"/>
      <c r="C1935"/>
      <c r="L1935"/>
    </row>
    <row r="1936" spans="2:12" x14ac:dyDescent="0.3">
      <c r="B1936"/>
      <c r="C1936"/>
      <c r="L1936"/>
    </row>
    <row r="1937" spans="2:12" x14ac:dyDescent="0.3">
      <c r="B1937"/>
      <c r="C1937"/>
      <c r="L1937"/>
    </row>
    <row r="1938" spans="2:12" x14ac:dyDescent="0.3">
      <c r="B1938"/>
      <c r="C1938"/>
      <c r="L1938"/>
    </row>
    <row r="1939" spans="2:12" x14ac:dyDescent="0.3">
      <c r="B1939"/>
      <c r="C1939"/>
      <c r="L1939"/>
    </row>
    <row r="1940" spans="2:12" x14ac:dyDescent="0.3">
      <c r="B1940"/>
      <c r="C1940"/>
      <c r="L1940"/>
    </row>
    <row r="1941" spans="2:12" x14ac:dyDescent="0.3">
      <c r="B1941"/>
      <c r="C1941"/>
      <c r="L1941"/>
    </row>
    <row r="1942" spans="2:12" x14ac:dyDescent="0.3">
      <c r="B1942"/>
      <c r="C1942"/>
      <c r="L1942"/>
    </row>
    <row r="1943" spans="2:12" x14ac:dyDescent="0.3">
      <c r="B1943"/>
      <c r="C1943"/>
      <c r="L1943"/>
    </row>
    <row r="1944" spans="2:12" x14ac:dyDescent="0.3">
      <c r="B1944"/>
      <c r="C1944"/>
      <c r="L1944"/>
    </row>
    <row r="1945" spans="2:12" x14ac:dyDescent="0.3">
      <c r="B1945"/>
      <c r="C1945"/>
      <c r="L1945"/>
    </row>
    <row r="1946" spans="2:12" x14ac:dyDescent="0.3">
      <c r="B1946"/>
      <c r="C1946"/>
      <c r="L1946"/>
    </row>
    <row r="1947" spans="2:12" x14ac:dyDescent="0.3">
      <c r="B1947"/>
      <c r="C1947"/>
      <c r="L1947"/>
    </row>
    <row r="1948" spans="2:12" x14ac:dyDescent="0.3">
      <c r="B1948"/>
      <c r="C1948"/>
      <c r="L1948"/>
    </row>
    <row r="1949" spans="2:12" x14ac:dyDescent="0.3">
      <c r="B1949"/>
      <c r="C1949"/>
      <c r="L1949"/>
    </row>
    <row r="1950" spans="2:12" x14ac:dyDescent="0.3">
      <c r="B1950"/>
      <c r="C1950"/>
      <c r="L1950"/>
    </row>
    <row r="1951" spans="2:12" x14ac:dyDescent="0.3">
      <c r="B1951"/>
      <c r="C1951"/>
      <c r="L1951"/>
    </row>
    <row r="1952" spans="2:12" x14ac:dyDescent="0.3">
      <c r="B1952"/>
      <c r="C1952"/>
      <c r="L1952"/>
    </row>
    <row r="1953" spans="2:12" x14ac:dyDescent="0.3">
      <c r="B1953"/>
      <c r="C1953"/>
      <c r="L1953"/>
    </row>
    <row r="1954" spans="2:12" x14ac:dyDescent="0.3">
      <c r="B1954"/>
      <c r="C1954"/>
      <c r="L1954"/>
    </row>
    <row r="1955" spans="2:12" x14ac:dyDescent="0.3">
      <c r="B1955"/>
      <c r="C1955"/>
      <c r="L1955"/>
    </row>
    <row r="1956" spans="2:12" x14ac:dyDescent="0.3">
      <c r="B1956"/>
      <c r="C1956"/>
      <c r="L1956"/>
    </row>
    <row r="1957" spans="2:12" x14ac:dyDescent="0.3">
      <c r="B1957"/>
      <c r="C1957"/>
      <c r="L1957"/>
    </row>
    <row r="1958" spans="2:12" x14ac:dyDescent="0.3">
      <c r="B1958"/>
      <c r="C1958"/>
      <c r="L1958"/>
    </row>
    <row r="1959" spans="2:12" x14ac:dyDescent="0.3">
      <c r="B1959"/>
      <c r="C1959"/>
      <c r="L1959"/>
    </row>
    <row r="1960" spans="2:12" x14ac:dyDescent="0.3">
      <c r="B1960"/>
      <c r="C1960"/>
      <c r="L1960"/>
    </row>
    <row r="1961" spans="2:12" x14ac:dyDescent="0.3">
      <c r="B1961"/>
      <c r="C1961"/>
      <c r="L1961"/>
    </row>
    <row r="1962" spans="2:12" x14ac:dyDescent="0.3">
      <c r="B1962"/>
      <c r="C1962"/>
      <c r="L1962"/>
    </row>
    <row r="1963" spans="2:12" x14ac:dyDescent="0.3">
      <c r="B1963"/>
      <c r="C1963"/>
      <c r="L1963"/>
    </row>
    <row r="1964" spans="2:12" x14ac:dyDescent="0.3">
      <c r="B1964"/>
      <c r="C1964"/>
      <c r="L1964"/>
    </row>
    <row r="1965" spans="2:12" x14ac:dyDescent="0.3">
      <c r="B1965"/>
      <c r="C1965"/>
      <c r="L1965"/>
    </row>
    <row r="1966" spans="2:12" x14ac:dyDescent="0.3">
      <c r="B1966"/>
      <c r="C1966"/>
      <c r="L1966"/>
    </row>
    <row r="1967" spans="2:12" x14ac:dyDescent="0.3">
      <c r="B1967"/>
      <c r="C1967"/>
      <c r="L1967"/>
    </row>
    <row r="1968" spans="2:12" x14ac:dyDescent="0.3">
      <c r="B1968"/>
      <c r="C1968"/>
      <c r="L1968"/>
    </row>
    <row r="1969" spans="2:12" x14ac:dyDescent="0.3">
      <c r="B1969"/>
      <c r="C1969"/>
      <c r="L1969"/>
    </row>
    <row r="1970" spans="2:12" x14ac:dyDescent="0.3">
      <c r="B1970"/>
      <c r="C1970"/>
      <c r="L1970"/>
    </row>
    <row r="1971" spans="2:12" x14ac:dyDescent="0.3">
      <c r="B1971"/>
      <c r="C1971"/>
      <c r="L1971"/>
    </row>
    <row r="1972" spans="2:12" x14ac:dyDescent="0.3">
      <c r="B1972"/>
      <c r="C1972"/>
      <c r="L1972"/>
    </row>
    <row r="1973" spans="2:12" x14ac:dyDescent="0.3">
      <c r="B1973"/>
      <c r="C1973"/>
      <c r="L1973"/>
    </row>
    <row r="1974" spans="2:12" x14ac:dyDescent="0.3">
      <c r="B1974"/>
      <c r="C1974"/>
      <c r="L1974"/>
    </row>
    <row r="1975" spans="2:12" x14ac:dyDescent="0.3">
      <c r="B1975"/>
      <c r="C1975"/>
      <c r="L1975"/>
    </row>
    <row r="1976" spans="2:12" x14ac:dyDescent="0.3">
      <c r="B1976"/>
      <c r="C1976"/>
      <c r="L1976"/>
    </row>
    <row r="1977" spans="2:12" x14ac:dyDescent="0.3">
      <c r="B1977"/>
      <c r="C1977"/>
      <c r="L1977"/>
    </row>
    <row r="1978" spans="2:12" x14ac:dyDescent="0.3">
      <c r="B1978"/>
      <c r="C1978"/>
      <c r="L1978"/>
    </row>
    <row r="1979" spans="2:12" x14ac:dyDescent="0.3">
      <c r="B1979"/>
      <c r="C1979"/>
      <c r="L1979"/>
    </row>
    <row r="1980" spans="2:12" x14ac:dyDescent="0.3">
      <c r="B1980"/>
      <c r="C1980"/>
      <c r="L1980"/>
    </row>
    <row r="1981" spans="2:12" x14ac:dyDescent="0.3">
      <c r="B1981"/>
      <c r="C1981"/>
      <c r="L1981"/>
    </row>
    <row r="1982" spans="2:12" x14ac:dyDescent="0.3">
      <c r="B1982"/>
      <c r="C1982"/>
      <c r="L1982"/>
    </row>
    <row r="1983" spans="2:12" x14ac:dyDescent="0.3">
      <c r="B1983"/>
      <c r="C1983"/>
      <c r="L1983"/>
    </row>
    <row r="1984" spans="2:12" x14ac:dyDescent="0.3">
      <c r="B1984"/>
      <c r="C1984"/>
      <c r="L1984"/>
    </row>
    <row r="1985" spans="2:12" x14ac:dyDescent="0.3">
      <c r="B1985"/>
      <c r="C1985"/>
      <c r="L1985"/>
    </row>
    <row r="1986" spans="2:12" x14ac:dyDescent="0.3">
      <c r="B1986"/>
      <c r="C1986"/>
      <c r="L1986"/>
    </row>
    <row r="1987" spans="2:12" x14ac:dyDescent="0.3">
      <c r="B1987"/>
      <c r="C1987"/>
      <c r="L1987"/>
    </row>
    <row r="1988" spans="2:12" x14ac:dyDescent="0.3">
      <c r="B1988"/>
      <c r="C1988"/>
      <c r="L1988"/>
    </row>
    <row r="1989" spans="2:12" x14ac:dyDescent="0.3">
      <c r="B1989"/>
      <c r="C1989"/>
      <c r="L1989"/>
    </row>
    <row r="1990" spans="2:12" x14ac:dyDescent="0.3">
      <c r="B1990"/>
      <c r="C1990"/>
      <c r="L1990"/>
    </row>
    <row r="1991" spans="2:12" x14ac:dyDescent="0.3">
      <c r="B1991"/>
      <c r="C1991"/>
      <c r="L1991"/>
    </row>
    <row r="1992" spans="2:12" x14ac:dyDescent="0.3">
      <c r="B1992"/>
      <c r="C1992"/>
      <c r="L1992"/>
    </row>
    <row r="1993" spans="2:12" x14ac:dyDescent="0.3">
      <c r="B1993"/>
      <c r="C1993"/>
      <c r="L1993"/>
    </row>
    <row r="1994" spans="2:12" x14ac:dyDescent="0.3">
      <c r="B1994"/>
      <c r="C1994"/>
      <c r="L1994"/>
    </row>
    <row r="1995" spans="2:12" x14ac:dyDescent="0.3">
      <c r="B1995"/>
      <c r="C1995"/>
      <c r="L1995"/>
    </row>
    <row r="1996" spans="2:12" x14ac:dyDescent="0.3">
      <c r="B1996"/>
      <c r="C1996"/>
      <c r="L1996"/>
    </row>
    <row r="1997" spans="2:12" x14ac:dyDescent="0.3">
      <c r="B1997"/>
      <c r="C1997"/>
      <c r="L1997"/>
    </row>
    <row r="1998" spans="2:12" x14ac:dyDescent="0.3">
      <c r="B1998"/>
      <c r="C1998"/>
      <c r="L1998"/>
    </row>
    <row r="1999" spans="2:12" x14ac:dyDescent="0.3">
      <c r="B1999"/>
      <c r="C1999"/>
      <c r="L1999"/>
    </row>
    <row r="2000" spans="2:12" x14ac:dyDescent="0.3">
      <c r="B2000"/>
      <c r="C2000"/>
      <c r="L2000"/>
    </row>
    <row r="2001" spans="2:12" x14ac:dyDescent="0.3">
      <c r="B2001"/>
      <c r="C2001"/>
      <c r="L2001"/>
    </row>
    <row r="2002" spans="2:12" x14ac:dyDescent="0.3">
      <c r="B2002"/>
      <c r="C2002"/>
      <c r="L2002"/>
    </row>
    <row r="2003" spans="2:12" x14ac:dyDescent="0.3">
      <c r="B2003"/>
      <c r="C2003"/>
      <c r="L2003"/>
    </row>
    <row r="2004" spans="2:12" x14ac:dyDescent="0.3">
      <c r="B2004"/>
      <c r="C2004"/>
      <c r="L2004"/>
    </row>
    <row r="2005" spans="2:12" x14ac:dyDescent="0.3">
      <c r="B2005"/>
      <c r="C2005"/>
      <c r="L2005"/>
    </row>
    <row r="2006" spans="2:12" x14ac:dyDescent="0.3">
      <c r="B2006"/>
      <c r="C2006"/>
      <c r="L2006"/>
    </row>
    <row r="2007" spans="2:12" x14ac:dyDescent="0.3">
      <c r="B2007"/>
      <c r="C2007"/>
      <c r="L2007"/>
    </row>
    <row r="2008" spans="2:12" x14ac:dyDescent="0.3">
      <c r="B2008"/>
      <c r="C2008"/>
      <c r="L2008"/>
    </row>
    <row r="2009" spans="2:12" x14ac:dyDescent="0.3">
      <c r="B2009"/>
      <c r="C2009"/>
      <c r="L2009"/>
    </row>
    <row r="2010" spans="2:12" x14ac:dyDescent="0.3">
      <c r="B2010"/>
      <c r="C2010"/>
      <c r="L2010"/>
    </row>
    <row r="2011" spans="2:12" x14ac:dyDescent="0.3">
      <c r="B2011"/>
      <c r="C2011"/>
      <c r="L2011"/>
    </row>
    <row r="2012" spans="2:12" x14ac:dyDescent="0.3">
      <c r="B2012"/>
      <c r="C2012"/>
      <c r="L2012"/>
    </row>
    <row r="2013" spans="2:12" x14ac:dyDescent="0.3">
      <c r="B2013"/>
      <c r="C2013"/>
      <c r="L2013"/>
    </row>
    <row r="2014" spans="2:12" x14ac:dyDescent="0.3">
      <c r="B2014"/>
      <c r="C2014"/>
      <c r="L2014"/>
    </row>
    <row r="2015" spans="2:12" x14ac:dyDescent="0.3">
      <c r="B2015"/>
      <c r="C2015"/>
      <c r="L2015"/>
    </row>
    <row r="2016" spans="2:12" x14ac:dyDescent="0.3">
      <c r="B2016"/>
      <c r="C2016"/>
      <c r="L2016"/>
    </row>
    <row r="2017" spans="2:12" x14ac:dyDescent="0.3">
      <c r="B2017"/>
      <c r="C2017"/>
      <c r="L2017"/>
    </row>
    <row r="2018" spans="2:12" x14ac:dyDescent="0.3">
      <c r="B2018"/>
      <c r="C2018"/>
      <c r="L2018"/>
    </row>
    <row r="2019" spans="2:12" x14ac:dyDescent="0.3">
      <c r="B2019"/>
      <c r="C2019"/>
      <c r="L2019"/>
    </row>
    <row r="2020" spans="2:12" x14ac:dyDescent="0.3">
      <c r="B2020"/>
      <c r="C2020"/>
      <c r="L2020"/>
    </row>
    <row r="2021" spans="2:12" x14ac:dyDescent="0.3">
      <c r="B2021"/>
      <c r="C2021"/>
      <c r="L2021"/>
    </row>
    <row r="2022" spans="2:12" x14ac:dyDescent="0.3">
      <c r="B2022"/>
      <c r="C2022"/>
      <c r="L2022"/>
    </row>
    <row r="2023" spans="2:12" x14ac:dyDescent="0.3">
      <c r="B2023"/>
      <c r="C2023"/>
      <c r="L2023"/>
    </row>
    <row r="2024" spans="2:12" x14ac:dyDescent="0.3">
      <c r="B2024"/>
      <c r="C2024"/>
      <c r="L2024"/>
    </row>
    <row r="2025" spans="2:12" x14ac:dyDescent="0.3">
      <c r="B2025"/>
      <c r="C2025"/>
      <c r="L2025"/>
    </row>
    <row r="2026" spans="2:12" x14ac:dyDescent="0.3">
      <c r="B2026"/>
      <c r="C2026"/>
      <c r="L2026"/>
    </row>
    <row r="2027" spans="2:12" x14ac:dyDescent="0.3">
      <c r="B2027"/>
      <c r="C2027"/>
      <c r="L2027"/>
    </row>
    <row r="2028" spans="2:12" x14ac:dyDescent="0.3">
      <c r="B2028"/>
      <c r="C2028"/>
      <c r="L2028"/>
    </row>
    <row r="2029" spans="2:12" x14ac:dyDescent="0.3">
      <c r="B2029"/>
      <c r="C2029"/>
      <c r="L2029"/>
    </row>
    <row r="2030" spans="2:12" x14ac:dyDescent="0.3">
      <c r="B2030"/>
      <c r="C2030"/>
      <c r="L2030"/>
    </row>
    <row r="2031" spans="2:12" x14ac:dyDescent="0.3">
      <c r="B2031"/>
      <c r="C2031"/>
      <c r="L2031"/>
    </row>
    <row r="2032" spans="2:12" x14ac:dyDescent="0.3">
      <c r="B2032"/>
      <c r="C2032"/>
      <c r="L2032"/>
    </row>
    <row r="2033" spans="2:12" x14ac:dyDescent="0.3">
      <c r="B2033"/>
      <c r="C2033"/>
      <c r="L2033"/>
    </row>
    <row r="2034" spans="2:12" x14ac:dyDescent="0.3">
      <c r="B2034"/>
      <c r="C2034"/>
      <c r="L2034"/>
    </row>
    <row r="2035" spans="2:12" x14ac:dyDescent="0.3">
      <c r="B2035"/>
      <c r="C2035"/>
      <c r="L2035"/>
    </row>
    <row r="2036" spans="2:12" x14ac:dyDescent="0.3">
      <c r="B2036"/>
      <c r="C2036"/>
      <c r="L2036"/>
    </row>
    <row r="2037" spans="2:12" x14ac:dyDescent="0.3">
      <c r="B2037"/>
      <c r="C2037"/>
      <c r="L2037"/>
    </row>
    <row r="2038" spans="2:12" x14ac:dyDescent="0.3">
      <c r="B2038"/>
      <c r="C2038"/>
      <c r="L2038"/>
    </row>
    <row r="2039" spans="2:12" x14ac:dyDescent="0.3">
      <c r="B2039"/>
      <c r="C2039"/>
      <c r="L2039"/>
    </row>
    <row r="2040" spans="2:12" x14ac:dyDescent="0.3">
      <c r="B2040"/>
      <c r="C2040"/>
      <c r="L2040"/>
    </row>
    <row r="2041" spans="2:12" x14ac:dyDescent="0.3">
      <c r="B2041"/>
      <c r="C2041"/>
      <c r="L2041"/>
    </row>
    <row r="2042" spans="2:12" x14ac:dyDescent="0.3">
      <c r="B2042"/>
      <c r="C2042"/>
      <c r="L2042"/>
    </row>
    <row r="2043" spans="2:12" x14ac:dyDescent="0.3">
      <c r="B2043"/>
      <c r="C2043"/>
      <c r="L2043"/>
    </row>
    <row r="2044" spans="2:12" x14ac:dyDescent="0.3">
      <c r="B2044"/>
      <c r="C2044"/>
      <c r="L2044"/>
    </row>
    <row r="2045" spans="2:12" x14ac:dyDescent="0.3">
      <c r="B2045"/>
      <c r="C2045"/>
      <c r="L2045"/>
    </row>
    <row r="2046" spans="2:12" x14ac:dyDescent="0.3">
      <c r="B2046"/>
      <c r="C2046"/>
      <c r="L2046"/>
    </row>
    <row r="2047" spans="2:12" x14ac:dyDescent="0.3">
      <c r="B2047"/>
      <c r="C2047"/>
      <c r="L2047"/>
    </row>
    <row r="2048" spans="2:12" x14ac:dyDescent="0.3">
      <c r="B2048"/>
      <c r="C2048"/>
      <c r="L2048"/>
    </row>
    <row r="2049" spans="2:12" x14ac:dyDescent="0.3">
      <c r="B2049"/>
      <c r="C2049"/>
      <c r="L2049"/>
    </row>
    <row r="2050" spans="2:12" x14ac:dyDescent="0.3">
      <c r="B2050"/>
      <c r="C2050"/>
      <c r="L2050"/>
    </row>
    <row r="2051" spans="2:12" x14ac:dyDescent="0.3">
      <c r="B2051"/>
      <c r="C2051"/>
      <c r="L2051"/>
    </row>
    <row r="2052" spans="2:12" x14ac:dyDescent="0.3">
      <c r="B2052"/>
      <c r="C2052"/>
      <c r="L2052"/>
    </row>
    <row r="2053" spans="2:12" x14ac:dyDescent="0.3">
      <c r="B2053"/>
      <c r="C2053"/>
      <c r="L2053"/>
    </row>
    <row r="2054" spans="2:12" x14ac:dyDescent="0.3">
      <c r="B2054"/>
      <c r="C2054"/>
      <c r="L2054"/>
    </row>
    <row r="2055" spans="2:12" x14ac:dyDescent="0.3">
      <c r="B2055"/>
      <c r="C2055"/>
      <c r="L2055"/>
    </row>
    <row r="2056" spans="2:12" x14ac:dyDescent="0.3">
      <c r="B2056"/>
      <c r="C2056"/>
      <c r="L2056"/>
    </row>
    <row r="2057" spans="2:12" x14ac:dyDescent="0.3">
      <c r="B2057"/>
      <c r="C2057"/>
      <c r="L2057"/>
    </row>
    <row r="2058" spans="2:12" x14ac:dyDescent="0.3">
      <c r="B2058"/>
      <c r="C2058"/>
      <c r="L2058"/>
    </row>
    <row r="2059" spans="2:12" x14ac:dyDescent="0.3">
      <c r="B2059"/>
      <c r="C2059"/>
      <c r="L2059"/>
    </row>
    <row r="2060" spans="2:12" x14ac:dyDescent="0.3">
      <c r="B2060"/>
      <c r="C2060"/>
      <c r="L2060"/>
    </row>
    <row r="2061" spans="2:12" x14ac:dyDescent="0.3">
      <c r="B2061"/>
      <c r="C2061"/>
      <c r="L2061"/>
    </row>
    <row r="2062" spans="2:12" x14ac:dyDescent="0.3">
      <c r="B2062"/>
      <c r="C2062"/>
      <c r="L2062"/>
    </row>
    <row r="2063" spans="2:12" x14ac:dyDescent="0.3">
      <c r="B2063"/>
      <c r="C2063"/>
      <c r="L2063"/>
    </row>
    <row r="2064" spans="2:12" x14ac:dyDescent="0.3">
      <c r="B2064"/>
      <c r="C2064"/>
      <c r="L2064"/>
    </row>
    <row r="2065" spans="2:12" x14ac:dyDescent="0.3">
      <c r="B2065"/>
      <c r="C2065"/>
      <c r="L2065"/>
    </row>
    <row r="2066" spans="2:12" x14ac:dyDescent="0.3">
      <c r="B2066"/>
      <c r="C2066"/>
      <c r="L2066"/>
    </row>
    <row r="2067" spans="2:12" x14ac:dyDescent="0.3">
      <c r="B2067"/>
      <c r="C2067"/>
      <c r="L2067"/>
    </row>
    <row r="2068" spans="2:12" x14ac:dyDescent="0.3">
      <c r="B2068"/>
      <c r="C2068"/>
      <c r="L2068"/>
    </row>
    <row r="2069" spans="2:12" x14ac:dyDescent="0.3">
      <c r="B2069"/>
      <c r="C2069"/>
      <c r="L2069"/>
    </row>
    <row r="2070" spans="2:12" x14ac:dyDescent="0.3">
      <c r="B2070"/>
      <c r="C2070"/>
      <c r="L2070"/>
    </row>
    <row r="2071" spans="2:12" x14ac:dyDescent="0.3">
      <c r="B2071"/>
      <c r="C2071"/>
      <c r="L2071"/>
    </row>
    <row r="2072" spans="2:12" x14ac:dyDescent="0.3">
      <c r="B2072"/>
      <c r="C2072"/>
      <c r="L2072"/>
    </row>
    <row r="2073" spans="2:12" x14ac:dyDescent="0.3">
      <c r="B2073"/>
      <c r="C2073"/>
      <c r="L2073"/>
    </row>
    <row r="2074" spans="2:12" x14ac:dyDescent="0.3">
      <c r="B2074"/>
      <c r="C2074"/>
      <c r="L2074"/>
    </row>
    <row r="2075" spans="2:12" x14ac:dyDescent="0.3">
      <c r="B2075"/>
      <c r="C2075"/>
      <c r="L2075"/>
    </row>
    <row r="2076" spans="2:12" x14ac:dyDescent="0.3">
      <c r="B2076"/>
      <c r="C2076"/>
      <c r="L2076"/>
    </row>
    <row r="2077" spans="2:12" x14ac:dyDescent="0.3">
      <c r="B2077"/>
      <c r="C2077"/>
      <c r="L2077"/>
    </row>
    <row r="2078" spans="2:12" x14ac:dyDescent="0.3">
      <c r="B2078"/>
      <c r="C2078"/>
      <c r="L2078"/>
    </row>
    <row r="2079" spans="2:12" x14ac:dyDescent="0.3">
      <c r="B2079"/>
      <c r="C2079"/>
      <c r="L2079"/>
    </row>
    <row r="2080" spans="2:12" x14ac:dyDescent="0.3">
      <c r="B2080"/>
      <c r="C2080"/>
      <c r="L2080"/>
    </row>
    <row r="2081" spans="2:12" x14ac:dyDescent="0.3">
      <c r="B2081"/>
      <c r="C2081"/>
      <c r="L2081"/>
    </row>
    <row r="2082" spans="2:12" x14ac:dyDescent="0.3">
      <c r="B2082"/>
      <c r="C2082"/>
      <c r="L2082"/>
    </row>
    <row r="2083" spans="2:12" x14ac:dyDescent="0.3">
      <c r="B2083"/>
      <c r="C2083"/>
      <c r="L2083"/>
    </row>
    <row r="2084" spans="2:12" x14ac:dyDescent="0.3">
      <c r="B2084"/>
      <c r="C2084"/>
      <c r="L2084"/>
    </row>
    <row r="2085" spans="2:12" x14ac:dyDescent="0.3">
      <c r="B2085"/>
      <c r="C2085"/>
      <c r="L2085"/>
    </row>
    <row r="2086" spans="2:12" x14ac:dyDescent="0.3">
      <c r="B2086"/>
      <c r="C2086"/>
      <c r="L2086"/>
    </row>
    <row r="2087" spans="2:12" x14ac:dyDescent="0.3">
      <c r="B2087"/>
      <c r="C2087"/>
      <c r="L2087"/>
    </row>
    <row r="2088" spans="2:12" x14ac:dyDescent="0.3">
      <c r="B2088"/>
      <c r="C2088"/>
      <c r="L2088"/>
    </row>
    <row r="2089" spans="2:12" x14ac:dyDescent="0.3">
      <c r="B2089"/>
      <c r="C2089"/>
      <c r="L2089"/>
    </row>
    <row r="2090" spans="2:12" x14ac:dyDescent="0.3">
      <c r="B2090"/>
      <c r="C2090"/>
      <c r="L2090"/>
    </row>
    <row r="2091" spans="2:12" x14ac:dyDescent="0.3">
      <c r="B2091"/>
      <c r="C2091"/>
      <c r="L2091"/>
    </row>
    <row r="2092" spans="2:12" x14ac:dyDescent="0.3">
      <c r="B2092"/>
      <c r="C2092"/>
      <c r="L2092"/>
    </row>
    <row r="2093" spans="2:12" x14ac:dyDescent="0.3">
      <c r="B2093"/>
      <c r="C2093"/>
      <c r="L2093"/>
    </row>
    <row r="2094" spans="2:12" x14ac:dyDescent="0.3">
      <c r="B2094"/>
      <c r="C2094"/>
      <c r="L2094"/>
    </row>
    <row r="2095" spans="2:12" x14ac:dyDescent="0.3">
      <c r="B2095"/>
      <c r="C2095"/>
      <c r="L2095"/>
    </row>
    <row r="2096" spans="2:12" x14ac:dyDescent="0.3">
      <c r="B2096"/>
      <c r="C2096"/>
      <c r="L2096"/>
    </row>
    <row r="2097" spans="2:12" x14ac:dyDescent="0.3">
      <c r="B2097"/>
      <c r="C2097"/>
      <c r="L2097"/>
    </row>
    <row r="2098" spans="2:12" x14ac:dyDescent="0.3">
      <c r="B2098"/>
      <c r="C2098"/>
      <c r="L2098"/>
    </row>
    <row r="2099" spans="2:12" x14ac:dyDescent="0.3">
      <c r="B2099"/>
      <c r="C2099"/>
      <c r="L2099"/>
    </row>
    <row r="2100" spans="2:12" x14ac:dyDescent="0.3">
      <c r="B2100"/>
      <c r="C2100"/>
      <c r="L2100"/>
    </row>
    <row r="2101" spans="2:12" x14ac:dyDescent="0.3">
      <c r="B2101"/>
      <c r="C2101"/>
      <c r="L2101"/>
    </row>
    <row r="2102" spans="2:12" x14ac:dyDescent="0.3">
      <c r="B2102"/>
      <c r="C2102"/>
      <c r="L2102"/>
    </row>
    <row r="2103" spans="2:12" x14ac:dyDescent="0.3">
      <c r="B2103"/>
      <c r="C2103"/>
      <c r="L2103"/>
    </row>
    <row r="2104" spans="2:12" x14ac:dyDescent="0.3">
      <c r="B2104"/>
      <c r="C2104"/>
      <c r="L2104"/>
    </row>
    <row r="2105" spans="2:12" x14ac:dyDescent="0.3">
      <c r="B2105"/>
      <c r="C2105"/>
      <c r="L2105"/>
    </row>
    <row r="2106" spans="2:12" x14ac:dyDescent="0.3">
      <c r="B2106"/>
      <c r="C2106"/>
      <c r="L2106"/>
    </row>
    <row r="2107" spans="2:12" x14ac:dyDescent="0.3">
      <c r="B2107"/>
      <c r="C2107"/>
      <c r="L2107"/>
    </row>
    <row r="2108" spans="2:12" x14ac:dyDescent="0.3">
      <c r="B2108"/>
      <c r="C2108"/>
      <c r="L2108"/>
    </row>
    <row r="2109" spans="2:12" x14ac:dyDescent="0.3">
      <c r="B2109"/>
      <c r="C2109"/>
      <c r="L2109"/>
    </row>
    <row r="2110" spans="2:12" x14ac:dyDescent="0.3">
      <c r="B2110"/>
      <c r="C2110"/>
      <c r="L2110"/>
    </row>
    <row r="2111" spans="2:12" x14ac:dyDescent="0.3">
      <c r="B2111"/>
      <c r="C2111"/>
      <c r="L2111"/>
    </row>
    <row r="2112" spans="2:12" x14ac:dyDescent="0.3">
      <c r="B2112"/>
      <c r="C2112"/>
      <c r="L2112"/>
    </row>
    <row r="2113" spans="2:12" x14ac:dyDescent="0.3">
      <c r="B2113"/>
      <c r="C2113"/>
      <c r="L2113"/>
    </row>
    <row r="2114" spans="2:12" x14ac:dyDescent="0.3">
      <c r="B2114"/>
      <c r="C2114"/>
      <c r="L2114"/>
    </row>
    <row r="2115" spans="2:12" x14ac:dyDescent="0.3">
      <c r="B2115"/>
      <c r="C2115"/>
      <c r="L2115"/>
    </row>
    <row r="2116" spans="2:12" x14ac:dyDescent="0.3">
      <c r="B2116"/>
      <c r="C2116"/>
      <c r="L2116"/>
    </row>
    <row r="2117" spans="2:12" x14ac:dyDescent="0.3">
      <c r="B2117"/>
      <c r="C2117"/>
      <c r="L2117"/>
    </row>
    <row r="2118" spans="2:12" x14ac:dyDescent="0.3">
      <c r="B2118"/>
      <c r="C2118"/>
      <c r="L2118"/>
    </row>
    <row r="2119" spans="2:12" x14ac:dyDescent="0.3">
      <c r="B2119"/>
      <c r="C2119"/>
      <c r="L2119"/>
    </row>
    <row r="2120" spans="2:12" x14ac:dyDescent="0.3">
      <c r="B2120"/>
      <c r="C2120"/>
      <c r="L2120"/>
    </row>
    <row r="2121" spans="2:12" x14ac:dyDescent="0.3">
      <c r="B2121"/>
      <c r="C2121"/>
      <c r="L2121"/>
    </row>
    <row r="2122" spans="2:12" x14ac:dyDescent="0.3">
      <c r="B2122"/>
      <c r="C2122"/>
      <c r="L2122"/>
    </row>
    <row r="2123" spans="2:12" x14ac:dyDescent="0.3">
      <c r="B2123"/>
      <c r="C2123"/>
      <c r="L2123"/>
    </row>
    <row r="2124" spans="2:12" x14ac:dyDescent="0.3">
      <c r="B2124"/>
      <c r="C2124"/>
      <c r="L2124"/>
    </row>
    <row r="2125" spans="2:12" x14ac:dyDescent="0.3">
      <c r="B2125"/>
      <c r="C2125"/>
      <c r="L2125"/>
    </row>
    <row r="2126" spans="2:12" x14ac:dyDescent="0.3">
      <c r="B2126"/>
      <c r="C2126"/>
      <c r="L2126"/>
    </row>
    <row r="2127" spans="2:12" x14ac:dyDescent="0.3">
      <c r="B2127"/>
      <c r="C2127"/>
      <c r="L2127"/>
    </row>
    <row r="2128" spans="2:12" x14ac:dyDescent="0.3">
      <c r="B2128"/>
      <c r="C2128"/>
      <c r="L2128"/>
    </row>
    <row r="2129" spans="2:12" x14ac:dyDescent="0.3">
      <c r="B2129"/>
      <c r="C2129"/>
      <c r="L2129"/>
    </row>
    <row r="2130" spans="2:12" x14ac:dyDescent="0.3">
      <c r="B2130"/>
      <c r="C2130"/>
      <c r="L2130"/>
    </row>
    <row r="2131" spans="2:12" x14ac:dyDescent="0.3">
      <c r="B2131"/>
      <c r="C2131"/>
      <c r="L2131"/>
    </row>
    <row r="2132" spans="2:12" x14ac:dyDescent="0.3">
      <c r="B2132"/>
      <c r="C2132"/>
      <c r="L2132"/>
    </row>
    <row r="2133" spans="2:12" x14ac:dyDescent="0.3">
      <c r="B2133"/>
      <c r="C2133"/>
      <c r="L2133"/>
    </row>
    <row r="2134" spans="2:12" x14ac:dyDescent="0.3">
      <c r="B2134"/>
      <c r="C2134"/>
      <c r="L2134"/>
    </row>
    <row r="2135" spans="2:12" x14ac:dyDescent="0.3">
      <c r="B2135"/>
      <c r="C2135"/>
      <c r="L2135"/>
    </row>
    <row r="2136" spans="2:12" x14ac:dyDescent="0.3">
      <c r="B2136"/>
      <c r="C2136"/>
      <c r="L2136"/>
    </row>
    <row r="2137" spans="2:12" x14ac:dyDescent="0.3">
      <c r="B2137"/>
      <c r="C2137"/>
      <c r="L2137"/>
    </row>
    <row r="2138" spans="2:12" x14ac:dyDescent="0.3">
      <c r="B2138"/>
      <c r="C2138"/>
      <c r="L2138"/>
    </row>
    <row r="2139" spans="2:12" x14ac:dyDescent="0.3">
      <c r="B2139"/>
      <c r="C2139"/>
      <c r="L2139"/>
    </row>
    <row r="2140" spans="2:12" x14ac:dyDescent="0.3">
      <c r="B2140"/>
      <c r="C2140"/>
      <c r="L2140"/>
    </row>
    <row r="2141" spans="2:12" x14ac:dyDescent="0.3">
      <c r="B2141"/>
      <c r="C2141"/>
      <c r="L2141"/>
    </row>
    <row r="2142" spans="2:12" x14ac:dyDescent="0.3">
      <c r="B2142"/>
      <c r="C2142"/>
      <c r="L2142"/>
    </row>
    <row r="2143" spans="2:12" x14ac:dyDescent="0.3">
      <c r="B2143"/>
      <c r="C2143"/>
      <c r="L2143"/>
    </row>
    <row r="2144" spans="2:12" x14ac:dyDescent="0.3">
      <c r="B2144"/>
      <c r="C2144"/>
      <c r="L2144"/>
    </row>
    <row r="2145" spans="2:12" x14ac:dyDescent="0.3">
      <c r="B2145"/>
      <c r="C2145"/>
      <c r="L2145"/>
    </row>
    <row r="2146" spans="2:12" x14ac:dyDescent="0.3">
      <c r="B2146"/>
      <c r="C2146"/>
      <c r="L2146"/>
    </row>
    <row r="2147" spans="2:12" x14ac:dyDescent="0.3">
      <c r="B2147"/>
      <c r="C2147"/>
      <c r="L2147"/>
    </row>
    <row r="2148" spans="2:12" x14ac:dyDescent="0.3">
      <c r="B2148"/>
      <c r="C2148"/>
      <c r="L2148"/>
    </row>
    <row r="2149" spans="2:12" x14ac:dyDescent="0.3">
      <c r="B2149"/>
      <c r="C2149"/>
      <c r="L2149"/>
    </row>
    <row r="2150" spans="2:12" x14ac:dyDescent="0.3">
      <c r="B2150"/>
      <c r="C2150"/>
      <c r="L2150"/>
    </row>
    <row r="2151" spans="2:12" x14ac:dyDescent="0.3">
      <c r="B2151"/>
      <c r="C2151"/>
      <c r="L2151"/>
    </row>
    <row r="2152" spans="2:12" x14ac:dyDescent="0.3">
      <c r="B2152"/>
      <c r="C2152"/>
      <c r="L2152"/>
    </row>
    <row r="2153" spans="2:12" x14ac:dyDescent="0.3">
      <c r="B2153"/>
      <c r="C2153"/>
      <c r="L2153"/>
    </row>
    <row r="2154" spans="2:12" x14ac:dyDescent="0.3">
      <c r="B2154"/>
      <c r="C2154"/>
      <c r="L2154"/>
    </row>
    <row r="2155" spans="2:12" x14ac:dyDescent="0.3">
      <c r="B2155"/>
      <c r="C2155"/>
      <c r="L2155"/>
    </row>
    <row r="2156" spans="2:12" x14ac:dyDescent="0.3">
      <c r="B2156"/>
      <c r="C2156"/>
      <c r="L2156"/>
    </row>
    <row r="2157" spans="2:12" x14ac:dyDescent="0.3">
      <c r="B2157"/>
      <c r="C2157"/>
      <c r="L2157"/>
    </row>
    <row r="2158" spans="2:12" x14ac:dyDescent="0.3">
      <c r="B2158"/>
      <c r="C2158"/>
      <c r="L2158"/>
    </row>
    <row r="2159" spans="2:12" x14ac:dyDescent="0.3">
      <c r="B2159"/>
      <c r="C2159"/>
      <c r="L2159"/>
    </row>
    <row r="2160" spans="2:12" x14ac:dyDescent="0.3">
      <c r="B2160"/>
      <c r="C2160"/>
      <c r="L2160"/>
    </row>
    <row r="2161" spans="2:12" x14ac:dyDescent="0.3">
      <c r="B2161"/>
      <c r="C2161"/>
      <c r="L2161"/>
    </row>
    <row r="2162" spans="2:12" x14ac:dyDescent="0.3">
      <c r="B2162"/>
      <c r="C2162"/>
      <c r="L2162"/>
    </row>
    <row r="2163" spans="2:12" x14ac:dyDescent="0.3">
      <c r="B2163"/>
      <c r="C2163"/>
      <c r="L2163"/>
    </row>
    <row r="2164" spans="2:12" x14ac:dyDescent="0.3">
      <c r="B2164"/>
      <c r="C2164"/>
      <c r="L2164"/>
    </row>
    <row r="2165" spans="2:12" x14ac:dyDescent="0.3">
      <c r="B2165"/>
      <c r="C2165"/>
      <c r="L2165"/>
    </row>
    <row r="2166" spans="2:12" x14ac:dyDescent="0.3">
      <c r="B2166"/>
      <c r="C2166"/>
      <c r="L2166"/>
    </row>
    <row r="2167" spans="2:12" x14ac:dyDescent="0.3">
      <c r="B2167"/>
      <c r="C2167"/>
      <c r="L2167"/>
    </row>
    <row r="2168" spans="2:12" x14ac:dyDescent="0.3">
      <c r="B2168"/>
      <c r="C2168"/>
      <c r="L2168"/>
    </row>
    <row r="2169" spans="2:12" x14ac:dyDescent="0.3">
      <c r="B2169"/>
      <c r="C2169"/>
      <c r="L2169"/>
    </row>
    <row r="2170" spans="2:12" x14ac:dyDescent="0.3">
      <c r="B2170"/>
      <c r="C2170"/>
      <c r="L2170"/>
    </row>
    <row r="2171" spans="2:12" x14ac:dyDescent="0.3">
      <c r="B2171"/>
      <c r="C2171"/>
      <c r="L2171"/>
    </row>
    <row r="2172" spans="2:12" x14ac:dyDescent="0.3">
      <c r="B2172"/>
      <c r="C2172"/>
      <c r="L2172"/>
    </row>
    <row r="2173" spans="2:12" x14ac:dyDescent="0.3">
      <c r="B2173"/>
      <c r="C2173"/>
      <c r="L2173"/>
    </row>
    <row r="2174" spans="2:12" x14ac:dyDescent="0.3">
      <c r="B2174"/>
      <c r="C2174"/>
      <c r="L2174"/>
    </row>
    <row r="2175" spans="2:12" x14ac:dyDescent="0.3">
      <c r="B2175"/>
      <c r="C2175"/>
      <c r="L2175"/>
    </row>
    <row r="2176" spans="2:12" x14ac:dyDescent="0.3">
      <c r="B2176"/>
      <c r="C2176"/>
      <c r="L2176"/>
    </row>
    <row r="2177" spans="2:12" x14ac:dyDescent="0.3">
      <c r="B2177"/>
      <c r="C2177"/>
      <c r="L2177"/>
    </row>
    <row r="2178" spans="2:12" x14ac:dyDescent="0.3">
      <c r="B2178"/>
      <c r="C2178"/>
      <c r="L2178"/>
    </row>
    <row r="2179" spans="2:12" x14ac:dyDescent="0.3">
      <c r="B2179"/>
      <c r="C2179"/>
      <c r="L2179"/>
    </row>
    <row r="2180" spans="2:12" x14ac:dyDescent="0.3">
      <c r="B2180"/>
      <c r="C2180"/>
      <c r="L2180"/>
    </row>
    <row r="2181" spans="2:12" x14ac:dyDescent="0.3">
      <c r="B2181"/>
      <c r="C2181"/>
      <c r="L2181"/>
    </row>
    <row r="2182" spans="2:12" x14ac:dyDescent="0.3">
      <c r="B2182"/>
      <c r="C2182"/>
      <c r="L2182"/>
    </row>
    <row r="2183" spans="2:12" x14ac:dyDescent="0.3">
      <c r="B2183"/>
      <c r="C2183"/>
      <c r="L2183"/>
    </row>
    <row r="2184" spans="2:12" x14ac:dyDescent="0.3">
      <c r="B2184"/>
      <c r="C2184"/>
      <c r="L2184"/>
    </row>
    <row r="2185" spans="2:12" x14ac:dyDescent="0.3">
      <c r="B2185"/>
      <c r="C2185"/>
      <c r="L2185"/>
    </row>
    <row r="2186" spans="2:12" x14ac:dyDescent="0.3">
      <c r="B2186"/>
      <c r="C2186"/>
      <c r="L2186"/>
    </row>
    <row r="2187" spans="2:12" x14ac:dyDescent="0.3">
      <c r="B2187"/>
      <c r="C2187"/>
      <c r="L2187"/>
    </row>
    <row r="2188" spans="2:12" x14ac:dyDescent="0.3">
      <c r="B2188"/>
      <c r="C2188"/>
      <c r="L2188"/>
    </row>
    <row r="2189" spans="2:12" x14ac:dyDescent="0.3">
      <c r="B2189"/>
      <c r="C2189"/>
      <c r="L2189"/>
    </row>
    <row r="2190" spans="2:12" x14ac:dyDescent="0.3">
      <c r="B2190"/>
      <c r="C2190"/>
      <c r="L2190"/>
    </row>
    <row r="2191" spans="2:12" x14ac:dyDescent="0.3">
      <c r="B2191"/>
      <c r="C2191"/>
      <c r="L2191"/>
    </row>
    <row r="2192" spans="2:12" x14ac:dyDescent="0.3">
      <c r="B2192"/>
      <c r="C2192"/>
      <c r="L2192"/>
    </row>
    <row r="2193" spans="2:12" x14ac:dyDescent="0.3">
      <c r="B2193"/>
      <c r="C2193"/>
      <c r="L2193"/>
    </row>
    <row r="2194" spans="2:12" x14ac:dyDescent="0.3">
      <c r="B2194"/>
      <c r="C2194"/>
      <c r="L2194"/>
    </row>
    <row r="2195" spans="2:12" x14ac:dyDescent="0.3">
      <c r="B2195"/>
      <c r="C2195"/>
      <c r="L2195"/>
    </row>
    <row r="2196" spans="2:12" x14ac:dyDescent="0.3">
      <c r="B2196"/>
      <c r="C2196"/>
      <c r="L2196"/>
    </row>
    <row r="2197" spans="2:12" x14ac:dyDescent="0.3">
      <c r="B2197"/>
      <c r="C2197"/>
      <c r="L2197"/>
    </row>
    <row r="2198" spans="2:12" x14ac:dyDescent="0.3">
      <c r="B2198"/>
      <c r="C2198"/>
      <c r="L2198"/>
    </row>
    <row r="2199" spans="2:12" x14ac:dyDescent="0.3">
      <c r="B2199"/>
      <c r="C2199"/>
      <c r="L2199"/>
    </row>
    <row r="2200" spans="2:12" x14ac:dyDescent="0.3">
      <c r="B2200"/>
      <c r="C2200"/>
      <c r="L2200"/>
    </row>
    <row r="2201" spans="2:12" x14ac:dyDescent="0.3">
      <c r="B2201"/>
      <c r="C2201"/>
      <c r="L2201"/>
    </row>
    <row r="2202" spans="2:12" x14ac:dyDescent="0.3">
      <c r="B2202"/>
      <c r="C2202"/>
      <c r="L2202"/>
    </row>
    <row r="2203" spans="2:12" x14ac:dyDescent="0.3">
      <c r="B2203"/>
      <c r="C2203"/>
      <c r="L2203"/>
    </row>
    <row r="2204" spans="2:12" x14ac:dyDescent="0.3">
      <c r="B2204"/>
      <c r="C2204"/>
      <c r="L2204"/>
    </row>
    <row r="2205" spans="2:12" x14ac:dyDescent="0.3">
      <c r="B2205"/>
      <c r="C2205"/>
      <c r="L2205"/>
    </row>
    <row r="2206" spans="2:12" x14ac:dyDescent="0.3">
      <c r="B2206"/>
      <c r="C2206"/>
      <c r="L2206"/>
    </row>
    <row r="2207" spans="2:12" x14ac:dyDescent="0.3">
      <c r="B2207"/>
      <c r="C2207"/>
      <c r="L2207"/>
    </row>
    <row r="2208" spans="2:12" x14ac:dyDescent="0.3">
      <c r="B2208"/>
      <c r="C2208"/>
      <c r="L2208"/>
    </row>
    <row r="2209" spans="2:12" x14ac:dyDescent="0.3">
      <c r="B2209"/>
      <c r="C2209"/>
      <c r="L2209"/>
    </row>
    <row r="2210" spans="2:12" x14ac:dyDescent="0.3">
      <c r="B2210"/>
      <c r="C2210"/>
      <c r="L2210"/>
    </row>
    <row r="2211" spans="2:12" x14ac:dyDescent="0.3">
      <c r="B2211"/>
      <c r="C2211"/>
      <c r="L2211"/>
    </row>
    <row r="2212" spans="2:12" x14ac:dyDescent="0.3">
      <c r="B2212"/>
      <c r="C2212"/>
      <c r="L2212"/>
    </row>
    <row r="2213" spans="2:12" x14ac:dyDescent="0.3">
      <c r="B2213"/>
      <c r="C2213"/>
      <c r="L2213"/>
    </row>
    <row r="2214" spans="2:12" x14ac:dyDescent="0.3">
      <c r="B2214"/>
      <c r="C2214"/>
      <c r="L2214"/>
    </row>
    <row r="2215" spans="2:12" x14ac:dyDescent="0.3">
      <c r="B2215"/>
      <c r="C2215"/>
      <c r="L2215"/>
    </row>
    <row r="2216" spans="2:12" x14ac:dyDescent="0.3">
      <c r="B2216"/>
      <c r="C2216"/>
      <c r="L2216"/>
    </row>
    <row r="2217" spans="2:12" x14ac:dyDescent="0.3">
      <c r="B2217"/>
      <c r="C2217"/>
      <c r="L2217"/>
    </row>
    <row r="2218" spans="2:12" x14ac:dyDescent="0.3">
      <c r="B2218"/>
      <c r="C2218"/>
      <c r="L2218"/>
    </row>
    <row r="2219" spans="2:12" x14ac:dyDescent="0.3">
      <c r="B2219"/>
      <c r="C2219"/>
      <c r="L2219"/>
    </row>
    <row r="2220" spans="2:12" x14ac:dyDescent="0.3">
      <c r="B2220"/>
      <c r="C2220"/>
      <c r="L2220"/>
    </row>
    <row r="2221" spans="2:12" x14ac:dyDescent="0.3">
      <c r="B2221"/>
      <c r="C2221"/>
      <c r="L2221"/>
    </row>
    <row r="2222" spans="2:12" x14ac:dyDescent="0.3">
      <c r="B2222"/>
      <c r="C2222"/>
      <c r="L2222"/>
    </row>
    <row r="2223" spans="2:12" x14ac:dyDescent="0.3">
      <c r="B2223"/>
      <c r="C2223"/>
      <c r="L2223"/>
    </row>
    <row r="2224" spans="2:12" x14ac:dyDescent="0.3">
      <c r="B2224"/>
      <c r="C2224"/>
      <c r="L2224"/>
    </row>
    <row r="2225" spans="2:12" x14ac:dyDescent="0.3">
      <c r="B2225"/>
      <c r="C2225"/>
      <c r="L2225"/>
    </row>
    <row r="2226" spans="2:12" x14ac:dyDescent="0.3">
      <c r="B2226"/>
      <c r="C2226"/>
      <c r="L2226"/>
    </row>
    <row r="2227" spans="2:12" x14ac:dyDescent="0.3">
      <c r="B2227"/>
      <c r="C2227"/>
      <c r="L2227"/>
    </row>
    <row r="2228" spans="2:12" x14ac:dyDescent="0.3">
      <c r="B2228"/>
      <c r="C2228"/>
      <c r="L2228"/>
    </row>
    <row r="2229" spans="2:12" x14ac:dyDescent="0.3">
      <c r="B2229"/>
      <c r="C2229"/>
      <c r="L2229"/>
    </row>
    <row r="2230" spans="2:12" x14ac:dyDescent="0.3">
      <c r="B2230"/>
      <c r="C2230"/>
      <c r="L2230"/>
    </row>
    <row r="2231" spans="2:12" x14ac:dyDescent="0.3">
      <c r="B2231"/>
      <c r="C2231"/>
      <c r="L2231"/>
    </row>
    <row r="2232" spans="2:12" x14ac:dyDescent="0.3">
      <c r="B2232"/>
      <c r="C2232"/>
      <c r="L2232"/>
    </row>
    <row r="2233" spans="2:12" x14ac:dyDescent="0.3">
      <c r="B2233"/>
      <c r="C2233"/>
      <c r="L2233"/>
    </row>
    <row r="2234" spans="2:12" x14ac:dyDescent="0.3">
      <c r="B2234"/>
      <c r="C2234"/>
      <c r="L2234"/>
    </row>
    <row r="2235" spans="2:12" x14ac:dyDescent="0.3">
      <c r="B2235"/>
      <c r="C2235"/>
      <c r="L2235"/>
    </row>
    <row r="2236" spans="2:12" x14ac:dyDescent="0.3">
      <c r="B2236"/>
      <c r="C2236"/>
      <c r="L2236"/>
    </row>
    <row r="2237" spans="2:12" x14ac:dyDescent="0.3">
      <c r="B2237"/>
      <c r="C2237"/>
      <c r="L2237"/>
    </row>
    <row r="2238" spans="2:12" x14ac:dyDescent="0.3">
      <c r="B2238"/>
      <c r="C2238"/>
      <c r="L2238"/>
    </row>
    <row r="2239" spans="2:12" x14ac:dyDescent="0.3">
      <c r="B2239"/>
      <c r="C2239"/>
      <c r="L2239"/>
    </row>
    <row r="2240" spans="2:12" x14ac:dyDescent="0.3">
      <c r="B2240"/>
      <c r="C2240"/>
      <c r="L2240"/>
    </row>
    <row r="2241" spans="2:12" x14ac:dyDescent="0.3">
      <c r="B2241"/>
      <c r="C2241"/>
      <c r="L2241"/>
    </row>
    <row r="2242" spans="2:12" x14ac:dyDescent="0.3">
      <c r="B2242"/>
      <c r="C2242"/>
      <c r="L2242"/>
    </row>
    <row r="2243" spans="2:12" x14ac:dyDescent="0.3">
      <c r="B2243"/>
      <c r="C2243"/>
      <c r="L2243"/>
    </row>
    <row r="2244" spans="2:12" x14ac:dyDescent="0.3">
      <c r="B2244"/>
      <c r="C2244"/>
      <c r="L2244"/>
    </row>
    <row r="2245" spans="2:12" x14ac:dyDescent="0.3">
      <c r="B2245"/>
      <c r="C2245"/>
      <c r="L2245"/>
    </row>
    <row r="2246" spans="2:12" x14ac:dyDescent="0.3">
      <c r="B2246"/>
      <c r="C2246"/>
      <c r="L2246"/>
    </row>
    <row r="2247" spans="2:12" x14ac:dyDescent="0.3">
      <c r="B2247"/>
      <c r="C2247"/>
      <c r="L2247"/>
    </row>
    <row r="2248" spans="2:12" x14ac:dyDescent="0.3">
      <c r="B2248"/>
      <c r="C2248"/>
      <c r="L2248"/>
    </row>
    <row r="2249" spans="2:12" x14ac:dyDescent="0.3">
      <c r="B2249"/>
      <c r="C2249"/>
      <c r="L2249"/>
    </row>
    <row r="2250" spans="2:12" x14ac:dyDescent="0.3">
      <c r="B2250"/>
      <c r="C2250"/>
      <c r="L2250"/>
    </row>
    <row r="2251" spans="2:12" x14ac:dyDescent="0.3">
      <c r="B2251"/>
      <c r="C2251"/>
      <c r="L2251"/>
    </row>
    <row r="2252" spans="2:12" x14ac:dyDescent="0.3">
      <c r="B2252"/>
      <c r="C2252"/>
      <c r="L2252"/>
    </row>
    <row r="2253" spans="2:12" x14ac:dyDescent="0.3">
      <c r="B2253"/>
      <c r="C2253"/>
      <c r="L2253"/>
    </row>
    <row r="2254" spans="2:12" x14ac:dyDescent="0.3">
      <c r="B2254"/>
      <c r="C2254"/>
      <c r="L2254"/>
    </row>
    <row r="2255" spans="2:12" x14ac:dyDescent="0.3">
      <c r="B2255"/>
      <c r="C2255"/>
      <c r="L2255"/>
    </row>
    <row r="2256" spans="2:12" x14ac:dyDescent="0.3">
      <c r="B2256"/>
      <c r="C2256"/>
      <c r="L2256"/>
    </row>
    <row r="2257" spans="2:12" x14ac:dyDescent="0.3">
      <c r="B2257"/>
      <c r="C2257"/>
      <c r="L2257"/>
    </row>
    <row r="2258" spans="2:12" x14ac:dyDescent="0.3">
      <c r="B2258"/>
      <c r="C2258"/>
      <c r="L2258"/>
    </row>
    <row r="2259" spans="2:12" x14ac:dyDescent="0.3">
      <c r="B2259"/>
      <c r="C2259"/>
      <c r="L2259"/>
    </row>
    <row r="2260" spans="2:12" x14ac:dyDescent="0.3">
      <c r="B2260"/>
      <c r="C2260"/>
      <c r="L2260"/>
    </row>
    <row r="2261" spans="2:12" x14ac:dyDescent="0.3">
      <c r="B2261"/>
      <c r="C2261"/>
      <c r="L2261"/>
    </row>
    <row r="2262" spans="2:12" x14ac:dyDescent="0.3">
      <c r="B2262"/>
      <c r="C2262"/>
      <c r="L2262"/>
    </row>
    <row r="2263" spans="2:12" x14ac:dyDescent="0.3">
      <c r="B2263"/>
      <c r="C2263"/>
      <c r="L2263"/>
    </row>
    <row r="2264" spans="2:12" x14ac:dyDescent="0.3">
      <c r="B2264"/>
      <c r="C2264"/>
      <c r="L2264"/>
    </row>
    <row r="2265" spans="2:12" x14ac:dyDescent="0.3">
      <c r="B2265"/>
      <c r="C2265"/>
      <c r="L2265"/>
    </row>
    <row r="2266" spans="2:12" x14ac:dyDescent="0.3">
      <c r="B2266"/>
      <c r="C2266"/>
      <c r="L2266"/>
    </row>
    <row r="2267" spans="2:12" x14ac:dyDescent="0.3">
      <c r="B2267"/>
      <c r="C2267"/>
      <c r="L2267"/>
    </row>
    <row r="2268" spans="2:12" x14ac:dyDescent="0.3">
      <c r="B2268"/>
      <c r="C2268"/>
      <c r="L2268"/>
    </row>
    <row r="2269" spans="2:12" x14ac:dyDescent="0.3">
      <c r="B2269"/>
      <c r="C2269"/>
      <c r="L2269"/>
    </row>
    <row r="2270" spans="2:12" x14ac:dyDescent="0.3">
      <c r="B2270"/>
      <c r="C2270"/>
      <c r="L2270"/>
    </row>
    <row r="2271" spans="2:12" x14ac:dyDescent="0.3">
      <c r="B2271"/>
      <c r="C2271"/>
      <c r="L2271"/>
    </row>
    <row r="2272" spans="2:12" x14ac:dyDescent="0.3">
      <c r="B2272"/>
      <c r="C2272"/>
      <c r="L2272"/>
    </row>
    <row r="2273" spans="2:12" x14ac:dyDescent="0.3">
      <c r="B2273"/>
      <c r="C2273"/>
      <c r="L2273"/>
    </row>
    <row r="2274" spans="2:12" x14ac:dyDescent="0.3">
      <c r="B2274"/>
      <c r="C2274"/>
      <c r="L2274"/>
    </row>
    <row r="2275" spans="2:12" x14ac:dyDescent="0.3">
      <c r="B2275"/>
      <c r="C2275"/>
      <c r="L2275"/>
    </row>
    <row r="2276" spans="2:12" x14ac:dyDescent="0.3">
      <c r="B2276"/>
      <c r="C2276"/>
      <c r="L2276"/>
    </row>
    <row r="2277" spans="2:12" x14ac:dyDescent="0.3">
      <c r="B2277"/>
      <c r="C2277"/>
      <c r="L2277"/>
    </row>
    <row r="2278" spans="2:12" x14ac:dyDescent="0.3">
      <c r="B2278"/>
      <c r="C2278"/>
      <c r="L2278"/>
    </row>
    <row r="2279" spans="2:12" x14ac:dyDescent="0.3">
      <c r="B2279"/>
      <c r="C2279"/>
      <c r="L2279"/>
    </row>
    <row r="2280" spans="2:12" x14ac:dyDescent="0.3">
      <c r="B2280"/>
      <c r="C2280"/>
      <c r="L2280"/>
    </row>
    <row r="2281" spans="2:12" x14ac:dyDescent="0.3">
      <c r="B2281"/>
      <c r="C2281"/>
      <c r="L2281"/>
    </row>
    <row r="2282" spans="2:12" x14ac:dyDescent="0.3">
      <c r="B2282"/>
      <c r="C2282"/>
      <c r="L2282"/>
    </row>
    <row r="2283" spans="2:12" x14ac:dyDescent="0.3">
      <c r="B2283"/>
      <c r="C2283"/>
      <c r="L2283"/>
    </row>
    <row r="2284" spans="2:12" x14ac:dyDescent="0.3">
      <c r="B2284"/>
      <c r="C2284"/>
      <c r="L2284"/>
    </row>
    <row r="2285" spans="2:12" x14ac:dyDescent="0.3">
      <c r="B2285"/>
      <c r="C2285"/>
      <c r="L2285"/>
    </row>
    <row r="2286" spans="2:12" x14ac:dyDescent="0.3">
      <c r="B2286"/>
      <c r="C2286"/>
      <c r="L2286"/>
    </row>
    <row r="2287" spans="2:12" x14ac:dyDescent="0.3">
      <c r="B2287"/>
      <c r="C2287"/>
      <c r="L2287"/>
    </row>
    <row r="2288" spans="2:12" x14ac:dyDescent="0.3">
      <c r="B2288"/>
      <c r="C2288"/>
      <c r="L2288"/>
    </row>
    <row r="2289" spans="2:12" x14ac:dyDescent="0.3">
      <c r="B2289"/>
      <c r="C2289"/>
      <c r="L2289"/>
    </row>
    <row r="2290" spans="2:12" x14ac:dyDescent="0.3">
      <c r="B2290"/>
      <c r="C2290"/>
      <c r="L2290"/>
    </row>
    <row r="2291" spans="2:12" x14ac:dyDescent="0.3">
      <c r="B2291"/>
      <c r="C2291"/>
      <c r="L2291"/>
    </row>
    <row r="2292" spans="2:12" x14ac:dyDescent="0.3">
      <c r="B2292"/>
      <c r="C2292"/>
      <c r="L2292"/>
    </row>
    <row r="2293" spans="2:12" x14ac:dyDescent="0.3">
      <c r="B2293"/>
      <c r="C2293"/>
      <c r="L2293"/>
    </row>
    <row r="2294" spans="2:12" x14ac:dyDescent="0.3">
      <c r="B2294"/>
      <c r="C2294"/>
      <c r="L2294"/>
    </row>
    <row r="2295" spans="2:12" x14ac:dyDescent="0.3">
      <c r="B2295"/>
      <c r="C2295"/>
      <c r="L2295"/>
    </row>
    <row r="2296" spans="2:12" x14ac:dyDescent="0.3">
      <c r="B2296"/>
      <c r="C2296"/>
      <c r="L2296"/>
    </row>
    <row r="2297" spans="2:12" x14ac:dyDescent="0.3">
      <c r="B2297"/>
      <c r="C2297"/>
      <c r="L2297"/>
    </row>
    <row r="2298" spans="2:12" x14ac:dyDescent="0.3">
      <c r="B2298"/>
      <c r="C2298"/>
      <c r="L2298"/>
    </row>
    <row r="2299" spans="2:12" x14ac:dyDescent="0.3">
      <c r="B2299"/>
      <c r="C2299"/>
      <c r="L2299"/>
    </row>
    <row r="2300" spans="2:12" x14ac:dyDescent="0.3">
      <c r="B2300"/>
      <c r="C2300"/>
      <c r="L2300"/>
    </row>
    <row r="2301" spans="2:12" x14ac:dyDescent="0.3">
      <c r="B2301"/>
      <c r="C2301"/>
      <c r="L2301"/>
    </row>
    <row r="2302" spans="2:12" x14ac:dyDescent="0.3">
      <c r="B2302"/>
      <c r="C2302"/>
      <c r="L2302"/>
    </row>
    <row r="2303" spans="2:12" x14ac:dyDescent="0.3">
      <c r="B2303"/>
      <c r="C2303"/>
      <c r="L2303"/>
    </row>
    <row r="2304" spans="2:12" x14ac:dyDescent="0.3">
      <c r="B2304"/>
      <c r="C2304"/>
      <c r="L2304"/>
    </row>
    <row r="2305" spans="2:12" x14ac:dyDescent="0.3">
      <c r="B2305"/>
      <c r="C2305"/>
      <c r="L2305"/>
    </row>
    <row r="2306" spans="2:12" x14ac:dyDescent="0.3">
      <c r="B2306"/>
      <c r="C2306"/>
      <c r="L2306"/>
    </row>
    <row r="2307" spans="2:12" x14ac:dyDescent="0.3">
      <c r="B2307"/>
      <c r="C2307"/>
      <c r="L2307"/>
    </row>
    <row r="2308" spans="2:12" x14ac:dyDescent="0.3">
      <c r="B2308"/>
      <c r="C2308"/>
      <c r="L2308"/>
    </row>
    <row r="2309" spans="2:12" x14ac:dyDescent="0.3">
      <c r="B2309"/>
      <c r="C2309"/>
      <c r="L2309"/>
    </row>
    <row r="2310" spans="2:12" x14ac:dyDescent="0.3">
      <c r="B2310"/>
      <c r="C2310"/>
      <c r="L2310"/>
    </row>
    <row r="2311" spans="2:12" x14ac:dyDescent="0.3">
      <c r="B2311"/>
      <c r="C2311"/>
      <c r="L2311"/>
    </row>
    <row r="2312" spans="2:12" x14ac:dyDescent="0.3">
      <c r="B2312"/>
      <c r="C2312"/>
      <c r="L2312"/>
    </row>
    <row r="2313" spans="2:12" x14ac:dyDescent="0.3">
      <c r="B2313"/>
      <c r="C2313"/>
      <c r="L2313"/>
    </row>
    <row r="2314" spans="2:12" x14ac:dyDescent="0.3">
      <c r="B2314"/>
      <c r="C2314"/>
      <c r="L2314"/>
    </row>
    <row r="2315" spans="2:12" x14ac:dyDescent="0.3">
      <c r="B2315"/>
      <c r="C2315"/>
      <c r="L2315"/>
    </row>
    <row r="2316" spans="2:12" x14ac:dyDescent="0.3">
      <c r="B2316"/>
      <c r="C2316"/>
      <c r="L2316"/>
    </row>
    <row r="2317" spans="2:12" x14ac:dyDescent="0.3">
      <c r="B2317"/>
      <c r="C2317"/>
      <c r="L2317"/>
    </row>
    <row r="2318" spans="2:12" x14ac:dyDescent="0.3">
      <c r="B2318"/>
      <c r="C2318"/>
      <c r="L2318"/>
    </row>
    <row r="2319" spans="2:12" x14ac:dyDescent="0.3">
      <c r="B2319"/>
      <c r="C2319"/>
      <c r="L2319"/>
    </row>
    <row r="2320" spans="2:12" x14ac:dyDescent="0.3">
      <c r="B2320"/>
      <c r="C2320"/>
      <c r="L2320"/>
    </row>
    <row r="2321" spans="2:12" x14ac:dyDescent="0.3">
      <c r="B2321"/>
      <c r="C2321"/>
      <c r="L2321"/>
    </row>
    <row r="2322" spans="2:12" x14ac:dyDescent="0.3">
      <c r="B2322"/>
      <c r="C2322"/>
      <c r="L2322"/>
    </row>
    <row r="2323" spans="2:12" x14ac:dyDescent="0.3">
      <c r="B2323"/>
      <c r="C2323"/>
      <c r="L2323"/>
    </row>
    <row r="2324" spans="2:12" x14ac:dyDescent="0.3">
      <c r="B2324"/>
      <c r="C2324"/>
      <c r="L2324"/>
    </row>
    <row r="2325" spans="2:12" x14ac:dyDescent="0.3">
      <c r="B2325"/>
      <c r="C2325"/>
      <c r="L2325"/>
    </row>
    <row r="2326" spans="2:12" x14ac:dyDescent="0.3">
      <c r="B2326"/>
      <c r="C2326"/>
      <c r="L2326"/>
    </row>
    <row r="2327" spans="2:12" x14ac:dyDescent="0.3">
      <c r="B2327"/>
      <c r="C2327"/>
      <c r="L2327"/>
    </row>
    <row r="2328" spans="2:12" x14ac:dyDescent="0.3">
      <c r="B2328"/>
      <c r="C2328"/>
      <c r="L2328"/>
    </row>
    <row r="2329" spans="2:12" x14ac:dyDescent="0.3">
      <c r="B2329"/>
      <c r="C2329"/>
      <c r="L2329"/>
    </row>
    <row r="2330" spans="2:12" x14ac:dyDescent="0.3">
      <c r="B2330"/>
      <c r="C2330"/>
      <c r="L2330"/>
    </row>
    <row r="2331" spans="2:12" x14ac:dyDescent="0.3">
      <c r="B2331"/>
      <c r="C2331"/>
      <c r="L2331"/>
    </row>
    <row r="2332" spans="2:12" x14ac:dyDescent="0.3">
      <c r="B2332"/>
      <c r="C2332"/>
      <c r="L2332"/>
    </row>
    <row r="2333" spans="2:12" x14ac:dyDescent="0.3">
      <c r="B2333"/>
      <c r="C2333"/>
      <c r="L2333"/>
    </row>
    <row r="2334" spans="2:12" x14ac:dyDescent="0.3">
      <c r="B2334"/>
      <c r="C2334"/>
      <c r="L2334"/>
    </row>
    <row r="2335" spans="2:12" x14ac:dyDescent="0.3">
      <c r="B2335"/>
      <c r="C2335"/>
      <c r="L2335"/>
    </row>
    <row r="2336" spans="2:12" x14ac:dyDescent="0.3">
      <c r="B2336"/>
      <c r="C2336"/>
      <c r="L2336"/>
    </row>
    <row r="2337" spans="2:12" x14ac:dyDescent="0.3">
      <c r="B2337"/>
      <c r="C2337"/>
      <c r="L2337"/>
    </row>
    <row r="2338" spans="2:12" x14ac:dyDescent="0.3">
      <c r="B2338"/>
      <c r="C2338"/>
      <c r="L2338"/>
    </row>
    <row r="2339" spans="2:12" x14ac:dyDescent="0.3">
      <c r="B2339"/>
      <c r="C2339"/>
      <c r="L2339"/>
    </row>
    <row r="2340" spans="2:12" x14ac:dyDescent="0.3">
      <c r="B2340"/>
      <c r="C2340"/>
      <c r="L2340"/>
    </row>
    <row r="2341" spans="2:12" x14ac:dyDescent="0.3">
      <c r="B2341"/>
      <c r="C2341"/>
      <c r="L2341"/>
    </row>
    <row r="2342" spans="2:12" x14ac:dyDescent="0.3">
      <c r="B2342"/>
      <c r="C2342"/>
      <c r="L2342"/>
    </row>
    <row r="2343" spans="2:12" x14ac:dyDescent="0.3">
      <c r="B2343"/>
      <c r="C2343"/>
      <c r="L2343"/>
    </row>
    <row r="2344" spans="2:12" x14ac:dyDescent="0.3">
      <c r="B2344"/>
      <c r="C2344"/>
      <c r="L2344"/>
    </row>
    <row r="2345" spans="2:12" x14ac:dyDescent="0.3">
      <c r="B2345"/>
      <c r="C2345"/>
      <c r="L2345"/>
    </row>
    <row r="2346" spans="2:12" x14ac:dyDescent="0.3">
      <c r="B2346"/>
      <c r="C2346"/>
      <c r="L2346"/>
    </row>
    <row r="2347" spans="2:12" x14ac:dyDescent="0.3">
      <c r="B2347"/>
      <c r="C2347"/>
      <c r="L2347"/>
    </row>
    <row r="2348" spans="2:12" x14ac:dyDescent="0.3">
      <c r="B2348"/>
      <c r="C2348"/>
      <c r="L2348"/>
    </row>
    <row r="2349" spans="2:12" x14ac:dyDescent="0.3">
      <c r="B2349"/>
      <c r="C2349"/>
      <c r="L2349"/>
    </row>
    <row r="2350" spans="2:12" x14ac:dyDescent="0.3">
      <c r="B2350"/>
      <c r="C2350"/>
      <c r="L2350"/>
    </row>
    <row r="2351" spans="2:12" x14ac:dyDescent="0.3">
      <c r="B2351"/>
      <c r="C2351"/>
      <c r="L2351"/>
    </row>
    <row r="2352" spans="2:12" x14ac:dyDescent="0.3">
      <c r="B2352"/>
      <c r="C2352"/>
      <c r="L2352"/>
    </row>
    <row r="2353" spans="2:12" x14ac:dyDescent="0.3">
      <c r="B2353"/>
      <c r="C2353"/>
      <c r="L2353"/>
    </row>
    <row r="2354" spans="2:12" x14ac:dyDescent="0.3">
      <c r="B2354"/>
      <c r="C2354"/>
      <c r="L2354"/>
    </row>
    <row r="2355" spans="2:12" x14ac:dyDescent="0.3">
      <c r="B2355"/>
      <c r="C2355"/>
      <c r="L2355"/>
    </row>
    <row r="2356" spans="2:12" x14ac:dyDescent="0.3">
      <c r="B2356"/>
      <c r="C2356"/>
      <c r="L2356"/>
    </row>
    <row r="2357" spans="2:12" x14ac:dyDescent="0.3">
      <c r="B2357"/>
      <c r="C2357"/>
      <c r="L2357"/>
    </row>
    <row r="2358" spans="2:12" x14ac:dyDescent="0.3">
      <c r="B2358"/>
      <c r="C2358"/>
      <c r="L2358"/>
    </row>
    <row r="2359" spans="2:12" x14ac:dyDescent="0.3">
      <c r="B2359"/>
      <c r="C2359"/>
      <c r="L2359"/>
    </row>
    <row r="2360" spans="2:12" x14ac:dyDescent="0.3">
      <c r="B2360"/>
      <c r="C2360"/>
      <c r="L2360"/>
    </row>
    <row r="2361" spans="2:12" x14ac:dyDescent="0.3">
      <c r="B2361"/>
      <c r="C2361"/>
      <c r="L2361"/>
    </row>
    <row r="2362" spans="2:12" x14ac:dyDescent="0.3">
      <c r="B2362"/>
      <c r="C2362"/>
      <c r="L2362"/>
    </row>
    <row r="2363" spans="2:12" x14ac:dyDescent="0.3">
      <c r="B2363"/>
      <c r="C2363"/>
      <c r="L2363"/>
    </row>
    <row r="2364" spans="2:12" x14ac:dyDescent="0.3">
      <c r="B2364"/>
      <c r="C2364"/>
      <c r="L2364"/>
    </row>
    <row r="2365" spans="2:12" x14ac:dyDescent="0.3">
      <c r="B2365"/>
      <c r="C2365"/>
      <c r="L2365"/>
    </row>
    <row r="2366" spans="2:12" x14ac:dyDescent="0.3">
      <c r="B2366"/>
      <c r="C2366"/>
      <c r="L2366"/>
    </row>
    <row r="2367" spans="2:12" x14ac:dyDescent="0.3">
      <c r="B2367"/>
      <c r="C2367"/>
      <c r="L2367"/>
    </row>
    <row r="2368" spans="2:12" x14ac:dyDescent="0.3">
      <c r="B2368"/>
      <c r="C2368"/>
      <c r="L2368"/>
    </row>
    <row r="2369" spans="2:12" x14ac:dyDescent="0.3">
      <c r="B2369"/>
      <c r="C2369"/>
      <c r="L2369"/>
    </row>
    <row r="2370" spans="2:12" x14ac:dyDescent="0.3">
      <c r="B2370"/>
      <c r="C2370"/>
      <c r="L2370"/>
    </row>
    <row r="2371" spans="2:12" x14ac:dyDescent="0.3">
      <c r="B2371"/>
      <c r="C2371"/>
      <c r="L2371"/>
    </row>
    <row r="2372" spans="2:12" x14ac:dyDescent="0.3">
      <c r="B2372"/>
      <c r="C2372"/>
      <c r="L2372"/>
    </row>
    <row r="2373" spans="2:12" x14ac:dyDescent="0.3">
      <c r="B2373"/>
      <c r="C2373"/>
      <c r="L2373"/>
    </row>
    <row r="2374" spans="2:12" x14ac:dyDescent="0.3">
      <c r="B2374"/>
      <c r="C2374"/>
      <c r="L2374"/>
    </row>
    <row r="2375" spans="2:12" x14ac:dyDescent="0.3">
      <c r="B2375"/>
      <c r="C2375"/>
      <c r="L2375"/>
    </row>
    <row r="2376" spans="2:12" x14ac:dyDescent="0.3">
      <c r="B2376"/>
      <c r="C2376"/>
      <c r="L2376"/>
    </row>
    <row r="2377" spans="2:12" x14ac:dyDescent="0.3">
      <c r="B2377"/>
      <c r="C2377"/>
      <c r="L2377"/>
    </row>
    <row r="2378" spans="2:12" x14ac:dyDescent="0.3">
      <c r="B2378"/>
      <c r="C2378"/>
      <c r="L2378"/>
    </row>
    <row r="2379" spans="2:12" x14ac:dyDescent="0.3">
      <c r="B2379"/>
      <c r="C2379"/>
      <c r="L2379"/>
    </row>
    <row r="2380" spans="2:12" x14ac:dyDescent="0.3">
      <c r="B2380"/>
      <c r="C2380"/>
      <c r="L2380"/>
    </row>
    <row r="2381" spans="2:12" x14ac:dyDescent="0.3">
      <c r="B2381"/>
      <c r="C2381"/>
      <c r="L2381"/>
    </row>
    <row r="2382" spans="2:12" x14ac:dyDescent="0.3">
      <c r="B2382"/>
      <c r="C2382"/>
      <c r="L2382"/>
    </row>
    <row r="2383" spans="2:12" x14ac:dyDescent="0.3">
      <c r="B2383"/>
      <c r="C2383"/>
      <c r="L2383"/>
    </row>
    <row r="2384" spans="2:12" x14ac:dyDescent="0.3">
      <c r="B2384"/>
      <c r="C2384"/>
      <c r="L2384"/>
    </row>
    <row r="2385" spans="2:12" x14ac:dyDescent="0.3">
      <c r="B2385"/>
      <c r="C2385"/>
      <c r="L2385"/>
    </row>
    <row r="2386" spans="2:12" x14ac:dyDescent="0.3">
      <c r="B2386"/>
      <c r="C2386"/>
      <c r="L2386"/>
    </row>
    <row r="2387" spans="2:12" x14ac:dyDescent="0.3">
      <c r="B2387"/>
      <c r="C2387"/>
      <c r="L2387"/>
    </row>
    <row r="2388" spans="2:12" x14ac:dyDescent="0.3">
      <c r="B2388"/>
      <c r="C2388"/>
      <c r="L2388"/>
    </row>
    <row r="2389" spans="2:12" x14ac:dyDescent="0.3">
      <c r="B2389"/>
      <c r="C2389"/>
      <c r="L2389"/>
    </row>
    <row r="2390" spans="2:12" x14ac:dyDescent="0.3">
      <c r="B2390"/>
      <c r="C2390"/>
      <c r="L2390"/>
    </row>
    <row r="2391" spans="2:12" x14ac:dyDescent="0.3">
      <c r="B2391"/>
      <c r="C2391"/>
      <c r="L2391"/>
    </row>
    <row r="2392" spans="2:12" x14ac:dyDescent="0.3">
      <c r="B2392"/>
      <c r="C2392"/>
      <c r="L2392"/>
    </row>
    <row r="2393" spans="2:12" x14ac:dyDescent="0.3">
      <c r="B2393"/>
      <c r="C2393"/>
      <c r="L2393"/>
    </row>
    <row r="2394" spans="2:12" x14ac:dyDescent="0.3">
      <c r="B2394"/>
      <c r="C2394"/>
      <c r="L2394"/>
    </row>
    <row r="2395" spans="2:12" x14ac:dyDescent="0.3">
      <c r="B2395"/>
      <c r="C2395"/>
      <c r="L2395"/>
    </row>
    <row r="2396" spans="2:12" x14ac:dyDescent="0.3">
      <c r="B2396"/>
      <c r="C2396"/>
      <c r="L2396"/>
    </row>
    <row r="2397" spans="2:12" x14ac:dyDescent="0.3">
      <c r="B2397"/>
      <c r="C2397"/>
      <c r="L2397"/>
    </row>
    <row r="2398" spans="2:12" x14ac:dyDescent="0.3">
      <c r="B2398"/>
      <c r="C2398"/>
      <c r="L2398"/>
    </row>
    <row r="2399" spans="2:12" x14ac:dyDescent="0.3">
      <c r="B2399"/>
      <c r="C2399"/>
      <c r="L2399"/>
    </row>
    <row r="2400" spans="2:12" x14ac:dyDescent="0.3">
      <c r="B2400"/>
      <c r="C2400"/>
      <c r="L2400"/>
    </row>
    <row r="2401" spans="2:12" x14ac:dyDescent="0.3">
      <c r="B2401"/>
      <c r="C2401"/>
      <c r="L2401"/>
    </row>
    <row r="2402" spans="2:12" x14ac:dyDescent="0.3">
      <c r="B2402"/>
      <c r="C2402"/>
      <c r="L2402"/>
    </row>
    <row r="2403" spans="2:12" x14ac:dyDescent="0.3">
      <c r="B2403"/>
      <c r="C2403"/>
      <c r="L2403"/>
    </row>
    <row r="2404" spans="2:12" x14ac:dyDescent="0.3">
      <c r="B2404"/>
      <c r="C2404"/>
      <c r="L2404"/>
    </row>
    <row r="2405" spans="2:12" x14ac:dyDescent="0.3">
      <c r="B2405"/>
      <c r="C2405"/>
      <c r="L2405"/>
    </row>
    <row r="2406" spans="2:12" x14ac:dyDescent="0.3">
      <c r="B2406"/>
      <c r="C2406"/>
      <c r="L2406"/>
    </row>
    <row r="2407" spans="2:12" x14ac:dyDescent="0.3">
      <c r="B2407"/>
      <c r="C2407"/>
      <c r="L2407"/>
    </row>
    <row r="2408" spans="2:12" x14ac:dyDescent="0.3">
      <c r="B2408"/>
      <c r="C2408"/>
      <c r="L2408"/>
    </row>
    <row r="2409" spans="2:12" x14ac:dyDescent="0.3">
      <c r="B2409"/>
      <c r="C2409"/>
      <c r="L2409"/>
    </row>
    <row r="2410" spans="2:12" x14ac:dyDescent="0.3">
      <c r="B2410"/>
      <c r="C2410"/>
      <c r="L2410"/>
    </row>
    <row r="2411" spans="2:12" x14ac:dyDescent="0.3">
      <c r="B2411"/>
      <c r="C2411"/>
      <c r="L2411"/>
    </row>
    <row r="2412" spans="2:12" x14ac:dyDescent="0.3">
      <c r="B2412"/>
      <c r="C2412"/>
      <c r="L2412"/>
    </row>
    <row r="2413" spans="2:12" x14ac:dyDescent="0.3">
      <c r="B2413"/>
      <c r="C2413"/>
      <c r="L2413"/>
    </row>
    <row r="2414" spans="2:12" x14ac:dyDescent="0.3">
      <c r="B2414"/>
      <c r="C2414"/>
      <c r="L2414"/>
    </row>
    <row r="2415" spans="2:12" x14ac:dyDescent="0.3">
      <c r="B2415"/>
      <c r="C2415"/>
      <c r="L2415"/>
    </row>
    <row r="2416" spans="2:12" x14ac:dyDescent="0.3">
      <c r="B2416"/>
      <c r="C2416"/>
      <c r="L2416"/>
    </row>
    <row r="2417" spans="2:12" x14ac:dyDescent="0.3">
      <c r="B2417"/>
      <c r="C2417"/>
      <c r="L2417"/>
    </row>
    <row r="2418" spans="2:12" x14ac:dyDescent="0.3">
      <c r="B2418"/>
      <c r="C2418"/>
      <c r="L2418"/>
    </row>
    <row r="2419" spans="2:12" x14ac:dyDescent="0.3">
      <c r="B2419"/>
      <c r="C2419"/>
      <c r="L2419"/>
    </row>
    <row r="2420" spans="2:12" x14ac:dyDescent="0.3">
      <c r="B2420"/>
      <c r="C2420"/>
      <c r="L2420"/>
    </row>
    <row r="2421" spans="2:12" x14ac:dyDescent="0.3">
      <c r="B2421"/>
      <c r="C2421"/>
      <c r="L2421"/>
    </row>
    <row r="2422" spans="2:12" x14ac:dyDescent="0.3">
      <c r="B2422"/>
      <c r="C2422"/>
      <c r="L2422"/>
    </row>
    <row r="2423" spans="2:12" x14ac:dyDescent="0.3">
      <c r="B2423"/>
      <c r="C2423"/>
      <c r="L2423"/>
    </row>
    <row r="2424" spans="2:12" x14ac:dyDescent="0.3">
      <c r="B2424"/>
      <c r="C2424"/>
      <c r="L2424"/>
    </row>
    <row r="2425" spans="2:12" x14ac:dyDescent="0.3">
      <c r="B2425"/>
      <c r="C2425"/>
      <c r="L2425"/>
    </row>
    <row r="2426" spans="2:12" x14ac:dyDescent="0.3">
      <c r="B2426"/>
      <c r="C2426"/>
      <c r="L2426"/>
    </row>
    <row r="2427" spans="2:12" x14ac:dyDescent="0.3">
      <c r="B2427"/>
      <c r="C2427"/>
      <c r="L2427"/>
    </row>
    <row r="2428" spans="2:12" x14ac:dyDescent="0.3">
      <c r="B2428"/>
      <c r="C2428"/>
      <c r="L2428"/>
    </row>
    <row r="2429" spans="2:12" x14ac:dyDescent="0.3">
      <c r="B2429"/>
      <c r="C2429"/>
      <c r="L2429"/>
    </row>
    <row r="2430" spans="2:12" x14ac:dyDescent="0.3">
      <c r="B2430"/>
      <c r="C2430"/>
      <c r="L2430"/>
    </row>
    <row r="2431" spans="2:12" x14ac:dyDescent="0.3">
      <c r="B2431"/>
      <c r="C2431"/>
      <c r="L2431"/>
    </row>
    <row r="2432" spans="2:12" x14ac:dyDescent="0.3">
      <c r="B2432"/>
      <c r="C2432"/>
      <c r="L2432"/>
    </row>
    <row r="2433" spans="2:12" x14ac:dyDescent="0.3">
      <c r="B2433"/>
      <c r="C2433"/>
      <c r="L2433"/>
    </row>
    <row r="2434" spans="2:12" x14ac:dyDescent="0.3">
      <c r="B2434"/>
      <c r="C2434"/>
      <c r="L2434"/>
    </row>
    <row r="2435" spans="2:12" x14ac:dyDescent="0.3">
      <c r="B2435"/>
      <c r="C2435"/>
      <c r="L2435"/>
    </row>
    <row r="2436" spans="2:12" x14ac:dyDescent="0.3">
      <c r="B2436"/>
      <c r="C2436"/>
      <c r="L2436"/>
    </row>
    <row r="2437" spans="2:12" x14ac:dyDescent="0.3">
      <c r="B2437"/>
      <c r="C2437"/>
      <c r="L2437"/>
    </row>
    <row r="2438" spans="2:12" x14ac:dyDescent="0.3">
      <c r="B2438"/>
      <c r="C2438"/>
      <c r="L2438"/>
    </row>
    <row r="2439" spans="2:12" x14ac:dyDescent="0.3">
      <c r="B2439"/>
      <c r="C2439"/>
      <c r="L2439"/>
    </row>
    <row r="2440" spans="2:12" x14ac:dyDescent="0.3">
      <c r="B2440"/>
      <c r="C2440"/>
      <c r="L2440"/>
    </row>
    <row r="2441" spans="2:12" x14ac:dyDescent="0.3">
      <c r="B2441"/>
      <c r="C2441"/>
      <c r="L2441"/>
    </row>
    <row r="2442" spans="2:12" x14ac:dyDescent="0.3">
      <c r="B2442"/>
      <c r="C2442"/>
      <c r="L2442"/>
    </row>
    <row r="2443" spans="2:12" x14ac:dyDescent="0.3">
      <c r="B2443"/>
      <c r="C2443"/>
      <c r="L2443"/>
    </row>
    <row r="2444" spans="2:12" x14ac:dyDescent="0.3">
      <c r="B2444"/>
      <c r="C2444"/>
      <c r="L2444"/>
    </row>
    <row r="2445" spans="2:12" x14ac:dyDescent="0.3">
      <c r="B2445"/>
      <c r="C2445"/>
      <c r="L2445"/>
    </row>
    <row r="2446" spans="2:12" x14ac:dyDescent="0.3">
      <c r="B2446"/>
      <c r="C2446"/>
      <c r="L2446"/>
    </row>
    <row r="2447" spans="2:12" x14ac:dyDescent="0.3">
      <c r="B2447"/>
      <c r="C2447"/>
      <c r="L2447"/>
    </row>
    <row r="2448" spans="2:12" x14ac:dyDescent="0.3">
      <c r="B2448"/>
      <c r="C2448"/>
      <c r="L2448"/>
    </row>
    <row r="2449" spans="2:12" x14ac:dyDescent="0.3">
      <c r="B2449"/>
      <c r="C2449"/>
      <c r="L2449"/>
    </row>
    <row r="2450" spans="2:12" x14ac:dyDescent="0.3">
      <c r="B2450"/>
      <c r="C2450"/>
      <c r="L2450"/>
    </row>
    <row r="2451" spans="2:12" x14ac:dyDescent="0.3">
      <c r="B2451"/>
      <c r="C2451"/>
      <c r="L2451"/>
    </row>
    <row r="2452" spans="2:12" x14ac:dyDescent="0.3">
      <c r="B2452"/>
      <c r="C2452"/>
      <c r="L2452"/>
    </row>
    <row r="2453" spans="2:12" x14ac:dyDescent="0.3">
      <c r="B2453"/>
      <c r="C2453"/>
      <c r="L2453"/>
    </row>
    <row r="2454" spans="2:12" x14ac:dyDescent="0.3">
      <c r="B2454"/>
      <c r="C2454"/>
      <c r="L2454"/>
    </row>
    <row r="2455" spans="2:12" x14ac:dyDescent="0.3">
      <c r="B2455"/>
      <c r="C2455"/>
      <c r="L2455"/>
    </row>
    <row r="2456" spans="2:12" x14ac:dyDescent="0.3">
      <c r="B2456"/>
      <c r="C2456"/>
      <c r="L2456"/>
    </row>
    <row r="2457" spans="2:12" x14ac:dyDescent="0.3">
      <c r="B2457"/>
      <c r="C2457"/>
      <c r="L2457"/>
    </row>
    <row r="2458" spans="2:12" x14ac:dyDescent="0.3">
      <c r="B2458"/>
      <c r="C2458"/>
      <c r="L2458"/>
    </row>
    <row r="2459" spans="2:12" x14ac:dyDescent="0.3">
      <c r="B2459"/>
      <c r="C2459"/>
      <c r="L2459"/>
    </row>
    <row r="2460" spans="2:12" x14ac:dyDescent="0.3">
      <c r="B2460"/>
      <c r="C2460"/>
      <c r="L2460"/>
    </row>
    <row r="2461" spans="2:12" x14ac:dyDescent="0.3">
      <c r="B2461"/>
      <c r="C2461"/>
      <c r="L2461"/>
    </row>
    <row r="2462" spans="2:12" x14ac:dyDescent="0.3">
      <c r="B2462"/>
      <c r="C2462"/>
      <c r="L2462"/>
    </row>
    <row r="2463" spans="2:12" x14ac:dyDescent="0.3">
      <c r="B2463"/>
      <c r="C2463"/>
      <c r="L2463"/>
    </row>
    <row r="2464" spans="2:12" x14ac:dyDescent="0.3">
      <c r="B2464"/>
      <c r="C2464"/>
      <c r="L2464"/>
    </row>
    <row r="2465" spans="2:12" x14ac:dyDescent="0.3">
      <c r="B2465"/>
      <c r="C2465"/>
      <c r="L2465"/>
    </row>
    <row r="2466" spans="2:12" x14ac:dyDescent="0.3">
      <c r="B2466"/>
      <c r="C2466"/>
      <c r="L2466"/>
    </row>
    <row r="2467" spans="2:12" x14ac:dyDescent="0.3">
      <c r="B2467"/>
      <c r="C2467"/>
      <c r="L2467"/>
    </row>
    <row r="2468" spans="2:12" x14ac:dyDescent="0.3">
      <c r="B2468"/>
      <c r="C2468"/>
      <c r="L2468"/>
    </row>
    <row r="2469" spans="2:12" x14ac:dyDescent="0.3">
      <c r="B2469"/>
      <c r="C2469"/>
      <c r="L2469"/>
    </row>
    <row r="2470" spans="2:12" x14ac:dyDescent="0.3">
      <c r="B2470"/>
      <c r="C2470"/>
      <c r="L2470"/>
    </row>
    <row r="2471" spans="2:12" x14ac:dyDescent="0.3">
      <c r="B2471"/>
      <c r="C2471"/>
      <c r="L2471"/>
    </row>
    <row r="2472" spans="2:12" x14ac:dyDescent="0.3">
      <c r="B2472"/>
      <c r="C2472"/>
      <c r="L2472"/>
    </row>
    <row r="2473" spans="2:12" x14ac:dyDescent="0.3">
      <c r="B2473"/>
      <c r="C2473"/>
      <c r="L2473"/>
    </row>
    <row r="2474" spans="2:12" x14ac:dyDescent="0.3">
      <c r="B2474"/>
      <c r="C2474"/>
      <c r="L2474"/>
    </row>
    <row r="2475" spans="2:12" x14ac:dyDescent="0.3">
      <c r="B2475"/>
      <c r="C2475"/>
      <c r="L2475"/>
    </row>
    <row r="2476" spans="2:12" x14ac:dyDescent="0.3">
      <c r="B2476"/>
      <c r="C2476"/>
      <c r="L2476"/>
    </row>
    <row r="2477" spans="2:12" x14ac:dyDescent="0.3">
      <c r="B2477"/>
      <c r="C2477"/>
      <c r="L2477"/>
    </row>
    <row r="2478" spans="2:12" x14ac:dyDescent="0.3">
      <c r="B2478"/>
      <c r="C2478"/>
      <c r="L2478"/>
    </row>
    <row r="2479" spans="2:12" x14ac:dyDescent="0.3">
      <c r="B2479"/>
      <c r="C2479"/>
      <c r="L2479"/>
    </row>
    <row r="2480" spans="2:12" x14ac:dyDescent="0.3">
      <c r="B2480"/>
      <c r="C2480"/>
      <c r="L2480"/>
    </row>
    <row r="2481" spans="2:12" x14ac:dyDescent="0.3">
      <c r="B2481"/>
      <c r="C2481"/>
      <c r="L2481"/>
    </row>
    <row r="2482" spans="2:12" x14ac:dyDescent="0.3">
      <c r="B2482"/>
      <c r="C2482"/>
      <c r="L2482"/>
    </row>
    <row r="2483" spans="2:12" x14ac:dyDescent="0.3">
      <c r="B2483"/>
      <c r="C2483"/>
      <c r="L2483"/>
    </row>
    <row r="2484" spans="2:12" x14ac:dyDescent="0.3">
      <c r="B2484"/>
      <c r="C2484"/>
      <c r="L2484"/>
    </row>
    <row r="2485" spans="2:12" x14ac:dyDescent="0.3">
      <c r="B2485"/>
      <c r="C2485"/>
      <c r="L2485"/>
    </row>
    <row r="2486" spans="2:12" x14ac:dyDescent="0.3">
      <c r="B2486"/>
      <c r="C2486"/>
      <c r="L2486"/>
    </row>
    <row r="2487" spans="2:12" x14ac:dyDescent="0.3">
      <c r="B2487"/>
      <c r="C2487"/>
      <c r="L2487"/>
    </row>
    <row r="2488" spans="2:12" x14ac:dyDescent="0.3">
      <c r="B2488"/>
      <c r="C2488"/>
      <c r="L2488"/>
    </row>
    <row r="2489" spans="2:12" x14ac:dyDescent="0.3">
      <c r="B2489"/>
      <c r="C2489"/>
      <c r="L2489"/>
    </row>
    <row r="2490" spans="2:12" x14ac:dyDescent="0.3">
      <c r="B2490"/>
      <c r="C2490"/>
      <c r="L2490"/>
    </row>
    <row r="2491" spans="2:12" x14ac:dyDescent="0.3">
      <c r="B2491"/>
      <c r="C2491"/>
      <c r="L2491"/>
    </row>
    <row r="2492" spans="2:12" x14ac:dyDescent="0.3">
      <c r="B2492"/>
      <c r="C2492"/>
      <c r="L2492"/>
    </row>
    <row r="2493" spans="2:12" x14ac:dyDescent="0.3">
      <c r="B2493"/>
      <c r="C2493"/>
      <c r="L2493"/>
    </row>
    <row r="2494" spans="2:12" x14ac:dyDescent="0.3">
      <c r="B2494"/>
      <c r="C2494"/>
      <c r="L2494"/>
    </row>
    <row r="2495" spans="2:12" x14ac:dyDescent="0.3">
      <c r="B2495"/>
      <c r="C2495"/>
      <c r="L2495"/>
    </row>
    <row r="2496" spans="2:12" x14ac:dyDescent="0.3">
      <c r="B2496"/>
      <c r="C2496"/>
      <c r="L2496"/>
    </row>
    <row r="2497" spans="2:12" x14ac:dyDescent="0.3">
      <c r="B2497"/>
      <c r="C2497"/>
      <c r="L2497"/>
    </row>
    <row r="2498" spans="2:12" x14ac:dyDescent="0.3">
      <c r="B2498"/>
      <c r="C2498"/>
      <c r="L2498"/>
    </row>
    <row r="2499" spans="2:12" x14ac:dyDescent="0.3">
      <c r="B2499"/>
      <c r="C2499"/>
      <c r="L2499"/>
    </row>
    <row r="2500" spans="2:12" x14ac:dyDescent="0.3">
      <c r="B2500"/>
      <c r="C2500"/>
      <c r="L2500"/>
    </row>
    <row r="2501" spans="2:12" x14ac:dyDescent="0.3">
      <c r="B2501"/>
      <c r="C2501"/>
      <c r="L2501"/>
    </row>
    <row r="2502" spans="2:12" x14ac:dyDescent="0.3">
      <c r="B2502"/>
      <c r="C2502"/>
      <c r="L2502"/>
    </row>
    <row r="2503" spans="2:12" x14ac:dyDescent="0.3">
      <c r="B2503"/>
      <c r="C2503"/>
      <c r="L2503"/>
    </row>
    <row r="2504" spans="2:12" x14ac:dyDescent="0.3">
      <c r="B2504"/>
      <c r="C2504"/>
      <c r="L2504"/>
    </row>
    <row r="2505" spans="2:12" x14ac:dyDescent="0.3">
      <c r="B2505"/>
      <c r="C2505"/>
      <c r="L2505"/>
    </row>
    <row r="2506" spans="2:12" x14ac:dyDescent="0.3">
      <c r="B2506"/>
      <c r="C2506"/>
      <c r="L2506"/>
    </row>
    <row r="2507" spans="2:12" x14ac:dyDescent="0.3">
      <c r="B2507"/>
      <c r="C2507"/>
      <c r="L2507"/>
    </row>
    <row r="2508" spans="2:12" x14ac:dyDescent="0.3">
      <c r="B2508"/>
      <c r="C2508"/>
      <c r="L2508"/>
    </row>
    <row r="2509" spans="2:12" x14ac:dyDescent="0.3">
      <c r="B2509"/>
      <c r="C2509"/>
      <c r="L2509"/>
    </row>
    <row r="2510" spans="2:12" x14ac:dyDescent="0.3">
      <c r="B2510"/>
      <c r="C2510"/>
      <c r="L2510"/>
    </row>
    <row r="2511" spans="2:12" x14ac:dyDescent="0.3">
      <c r="B2511"/>
      <c r="C2511"/>
      <c r="L2511"/>
    </row>
    <row r="2512" spans="2:12" x14ac:dyDescent="0.3">
      <c r="B2512"/>
      <c r="C2512"/>
      <c r="L2512"/>
    </row>
    <row r="2513" spans="2:12" x14ac:dyDescent="0.3">
      <c r="B2513"/>
      <c r="C2513"/>
      <c r="L2513"/>
    </row>
    <row r="2514" spans="2:12" x14ac:dyDescent="0.3">
      <c r="B2514"/>
      <c r="C2514"/>
      <c r="L2514"/>
    </row>
    <row r="2515" spans="2:12" x14ac:dyDescent="0.3">
      <c r="B2515"/>
      <c r="C2515"/>
      <c r="L2515"/>
    </row>
    <row r="2516" spans="2:12" x14ac:dyDescent="0.3">
      <c r="B2516"/>
      <c r="C2516"/>
      <c r="L2516"/>
    </row>
    <row r="2517" spans="2:12" x14ac:dyDescent="0.3">
      <c r="B2517"/>
      <c r="C2517"/>
      <c r="L2517"/>
    </row>
    <row r="2518" spans="2:12" x14ac:dyDescent="0.3">
      <c r="B2518"/>
      <c r="C2518"/>
      <c r="L2518"/>
    </row>
    <row r="2519" spans="2:12" x14ac:dyDescent="0.3">
      <c r="B2519"/>
      <c r="C2519"/>
      <c r="L2519"/>
    </row>
    <row r="2520" spans="2:12" x14ac:dyDescent="0.3">
      <c r="B2520"/>
      <c r="C2520"/>
      <c r="L2520"/>
    </row>
    <row r="2521" spans="2:12" x14ac:dyDescent="0.3">
      <c r="B2521"/>
      <c r="C2521"/>
      <c r="L2521"/>
    </row>
    <row r="2522" spans="2:12" x14ac:dyDescent="0.3">
      <c r="B2522"/>
      <c r="C2522"/>
      <c r="L2522"/>
    </row>
    <row r="2523" spans="2:12" x14ac:dyDescent="0.3">
      <c r="B2523"/>
      <c r="C2523"/>
      <c r="L2523"/>
    </row>
    <row r="2524" spans="2:12" x14ac:dyDescent="0.3">
      <c r="B2524"/>
      <c r="C2524"/>
      <c r="L2524"/>
    </row>
    <row r="2525" spans="2:12" x14ac:dyDescent="0.3">
      <c r="B2525"/>
      <c r="C2525"/>
      <c r="L2525"/>
    </row>
    <row r="2526" spans="2:12" x14ac:dyDescent="0.3">
      <c r="B2526"/>
      <c r="C2526"/>
      <c r="L2526"/>
    </row>
    <row r="2527" spans="2:12" x14ac:dyDescent="0.3">
      <c r="B2527"/>
      <c r="C2527"/>
      <c r="L2527"/>
    </row>
    <row r="2528" spans="2:12" x14ac:dyDescent="0.3">
      <c r="B2528"/>
      <c r="C2528"/>
      <c r="L2528"/>
    </row>
    <row r="2529" spans="2:12" x14ac:dyDescent="0.3">
      <c r="B2529"/>
      <c r="C2529"/>
      <c r="L2529"/>
    </row>
    <row r="2530" spans="2:12" x14ac:dyDescent="0.3">
      <c r="B2530"/>
      <c r="C2530"/>
      <c r="L2530"/>
    </row>
    <row r="2531" spans="2:12" x14ac:dyDescent="0.3">
      <c r="B2531"/>
      <c r="C2531"/>
      <c r="L2531"/>
    </row>
    <row r="2532" spans="2:12" x14ac:dyDescent="0.3">
      <c r="B2532"/>
      <c r="C2532"/>
      <c r="L2532"/>
    </row>
    <row r="2533" spans="2:12" x14ac:dyDescent="0.3">
      <c r="B2533"/>
      <c r="L2533"/>
    </row>
    <row r="2534" spans="2:12" x14ac:dyDescent="0.3">
      <c r="B2534"/>
      <c r="L2534"/>
    </row>
    <row r="2535" spans="2:12" x14ac:dyDescent="0.3">
      <c r="B2535"/>
      <c r="L2535"/>
    </row>
    <row r="2536" spans="2:12" x14ac:dyDescent="0.3">
      <c r="B2536"/>
      <c r="L2536"/>
    </row>
    <row r="2537" spans="2:12" x14ac:dyDescent="0.3">
      <c r="B2537"/>
      <c r="L2537"/>
    </row>
    <row r="2538" spans="2:12" x14ac:dyDescent="0.3">
      <c r="B2538"/>
      <c r="L2538"/>
    </row>
    <row r="2539" spans="2:12" x14ac:dyDescent="0.3">
      <c r="B2539"/>
      <c r="L2539"/>
    </row>
    <row r="2540" spans="2:12" x14ac:dyDescent="0.3">
      <c r="B2540"/>
      <c r="L2540"/>
    </row>
    <row r="2541" spans="2:12" x14ac:dyDescent="0.3">
      <c r="B2541"/>
      <c r="L2541"/>
    </row>
    <row r="2542" spans="2:12" x14ac:dyDescent="0.3">
      <c r="B2542"/>
      <c r="L2542"/>
    </row>
    <row r="2543" spans="2:12" x14ac:dyDescent="0.3">
      <c r="B2543"/>
      <c r="L2543"/>
    </row>
    <row r="2544" spans="2:12" x14ac:dyDescent="0.3">
      <c r="B2544"/>
      <c r="L2544"/>
    </row>
    <row r="2545" spans="2:12" x14ac:dyDescent="0.3">
      <c r="B2545"/>
      <c r="L2545"/>
    </row>
    <row r="2546" spans="2:12" x14ac:dyDescent="0.3">
      <c r="B2546"/>
      <c r="L2546"/>
    </row>
    <row r="2547" spans="2:12" x14ac:dyDescent="0.3">
      <c r="B2547"/>
      <c r="L2547"/>
    </row>
    <row r="2548" spans="2:12" x14ac:dyDescent="0.3">
      <c r="B2548"/>
      <c r="L2548"/>
    </row>
    <row r="2549" spans="2:12" x14ac:dyDescent="0.3">
      <c r="B2549"/>
      <c r="L2549"/>
    </row>
    <row r="2550" spans="2:12" x14ac:dyDescent="0.3">
      <c r="B2550"/>
      <c r="L2550"/>
    </row>
    <row r="2551" spans="2:12" x14ac:dyDescent="0.3">
      <c r="B2551"/>
      <c r="L2551"/>
    </row>
    <row r="2552" spans="2:12" x14ac:dyDescent="0.3">
      <c r="B2552"/>
      <c r="L2552"/>
    </row>
    <row r="2553" spans="2:12" x14ac:dyDescent="0.3">
      <c r="B2553"/>
      <c r="L2553"/>
    </row>
    <row r="2554" spans="2:12" x14ac:dyDescent="0.3">
      <c r="B2554"/>
      <c r="L2554"/>
    </row>
    <row r="2555" spans="2:12" x14ac:dyDescent="0.3">
      <c r="B2555"/>
      <c r="L2555"/>
    </row>
    <row r="2556" spans="2:12" x14ac:dyDescent="0.3">
      <c r="B2556"/>
      <c r="L2556"/>
    </row>
    <row r="2557" spans="2:12" x14ac:dyDescent="0.3">
      <c r="B2557"/>
      <c r="L2557"/>
    </row>
    <row r="2558" spans="2:12" x14ac:dyDescent="0.3">
      <c r="B2558"/>
      <c r="L2558"/>
    </row>
    <row r="2559" spans="2:12" x14ac:dyDescent="0.3">
      <c r="B2559"/>
      <c r="L2559"/>
    </row>
    <row r="2560" spans="2:12" x14ac:dyDescent="0.3">
      <c r="B2560"/>
      <c r="L2560"/>
    </row>
    <row r="2561" spans="2:12" x14ac:dyDescent="0.3">
      <c r="B2561"/>
      <c r="L2561"/>
    </row>
    <row r="2562" spans="2:12" x14ac:dyDescent="0.3">
      <c r="B2562"/>
      <c r="L2562"/>
    </row>
    <row r="2563" spans="2:12" x14ac:dyDescent="0.3">
      <c r="B2563"/>
      <c r="L2563"/>
    </row>
    <row r="2564" spans="2:12" x14ac:dyDescent="0.3">
      <c r="B2564"/>
      <c r="L2564"/>
    </row>
    <row r="2565" spans="2:12" x14ac:dyDescent="0.3">
      <c r="B2565"/>
      <c r="L2565"/>
    </row>
    <row r="2566" spans="2:12" x14ac:dyDescent="0.3">
      <c r="B2566"/>
      <c r="L2566"/>
    </row>
    <row r="2567" spans="2:12" x14ac:dyDescent="0.3">
      <c r="B2567"/>
      <c r="L2567"/>
    </row>
    <row r="2568" spans="2:12" x14ac:dyDescent="0.3">
      <c r="B2568"/>
      <c r="L2568"/>
    </row>
    <row r="2569" spans="2:12" x14ac:dyDescent="0.3">
      <c r="B2569"/>
      <c r="L2569"/>
    </row>
    <row r="2570" spans="2:12" x14ac:dyDescent="0.3">
      <c r="B2570"/>
      <c r="L2570"/>
    </row>
    <row r="2571" spans="2:12" x14ac:dyDescent="0.3">
      <c r="B2571"/>
      <c r="L2571"/>
    </row>
    <row r="2572" spans="2:12" x14ac:dyDescent="0.3">
      <c r="B2572"/>
      <c r="L2572"/>
    </row>
    <row r="2573" spans="2:12" x14ac:dyDescent="0.3">
      <c r="B2573"/>
      <c r="L2573"/>
    </row>
    <row r="2574" spans="2:12" x14ac:dyDescent="0.3">
      <c r="B2574"/>
      <c r="L2574"/>
    </row>
    <row r="2575" spans="2:12" x14ac:dyDescent="0.3">
      <c r="B2575"/>
      <c r="L2575"/>
    </row>
    <row r="2576" spans="2:12" x14ac:dyDescent="0.3">
      <c r="B2576"/>
      <c r="L2576"/>
    </row>
    <row r="2577" spans="12:12" x14ac:dyDescent="0.3">
      <c r="L2577"/>
    </row>
    <row r="2578" spans="12:12" x14ac:dyDescent="0.3">
      <c r="L2578"/>
    </row>
    <row r="2579" spans="12:12" x14ac:dyDescent="0.3">
      <c r="L2579"/>
    </row>
    <row r="2580" spans="12:12" x14ac:dyDescent="0.3">
      <c r="L2580"/>
    </row>
    <row r="2581" spans="12:12" x14ac:dyDescent="0.3">
      <c r="L2581"/>
    </row>
    <row r="2582" spans="12:12" x14ac:dyDescent="0.3">
      <c r="L2582"/>
    </row>
    <row r="2583" spans="12:12" x14ac:dyDescent="0.3">
      <c r="L2583"/>
    </row>
    <row r="2584" spans="12:12" x14ac:dyDescent="0.3">
      <c r="L2584"/>
    </row>
    <row r="2585" spans="12:12" x14ac:dyDescent="0.3">
      <c r="L2585"/>
    </row>
    <row r="2586" spans="12:12" x14ac:dyDescent="0.3">
      <c r="L2586"/>
    </row>
    <row r="2587" spans="12:12" x14ac:dyDescent="0.3">
      <c r="L2587"/>
    </row>
    <row r="2588" spans="12:12" x14ac:dyDescent="0.3">
      <c r="L2588"/>
    </row>
    <row r="2589" spans="12:12" x14ac:dyDescent="0.3">
      <c r="L2589"/>
    </row>
    <row r="2590" spans="12:12" x14ac:dyDescent="0.3">
      <c r="L2590"/>
    </row>
    <row r="2591" spans="12:12" x14ac:dyDescent="0.3">
      <c r="L2591"/>
    </row>
    <row r="2592" spans="12:12" x14ac:dyDescent="0.3">
      <c r="L2592"/>
    </row>
    <row r="2593" spans="12:12" x14ac:dyDescent="0.3">
      <c r="L2593"/>
    </row>
    <row r="2594" spans="12:12" x14ac:dyDescent="0.3">
      <c r="L2594"/>
    </row>
    <row r="2595" spans="12:12" x14ac:dyDescent="0.3">
      <c r="L2595"/>
    </row>
    <row r="2596" spans="12:12" x14ac:dyDescent="0.3">
      <c r="L2596"/>
    </row>
    <row r="2597" spans="12:12" x14ac:dyDescent="0.3">
      <c r="L2597"/>
    </row>
    <row r="2598" spans="12:12" x14ac:dyDescent="0.3">
      <c r="L2598"/>
    </row>
    <row r="2599" spans="12:12" x14ac:dyDescent="0.3">
      <c r="L2599"/>
    </row>
    <row r="2600" spans="12:12" x14ac:dyDescent="0.3">
      <c r="L2600"/>
    </row>
    <row r="2601" spans="12:12" x14ac:dyDescent="0.3">
      <c r="L2601"/>
    </row>
    <row r="2602" spans="12:12" x14ac:dyDescent="0.3">
      <c r="L2602"/>
    </row>
    <row r="2603" spans="12:12" x14ac:dyDescent="0.3">
      <c r="L2603"/>
    </row>
    <row r="2604" spans="12:12" x14ac:dyDescent="0.3">
      <c r="L2604"/>
    </row>
    <row r="2605" spans="12:12" x14ac:dyDescent="0.3">
      <c r="L2605"/>
    </row>
    <row r="2606" spans="12:12" x14ac:dyDescent="0.3">
      <c r="L2606"/>
    </row>
    <row r="2607" spans="12:12" x14ac:dyDescent="0.3">
      <c r="L2607"/>
    </row>
    <row r="2608" spans="12:12" x14ac:dyDescent="0.3">
      <c r="L2608"/>
    </row>
    <row r="2609" spans="12:12" x14ac:dyDescent="0.3">
      <c r="L2609"/>
    </row>
    <row r="2610" spans="12:12" x14ac:dyDescent="0.3">
      <c r="L2610"/>
    </row>
    <row r="2611" spans="12:12" x14ac:dyDescent="0.3">
      <c r="L2611"/>
    </row>
    <row r="2612" spans="12:12" x14ac:dyDescent="0.3">
      <c r="L2612"/>
    </row>
    <row r="2613" spans="12:12" x14ac:dyDescent="0.3">
      <c r="L2613"/>
    </row>
    <row r="2614" spans="12:12" x14ac:dyDescent="0.3">
      <c r="L2614"/>
    </row>
    <row r="2615" spans="12:12" x14ac:dyDescent="0.3">
      <c r="L2615"/>
    </row>
    <row r="2616" spans="12:12" x14ac:dyDescent="0.3">
      <c r="L2616"/>
    </row>
    <row r="2617" spans="12:12" x14ac:dyDescent="0.3">
      <c r="L2617"/>
    </row>
    <row r="2618" spans="12:12" x14ac:dyDescent="0.3">
      <c r="L2618"/>
    </row>
    <row r="2619" spans="12:12" x14ac:dyDescent="0.3">
      <c r="L2619"/>
    </row>
    <row r="2620" spans="12:12" x14ac:dyDescent="0.3">
      <c r="L2620"/>
    </row>
    <row r="2621" spans="12:12" x14ac:dyDescent="0.3">
      <c r="L2621"/>
    </row>
    <row r="2622" spans="12:12" x14ac:dyDescent="0.3">
      <c r="L2622"/>
    </row>
    <row r="2623" spans="12:12" x14ac:dyDescent="0.3">
      <c r="L2623"/>
    </row>
    <row r="2624" spans="12:12" x14ac:dyDescent="0.3">
      <c r="L2624"/>
    </row>
    <row r="2625" spans="12:12" x14ac:dyDescent="0.3">
      <c r="L2625"/>
    </row>
    <row r="2626" spans="12:12" x14ac:dyDescent="0.3">
      <c r="L2626"/>
    </row>
    <row r="2627" spans="12:12" x14ac:dyDescent="0.3">
      <c r="L2627"/>
    </row>
    <row r="2628" spans="12:12" x14ac:dyDescent="0.3">
      <c r="L2628"/>
    </row>
    <row r="2629" spans="12:12" x14ac:dyDescent="0.3">
      <c r="L2629"/>
    </row>
    <row r="2630" spans="12:12" x14ac:dyDescent="0.3">
      <c r="L2630"/>
    </row>
    <row r="2631" spans="12:12" x14ac:dyDescent="0.3">
      <c r="L2631"/>
    </row>
    <row r="2632" spans="12:12" x14ac:dyDescent="0.3">
      <c r="L2632"/>
    </row>
    <row r="2633" spans="12:12" x14ac:dyDescent="0.3">
      <c r="L2633"/>
    </row>
    <row r="2634" spans="12:12" x14ac:dyDescent="0.3">
      <c r="L2634"/>
    </row>
    <row r="2635" spans="12:12" x14ac:dyDescent="0.3">
      <c r="L2635"/>
    </row>
    <row r="2636" spans="12:12" x14ac:dyDescent="0.3">
      <c r="L2636"/>
    </row>
    <row r="2637" spans="12:12" x14ac:dyDescent="0.3">
      <c r="L2637"/>
    </row>
    <row r="2638" spans="12:12" x14ac:dyDescent="0.3">
      <c r="L2638"/>
    </row>
    <row r="2639" spans="12:12" x14ac:dyDescent="0.3">
      <c r="L2639"/>
    </row>
    <row r="2640" spans="12:12" x14ac:dyDescent="0.3">
      <c r="L2640"/>
    </row>
    <row r="2641" spans="12:12" x14ac:dyDescent="0.3">
      <c r="L2641"/>
    </row>
    <row r="2642" spans="12:12" x14ac:dyDescent="0.3">
      <c r="L2642"/>
    </row>
    <row r="2643" spans="12:12" x14ac:dyDescent="0.3">
      <c r="L2643"/>
    </row>
    <row r="2644" spans="12:12" x14ac:dyDescent="0.3">
      <c r="L2644"/>
    </row>
    <row r="2645" spans="12:12" x14ac:dyDescent="0.3">
      <c r="L2645"/>
    </row>
    <row r="2646" spans="12:12" x14ac:dyDescent="0.3">
      <c r="L2646"/>
    </row>
    <row r="2647" spans="12:12" x14ac:dyDescent="0.3">
      <c r="L2647"/>
    </row>
    <row r="2648" spans="12:12" x14ac:dyDescent="0.3">
      <c r="L2648"/>
    </row>
    <row r="2649" spans="12:12" x14ac:dyDescent="0.3">
      <c r="L2649"/>
    </row>
    <row r="2650" spans="12:12" x14ac:dyDescent="0.3">
      <c r="L2650"/>
    </row>
    <row r="2651" spans="12:12" x14ac:dyDescent="0.3">
      <c r="L2651"/>
    </row>
    <row r="2652" spans="12:12" x14ac:dyDescent="0.3">
      <c r="L2652"/>
    </row>
    <row r="2653" spans="12:12" x14ac:dyDescent="0.3">
      <c r="L2653"/>
    </row>
    <row r="2654" spans="12:12" x14ac:dyDescent="0.3">
      <c r="L2654"/>
    </row>
    <row r="2655" spans="12:12" x14ac:dyDescent="0.3">
      <c r="L2655"/>
    </row>
    <row r="2656" spans="12:12" x14ac:dyDescent="0.3">
      <c r="L2656"/>
    </row>
    <row r="2657" spans="12:12" x14ac:dyDescent="0.3">
      <c r="L2657"/>
    </row>
    <row r="2658" spans="12:12" x14ac:dyDescent="0.3">
      <c r="L2658"/>
    </row>
    <row r="2659" spans="12:12" x14ac:dyDescent="0.3">
      <c r="L2659"/>
    </row>
    <row r="2660" spans="12:12" x14ac:dyDescent="0.3">
      <c r="L2660"/>
    </row>
    <row r="2661" spans="12:12" x14ac:dyDescent="0.3">
      <c r="L2661"/>
    </row>
    <row r="2662" spans="12:12" x14ac:dyDescent="0.3">
      <c r="L2662"/>
    </row>
    <row r="2663" spans="12:12" x14ac:dyDescent="0.3">
      <c r="L2663"/>
    </row>
    <row r="2664" spans="12:12" x14ac:dyDescent="0.3">
      <c r="L2664"/>
    </row>
    <row r="2665" spans="12:12" x14ac:dyDescent="0.3">
      <c r="L2665"/>
    </row>
    <row r="2666" spans="12:12" x14ac:dyDescent="0.3">
      <c r="L2666"/>
    </row>
    <row r="2667" spans="12:12" x14ac:dyDescent="0.3">
      <c r="L2667"/>
    </row>
    <row r="2668" spans="12:12" x14ac:dyDescent="0.3">
      <c r="L2668"/>
    </row>
    <row r="2669" spans="12:12" x14ac:dyDescent="0.3">
      <c r="L2669"/>
    </row>
    <row r="2670" spans="12:12" x14ac:dyDescent="0.3">
      <c r="L2670"/>
    </row>
    <row r="2671" spans="12:12" x14ac:dyDescent="0.3">
      <c r="L2671"/>
    </row>
    <row r="2672" spans="12:12" x14ac:dyDescent="0.3">
      <c r="L2672"/>
    </row>
    <row r="2673" spans="12:12" x14ac:dyDescent="0.3">
      <c r="L2673"/>
    </row>
    <row r="2674" spans="12:12" x14ac:dyDescent="0.3">
      <c r="L2674"/>
    </row>
    <row r="2675" spans="12:12" x14ac:dyDescent="0.3">
      <c r="L2675"/>
    </row>
    <row r="2676" spans="12:12" x14ac:dyDescent="0.3">
      <c r="L2676"/>
    </row>
    <row r="2677" spans="12:12" x14ac:dyDescent="0.3">
      <c r="L2677"/>
    </row>
    <row r="2678" spans="12:12" x14ac:dyDescent="0.3">
      <c r="L2678"/>
    </row>
    <row r="2679" spans="12:12" x14ac:dyDescent="0.3">
      <c r="L2679"/>
    </row>
    <row r="2680" spans="12:12" x14ac:dyDescent="0.3">
      <c r="L2680"/>
    </row>
    <row r="2681" spans="12:12" x14ac:dyDescent="0.3">
      <c r="L2681"/>
    </row>
    <row r="2682" spans="12:12" x14ac:dyDescent="0.3">
      <c r="L2682"/>
    </row>
    <row r="2683" spans="12:12" x14ac:dyDescent="0.3">
      <c r="L2683"/>
    </row>
    <row r="2684" spans="12:12" x14ac:dyDescent="0.3">
      <c r="L2684"/>
    </row>
    <row r="2685" spans="12:12" x14ac:dyDescent="0.3">
      <c r="L2685"/>
    </row>
    <row r="2686" spans="12:12" x14ac:dyDescent="0.3">
      <c r="L2686"/>
    </row>
    <row r="2687" spans="12:12" x14ac:dyDescent="0.3">
      <c r="L2687"/>
    </row>
    <row r="2688" spans="12:12" x14ac:dyDescent="0.3">
      <c r="L2688"/>
    </row>
    <row r="2689" spans="12:12" x14ac:dyDescent="0.3">
      <c r="L2689"/>
    </row>
    <row r="2690" spans="12:12" x14ac:dyDescent="0.3">
      <c r="L2690"/>
    </row>
    <row r="2691" spans="12:12" x14ac:dyDescent="0.3">
      <c r="L2691"/>
    </row>
    <row r="2692" spans="12:12" x14ac:dyDescent="0.3">
      <c r="L2692"/>
    </row>
    <row r="2693" spans="12:12" x14ac:dyDescent="0.3">
      <c r="L2693"/>
    </row>
    <row r="2694" spans="12:12" x14ac:dyDescent="0.3">
      <c r="L2694"/>
    </row>
    <row r="2695" spans="12:12" x14ac:dyDescent="0.3">
      <c r="L2695"/>
    </row>
    <row r="2696" spans="12:12" x14ac:dyDescent="0.3">
      <c r="L2696"/>
    </row>
    <row r="2697" spans="12:12" x14ac:dyDescent="0.3">
      <c r="L2697"/>
    </row>
    <row r="2698" spans="12:12" x14ac:dyDescent="0.3">
      <c r="L2698"/>
    </row>
    <row r="2699" spans="12:12" x14ac:dyDescent="0.3">
      <c r="L2699"/>
    </row>
    <row r="2700" spans="12:12" x14ac:dyDescent="0.3">
      <c r="L2700"/>
    </row>
    <row r="2701" spans="12:12" x14ac:dyDescent="0.3">
      <c r="L2701"/>
    </row>
    <row r="2702" spans="12:12" x14ac:dyDescent="0.3">
      <c r="L2702"/>
    </row>
    <row r="2703" spans="12:12" x14ac:dyDescent="0.3">
      <c r="L2703"/>
    </row>
    <row r="2704" spans="12:12" x14ac:dyDescent="0.3">
      <c r="L2704"/>
    </row>
    <row r="2705" spans="12:12" x14ac:dyDescent="0.3">
      <c r="L2705"/>
    </row>
    <row r="2706" spans="12:12" x14ac:dyDescent="0.3">
      <c r="L2706"/>
    </row>
    <row r="2707" spans="12:12" x14ac:dyDescent="0.3">
      <c r="L2707"/>
    </row>
    <row r="2708" spans="12:12" x14ac:dyDescent="0.3">
      <c r="L2708"/>
    </row>
    <row r="2709" spans="12:12" x14ac:dyDescent="0.3">
      <c r="L2709"/>
    </row>
    <row r="2710" spans="12:12" x14ac:dyDescent="0.3">
      <c r="L2710"/>
    </row>
    <row r="2711" spans="12:12" x14ac:dyDescent="0.3">
      <c r="L2711"/>
    </row>
    <row r="2712" spans="12:12" x14ac:dyDescent="0.3">
      <c r="L2712"/>
    </row>
    <row r="2713" spans="12:12" x14ac:dyDescent="0.3">
      <c r="L2713"/>
    </row>
    <row r="2714" spans="12:12" x14ac:dyDescent="0.3">
      <c r="L2714"/>
    </row>
    <row r="2715" spans="12:12" x14ac:dyDescent="0.3">
      <c r="L2715"/>
    </row>
    <row r="2716" spans="12:12" x14ac:dyDescent="0.3">
      <c r="L2716"/>
    </row>
    <row r="2717" spans="12:12" x14ac:dyDescent="0.3">
      <c r="L2717"/>
    </row>
    <row r="2718" spans="12:12" x14ac:dyDescent="0.3">
      <c r="L2718"/>
    </row>
    <row r="2719" spans="12:12" x14ac:dyDescent="0.3">
      <c r="L2719"/>
    </row>
    <row r="2720" spans="12:12" x14ac:dyDescent="0.3">
      <c r="L2720"/>
    </row>
    <row r="2721" spans="12:12" x14ac:dyDescent="0.3">
      <c r="L2721"/>
    </row>
    <row r="2722" spans="12:12" x14ac:dyDescent="0.3">
      <c r="L2722"/>
    </row>
    <row r="2723" spans="12:12" x14ac:dyDescent="0.3">
      <c r="L2723"/>
    </row>
    <row r="2724" spans="12:12" x14ac:dyDescent="0.3">
      <c r="L2724"/>
    </row>
    <row r="2725" spans="12:12" x14ac:dyDescent="0.3">
      <c r="L2725"/>
    </row>
    <row r="2726" spans="12:12" x14ac:dyDescent="0.3">
      <c r="L2726"/>
    </row>
    <row r="2727" spans="12:12" x14ac:dyDescent="0.3">
      <c r="L2727"/>
    </row>
    <row r="2728" spans="12:12" x14ac:dyDescent="0.3">
      <c r="L2728"/>
    </row>
    <row r="2729" spans="12:12" x14ac:dyDescent="0.3">
      <c r="L2729"/>
    </row>
    <row r="2730" spans="12:12" x14ac:dyDescent="0.3">
      <c r="L2730"/>
    </row>
    <row r="2731" spans="12:12" x14ac:dyDescent="0.3">
      <c r="L2731"/>
    </row>
    <row r="2732" spans="12:12" x14ac:dyDescent="0.3">
      <c r="L2732"/>
    </row>
    <row r="2733" spans="12:12" x14ac:dyDescent="0.3">
      <c r="L2733"/>
    </row>
  </sheetData>
  <conditionalFormatting sqref="M19:O19">
    <cfRule type="top10" dxfId="5693" priority="3" rank="10"/>
    <cfRule type="top10" dxfId="5692" priority="4" rank="10"/>
  </conditionalFormatting>
  <conditionalFormatting pivot="1">
    <cfRule type="top10" dxfId="5691" priority="2" bottom="1" rank="10"/>
  </conditionalFormatting>
  <conditionalFormatting sqref="M19:O19 M32:N32 M48:N59 N78:N1355">
    <cfRule type="top10" dxfId="5690" priority="5" bottom="1" rank="10"/>
  </conditionalFormatting>
  <pageMargins left="0.7" right="0.7" top="0.75" bottom="0.75" header="0.3" footer="0.3"/>
  <pageSetup orientation="portrait" r:id="rId17"/>
  <drawing r:id="rId18"/>
  <tableParts count="2">
    <tablePart r:id="rId19"/>
    <tablePart r:id="rId20"/>
  </tableParts>
  <extLst>
    <ext xmlns:x14="http://schemas.microsoft.com/office/spreadsheetml/2009/9/main" uri="{A8765BA9-456A-4dab-B4F3-ACF838C121DE}">
      <x14:slicerList>
        <x14:slicer r:id="rId21"/>
      </x14:slicerList>
    </ext>
    <ext xmlns:x15="http://schemas.microsoft.com/office/spreadsheetml/2010/11/main" uri="{7E03D99C-DC04-49d9-9315-930204A7B6E9}">
      <x15:timelineRefs>
        <x15:timelineRef r:id="rId22"/>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6929E-FE1F-41A9-95AE-9F7F0BCFBC10}">
  <sheetPr>
    <tabColor rgb="FFFFFF00"/>
  </sheetPr>
  <dimension ref="A1:AJ77"/>
  <sheetViews>
    <sheetView tabSelected="1" topLeftCell="A5" zoomScale="37" zoomScaleNormal="85" workbookViewId="0">
      <selection activeCell="S24" sqref="S24"/>
    </sheetView>
  </sheetViews>
  <sheetFormatPr defaultColWidth="8.88671875" defaultRowHeight="14.4" x14ac:dyDescent="0.3"/>
  <cols>
    <col min="1" max="1" width="5.6640625" style="14" customWidth="1"/>
    <col min="2" max="22" width="8.88671875" style="14"/>
    <col min="23" max="23" width="8.88671875" style="14" customWidth="1"/>
    <col min="24" max="30" width="8.88671875" style="14"/>
    <col min="31" max="31" width="8.88671875" style="14" customWidth="1"/>
    <col min="32" max="16384" width="8.88671875" style="14"/>
  </cols>
  <sheetData>
    <row r="1" spans="1:36" x14ac:dyDescent="0.3">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row>
    <row r="2" spans="1:36" x14ac:dyDescent="0.3">
      <c r="A2" s="15"/>
      <c r="B2" s="15"/>
      <c r="C2" s="15"/>
      <c r="D2" s="15"/>
      <c r="E2" s="15"/>
      <c r="F2" s="15"/>
      <c r="G2" s="15"/>
      <c r="H2" s="15"/>
      <c r="I2" s="15"/>
      <c r="J2" s="15"/>
      <c r="K2" s="15"/>
      <c r="L2" s="15"/>
      <c r="M2" s="15"/>
      <c r="N2" s="15"/>
      <c r="O2" s="15"/>
      <c r="P2" s="15"/>
      <c r="Q2" s="15"/>
      <c r="R2" s="15" t="s">
        <v>1412</v>
      </c>
      <c r="S2" s="15"/>
      <c r="T2" s="15"/>
      <c r="U2" s="15"/>
      <c r="V2" s="15"/>
      <c r="W2" s="15"/>
      <c r="X2" s="15"/>
      <c r="Y2" s="15"/>
      <c r="Z2" s="15"/>
      <c r="AA2" s="15"/>
      <c r="AB2" s="15"/>
      <c r="AC2" s="15"/>
      <c r="AD2" s="15"/>
      <c r="AE2" s="15"/>
      <c r="AF2" s="15"/>
      <c r="AG2" s="15"/>
      <c r="AH2" s="15"/>
      <c r="AI2" s="15"/>
      <c r="AJ2" s="15"/>
    </row>
    <row r="3" spans="1:36" x14ac:dyDescent="0.3">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row>
    <row r="4" spans="1:36" x14ac:dyDescent="0.3">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row>
    <row r="5" spans="1:36" x14ac:dyDescent="0.3">
      <c r="A5" s="15"/>
      <c r="B5" s="15"/>
      <c r="C5" s="15"/>
      <c r="D5" s="15"/>
      <c r="E5" s="15"/>
      <c r="F5" s="15"/>
      <c r="G5" s="15"/>
      <c r="H5" s="15"/>
      <c r="I5" s="15"/>
      <c r="J5" s="15"/>
      <c r="K5" s="15"/>
      <c r="L5" s="15"/>
      <c r="M5" s="15"/>
      <c r="N5" s="15"/>
      <c r="O5" s="15"/>
      <c r="P5" s="15"/>
      <c r="Q5" s="15"/>
      <c r="R5" s="15"/>
      <c r="S5" s="15"/>
      <c r="T5" s="15"/>
      <c r="U5" s="15"/>
      <c r="V5" s="15"/>
      <c r="W5" s="15"/>
      <c r="X5" s="15"/>
      <c r="Y5" s="15"/>
      <c r="Z5" s="15" t="s">
        <v>1422</v>
      </c>
      <c r="AA5" s="15"/>
      <c r="AB5" s="15"/>
      <c r="AC5" s="15"/>
      <c r="AD5" s="15"/>
      <c r="AE5" s="15"/>
      <c r="AF5" s="15"/>
      <c r="AG5" s="15"/>
      <c r="AH5" s="15"/>
      <c r="AI5" s="15"/>
      <c r="AJ5" s="15"/>
    </row>
    <row r="6" spans="1:36" x14ac:dyDescent="0.3">
      <c r="A6" s="15"/>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row>
    <row r="7" spans="1:36" x14ac:dyDescent="0.3">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row>
    <row r="8" spans="1:36" x14ac:dyDescent="0.3">
      <c r="A8" s="15"/>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row>
    <row r="9" spans="1:36" x14ac:dyDescent="0.3">
      <c r="A9" s="15"/>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row>
    <row r="10" spans="1:36" x14ac:dyDescent="0.3">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row>
    <row r="11" spans="1:36" x14ac:dyDescent="0.3">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row>
    <row r="12" spans="1:36" x14ac:dyDescent="0.3">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row>
    <row r="13" spans="1:36" x14ac:dyDescent="0.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row>
    <row r="14" spans="1:36" x14ac:dyDescent="0.3">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row>
    <row r="15" spans="1:36" x14ac:dyDescent="0.3">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row>
    <row r="16" spans="1:36" x14ac:dyDescent="0.3">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row>
    <row r="17" spans="1:36" x14ac:dyDescent="0.3">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row>
    <row r="18" spans="1:36" x14ac:dyDescent="0.3">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row>
    <row r="19" spans="1:36" x14ac:dyDescent="0.3">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row>
    <row r="20" spans="1:36" x14ac:dyDescent="0.3">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row>
    <row r="21" spans="1:36" x14ac:dyDescent="0.3">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row>
    <row r="22" spans="1:36" x14ac:dyDescent="0.3">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row>
    <row r="23" spans="1:36" x14ac:dyDescent="0.3">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row>
    <row r="24" spans="1:36" x14ac:dyDescent="0.3">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row>
    <row r="25" spans="1:36" x14ac:dyDescent="0.3">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row>
    <row r="26" spans="1:36" x14ac:dyDescent="0.3">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row>
    <row r="27" spans="1:36" x14ac:dyDescent="0.3">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row>
    <row r="28" spans="1:36" x14ac:dyDescent="0.3">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row>
    <row r="29" spans="1:36" x14ac:dyDescent="0.3">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row>
    <row r="30" spans="1:36" x14ac:dyDescent="0.3">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row>
    <row r="31" spans="1:36" x14ac:dyDescent="0.3">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row>
    <row r="32" spans="1:36" x14ac:dyDescent="0.3">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row>
    <row r="33" spans="1:36" x14ac:dyDescent="0.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row>
    <row r="34" spans="1:36" x14ac:dyDescent="0.3">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row>
    <row r="35" spans="1:36" x14ac:dyDescent="0.3">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row>
    <row r="36" spans="1:36" x14ac:dyDescent="0.3">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row>
    <row r="37" spans="1:36" x14ac:dyDescent="0.3">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row>
    <row r="38" spans="1:36" x14ac:dyDescent="0.3">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row>
    <row r="39" spans="1:36" x14ac:dyDescent="0.3">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row>
    <row r="40" spans="1:36" x14ac:dyDescent="0.3">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row>
    <row r="41" spans="1:36" x14ac:dyDescent="0.3">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row>
    <row r="42" spans="1:36" x14ac:dyDescent="0.3">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row>
    <row r="43" spans="1:36" x14ac:dyDescent="0.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row>
    <row r="44" spans="1:36" x14ac:dyDescent="0.3">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row>
    <row r="45" spans="1:36" x14ac:dyDescent="0.3">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row>
    <row r="46" spans="1:36" x14ac:dyDescent="0.3">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row>
    <row r="47" spans="1:36" x14ac:dyDescent="0.3">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row>
    <row r="48" spans="1:36" x14ac:dyDescent="0.3">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row>
    <row r="49" spans="1:36" x14ac:dyDescent="0.3">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row>
    <row r="50" spans="1:36" x14ac:dyDescent="0.3">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row>
    <row r="51" spans="1:36" x14ac:dyDescent="0.3">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row>
    <row r="52" spans="1:36" x14ac:dyDescent="0.3">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row>
    <row r="53" spans="1:36" x14ac:dyDescent="0.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row>
    <row r="54" spans="1:36" x14ac:dyDescent="0.3">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row>
    <row r="55" spans="1:36" x14ac:dyDescent="0.3">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row>
    <row r="56" spans="1:36" x14ac:dyDescent="0.3">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row>
    <row r="57" spans="1:36" x14ac:dyDescent="0.3">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row>
    <row r="58" spans="1:36" x14ac:dyDescent="0.3">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row>
    <row r="59" spans="1:36" x14ac:dyDescent="0.3">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row>
    <row r="60" spans="1:36" x14ac:dyDescent="0.3">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row>
    <row r="61" spans="1:36" x14ac:dyDescent="0.3">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row>
    <row r="62" spans="1:36" x14ac:dyDescent="0.3">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row>
    <row r="63" spans="1:36" x14ac:dyDescent="0.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row>
    <row r="64" spans="1:36" x14ac:dyDescent="0.3">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row>
    <row r="65" spans="1:36" x14ac:dyDescent="0.3">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row>
    <row r="66" spans="1:36" x14ac:dyDescent="0.3">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row>
    <row r="67" spans="1:36" x14ac:dyDescent="0.3">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row>
    <row r="68" spans="1:36" x14ac:dyDescent="0.3">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row>
    <row r="69" spans="1:36" x14ac:dyDescent="0.3">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row>
    <row r="70" spans="1:36" x14ac:dyDescent="0.3">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row>
    <row r="71" spans="1:36" x14ac:dyDescent="0.3">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row>
    <row r="72" spans="1:36" x14ac:dyDescent="0.3">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row>
    <row r="73" spans="1:36" x14ac:dyDescent="0.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row>
    <row r="74" spans="1:36" x14ac:dyDescent="0.3">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row>
    <row r="75" spans="1:36" x14ac:dyDescent="0.3">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row>
    <row r="76" spans="1:36" x14ac:dyDescent="0.3">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row>
    <row r="77" spans="1:36" x14ac:dyDescent="0.3">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election activeCell="B17" sqref="B17"/>
    </sheetView>
  </sheetViews>
  <sheetFormatPr defaultRowHeight="14.4" x14ac:dyDescent="0.3"/>
  <cols>
    <col min="2" max="2" width="78" bestFit="1" customWidth="1"/>
  </cols>
  <sheetData>
    <row r="1" spans="1:2" x14ac:dyDescent="0.3">
      <c r="A1">
        <v>1</v>
      </c>
      <c r="B1" t="s">
        <v>1345</v>
      </c>
    </row>
    <row r="2" spans="1:2" x14ac:dyDescent="0.3">
      <c r="A2">
        <v>2</v>
      </c>
      <c r="B2" t="s">
        <v>1347</v>
      </c>
    </row>
    <row r="3" spans="1:2" x14ac:dyDescent="0.3">
      <c r="A3">
        <v>3</v>
      </c>
      <c r="B3" t="s">
        <v>1348</v>
      </c>
    </row>
    <row r="4" spans="1:2" x14ac:dyDescent="0.3">
      <c r="A4">
        <v>4</v>
      </c>
      <c r="B4" t="s">
        <v>1365</v>
      </c>
    </row>
    <row r="5" spans="1:2" x14ac:dyDescent="0.3">
      <c r="A5">
        <v>5</v>
      </c>
      <c r="B5" t="s">
        <v>1375</v>
      </c>
    </row>
    <row r="6" spans="1:2" x14ac:dyDescent="0.3">
      <c r="A6">
        <v>6</v>
      </c>
      <c r="B6" t="s">
        <v>1376</v>
      </c>
    </row>
    <row r="7" spans="1:2" x14ac:dyDescent="0.3">
      <c r="A7">
        <v>7</v>
      </c>
      <c r="B7" t="s">
        <v>1377</v>
      </c>
    </row>
    <row r="8" spans="1:2" x14ac:dyDescent="0.3">
      <c r="A8">
        <v>8</v>
      </c>
      <c r="B8" t="s">
        <v>1394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2E23A-8083-43BA-9C19-23D19234F537}">
  <dimension ref="A1:B11"/>
  <sheetViews>
    <sheetView workbookViewId="0">
      <selection activeCell="A6" sqref="A6"/>
    </sheetView>
  </sheetViews>
  <sheetFormatPr defaultRowHeight="14.4" x14ac:dyDescent="0.3"/>
  <cols>
    <col min="1" max="1" width="36" bestFit="1" customWidth="1"/>
    <col min="2" max="2" width="43.6640625" bestFit="1" customWidth="1"/>
  </cols>
  <sheetData>
    <row r="1" spans="1:2" x14ac:dyDescent="0.3">
      <c r="A1" s="7" t="s">
        <v>1366</v>
      </c>
      <c r="B1" t="s">
        <v>1381</v>
      </c>
    </row>
    <row r="2" spans="1:2" x14ac:dyDescent="0.3">
      <c r="A2" s="7" t="s">
        <v>1384</v>
      </c>
      <c r="B2" t="s">
        <v>1381</v>
      </c>
    </row>
    <row r="3" spans="1:2" x14ac:dyDescent="0.3">
      <c r="A3" t="s">
        <v>1367</v>
      </c>
      <c r="B3" t="s">
        <v>1393</v>
      </c>
    </row>
    <row r="4" spans="1:2" x14ac:dyDescent="0.3">
      <c r="A4" s="7" t="s">
        <v>1368</v>
      </c>
      <c r="B4" t="s">
        <v>1381</v>
      </c>
    </row>
    <row r="5" spans="1:2" x14ac:dyDescent="0.3">
      <c r="A5" s="7" t="s">
        <v>1369</v>
      </c>
      <c r="B5" t="s">
        <v>1381</v>
      </c>
    </row>
    <row r="6" spans="1:2" x14ac:dyDescent="0.3">
      <c r="A6" s="7" t="s">
        <v>1370</v>
      </c>
      <c r="B6" t="s">
        <v>1381</v>
      </c>
    </row>
    <row r="7" spans="1:2" x14ac:dyDescent="0.3">
      <c r="A7" s="7" t="s">
        <v>1371</v>
      </c>
      <c r="B7" t="s">
        <v>1381</v>
      </c>
    </row>
    <row r="8" spans="1:2" x14ac:dyDescent="0.3">
      <c r="A8" s="7" t="s">
        <v>1372</v>
      </c>
      <c r="B8" t="s">
        <v>1381</v>
      </c>
    </row>
    <row r="9" spans="1:2" x14ac:dyDescent="0.3">
      <c r="A9" s="7" t="s">
        <v>1373</v>
      </c>
      <c r="B9" t="s">
        <v>1381</v>
      </c>
    </row>
    <row r="10" spans="1:2" x14ac:dyDescent="0.3">
      <c r="A10" t="s">
        <v>1374</v>
      </c>
      <c r="B10" t="s">
        <v>1391</v>
      </c>
    </row>
    <row r="11" spans="1:2" x14ac:dyDescent="0.3">
      <c r="A11" s="12" t="s">
        <v>1383</v>
      </c>
      <c r="B11" s="13" t="s">
        <v>1392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8349D03-C0DE-43EA-9416-F876025139B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influencer_mrktng_roi_cleaning</vt:lpstr>
      <vt:lpstr>pivot</vt:lpstr>
      <vt:lpstr>Dashboard</vt:lpstr>
      <vt:lpstr>process</vt:lpstr>
      <vt:lpstr>comments-pivot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Rufat</dc:creator>
  <cp:lastModifiedBy>Aslan Rustamov</cp:lastModifiedBy>
  <dcterms:created xsi:type="dcterms:W3CDTF">2026-04-22T11:12:01Z</dcterms:created>
  <dcterms:modified xsi:type="dcterms:W3CDTF">2026-04-26T22:09:58Z</dcterms:modified>
</cp:coreProperties>
</file>